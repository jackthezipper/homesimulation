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i\Dropbox\My PC (DESKTOP-C80LV6H)\Documents\PENELITIAN VCP\ABM\Tabel Flow ABM 13 20 Aug\Tabel Flow ABM 14 - Rumah 01\Rumah 01\21OKT21_RUMAH 1\Proses Dalam Otak\Proses Kalkulasi\"/>
    </mc:Choice>
  </mc:AlternateContent>
  <xr:revisionPtr revIDLastSave="0" documentId="13_ncr:1_{864F4B44-16FC-4DB0-A3CF-B667FAACD705}" xr6:coauthVersionLast="47" xr6:coauthVersionMax="47" xr10:uidLastSave="{00000000-0000-0000-0000-000000000000}"/>
  <bookViews>
    <workbookView xWindow="-120" yWindow="360" windowWidth="20730" windowHeight="11280" tabRatio="803" activeTab="3" xr2:uid="{00000000-000D-0000-FFFF-FFFF00000000}"/>
  </bookViews>
  <sheets>
    <sheet name="CCF" sheetId="13" r:id="rId1"/>
    <sheet name="CCE" sheetId="14" r:id="rId2"/>
    <sheet name="Data Agen" sheetId="15" r:id="rId3"/>
    <sheet name="Pilih_Tergabung" sheetId="11" r:id="rId4"/>
  </sheets>
  <externalReferences>
    <externalReference r:id="rId5"/>
  </externalReferenc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J14" i="11" l="1"/>
  <c r="BJ15" i="11"/>
  <c r="BJ16" i="11"/>
  <c r="BJ17" i="11"/>
  <c r="BJ18" i="11"/>
  <c r="BJ19" i="11"/>
  <c r="BJ20" i="11"/>
  <c r="BJ21" i="11"/>
  <c r="BJ22" i="11"/>
  <c r="BJ23" i="11"/>
  <c r="BJ24" i="11"/>
  <c r="BJ25" i="11"/>
  <c r="BJ26" i="11"/>
  <c r="BJ27" i="11"/>
  <c r="BJ28" i="11"/>
  <c r="BJ29" i="11"/>
  <c r="BJ30" i="11"/>
  <c r="BJ31" i="11"/>
  <c r="BJ32" i="11"/>
  <c r="BJ33" i="11"/>
  <c r="BJ34" i="11"/>
  <c r="BJ35" i="11"/>
  <c r="BJ36" i="11"/>
  <c r="BJ37" i="11"/>
  <c r="BJ38" i="11"/>
  <c r="BJ39" i="11"/>
  <c r="BJ40" i="11"/>
  <c r="BJ41" i="11"/>
  <c r="BJ42" i="11"/>
  <c r="BJ43" i="11"/>
  <c r="BJ44" i="11"/>
  <c r="BJ45" i="11"/>
  <c r="BJ46" i="11"/>
  <c r="BJ47" i="11"/>
  <c r="BJ48" i="11"/>
  <c r="BJ49" i="11"/>
  <c r="BJ50" i="11"/>
  <c r="BJ51" i="11"/>
  <c r="BJ52" i="11"/>
  <c r="BJ53" i="11"/>
  <c r="BJ54" i="11"/>
  <c r="BJ55" i="11"/>
  <c r="BJ56" i="11"/>
  <c r="BJ57" i="11"/>
  <c r="BJ58" i="11"/>
  <c r="BJ59" i="11"/>
  <c r="BJ60" i="11"/>
  <c r="BJ61" i="11"/>
  <c r="BJ62" i="11"/>
  <c r="BJ63" i="11"/>
  <c r="BJ64" i="11"/>
  <c r="BJ65" i="11"/>
  <c r="BJ66" i="11"/>
  <c r="BJ67" i="11"/>
  <c r="BJ68" i="11"/>
  <c r="BJ69" i="11"/>
  <c r="BJ70" i="11"/>
  <c r="BJ71" i="11"/>
  <c r="BJ72" i="11"/>
  <c r="BJ73" i="11"/>
  <c r="BJ74" i="11"/>
  <c r="BJ75" i="11"/>
  <c r="BJ76" i="11"/>
  <c r="BJ77" i="11"/>
  <c r="BJ78" i="11"/>
  <c r="BJ79" i="11"/>
  <c r="BJ80" i="11"/>
  <c r="BJ81" i="11"/>
  <c r="BJ82" i="11"/>
  <c r="BJ83" i="11"/>
  <c r="BJ84" i="11"/>
  <c r="BJ85" i="11"/>
  <c r="BJ86" i="11"/>
  <c r="BJ87" i="11"/>
  <c r="BJ88" i="11"/>
  <c r="BJ89" i="11"/>
  <c r="BJ90" i="11"/>
  <c r="BJ91" i="11"/>
  <c r="BJ92" i="11"/>
  <c r="BJ93" i="11"/>
  <c r="BJ94" i="11"/>
  <c r="BJ95" i="11"/>
  <c r="BJ96" i="11"/>
  <c r="BJ97" i="11"/>
  <c r="BJ98" i="11"/>
  <c r="BJ99" i="11"/>
  <c r="BJ100" i="11"/>
  <c r="BJ101" i="11"/>
  <c r="BJ102" i="11"/>
  <c r="BJ103" i="11"/>
  <c r="BJ104" i="11"/>
  <c r="BJ105" i="11"/>
  <c r="BJ106" i="11"/>
  <c r="BJ107" i="11"/>
  <c r="BJ108" i="11"/>
  <c r="BJ109" i="11"/>
  <c r="BJ110" i="11"/>
  <c r="BJ111" i="11"/>
  <c r="BJ112" i="11"/>
  <c r="BJ113" i="11"/>
  <c r="BJ114" i="11"/>
  <c r="BJ115" i="11"/>
  <c r="BJ116" i="11"/>
  <c r="BJ117" i="11"/>
  <c r="BE14" i="11"/>
  <c r="BE15" i="11"/>
  <c r="BE16" i="11"/>
  <c r="BE17" i="11"/>
  <c r="BE18" i="11"/>
  <c r="BE19" i="11"/>
  <c r="BE20" i="11"/>
  <c r="BE21" i="11"/>
  <c r="BE22" i="11"/>
  <c r="BE23" i="11"/>
  <c r="BE24" i="11"/>
  <c r="BE25" i="11"/>
  <c r="BE26" i="11"/>
  <c r="BE27" i="11"/>
  <c r="BE28" i="11"/>
  <c r="BE29" i="11"/>
  <c r="BE30" i="11"/>
  <c r="BE31" i="11"/>
  <c r="BE32" i="11"/>
  <c r="BE33" i="11"/>
  <c r="BE34" i="11"/>
  <c r="BE35" i="11"/>
  <c r="BE36" i="11"/>
  <c r="BE37" i="11"/>
  <c r="BE38" i="11"/>
  <c r="BE39" i="11"/>
  <c r="BE40" i="11"/>
  <c r="BE41" i="11"/>
  <c r="BE42" i="11"/>
  <c r="BE43" i="11"/>
  <c r="BE44" i="11"/>
  <c r="BE45" i="11"/>
  <c r="BE46" i="11"/>
  <c r="BE47" i="11"/>
  <c r="BE48" i="11"/>
  <c r="BE49" i="11"/>
  <c r="BE50" i="11"/>
  <c r="BE51" i="11"/>
  <c r="BE52" i="11"/>
  <c r="BE53" i="11"/>
  <c r="BE54" i="11"/>
  <c r="BE55" i="11"/>
  <c r="BE56" i="11"/>
  <c r="BE57" i="11"/>
  <c r="BE58" i="11"/>
  <c r="BE59" i="11"/>
  <c r="BE60" i="11"/>
  <c r="BE61" i="11"/>
  <c r="BE62" i="11"/>
  <c r="BE63" i="11"/>
  <c r="BE64" i="11"/>
  <c r="BE65" i="11"/>
  <c r="BE66" i="11"/>
  <c r="BE67" i="11"/>
  <c r="BE68" i="11"/>
  <c r="BE69" i="11"/>
  <c r="BE70" i="11"/>
  <c r="BE71" i="11"/>
  <c r="BE72" i="11"/>
  <c r="BE73" i="11"/>
  <c r="BE74" i="11"/>
  <c r="BE75" i="11"/>
  <c r="BE76" i="11"/>
  <c r="BE77" i="11"/>
  <c r="BE78" i="11"/>
  <c r="BE79" i="11"/>
  <c r="BE80" i="11"/>
  <c r="BE81" i="11"/>
  <c r="BE82" i="11"/>
  <c r="BE83" i="11"/>
  <c r="BE84" i="11"/>
  <c r="BE85" i="11"/>
  <c r="BE86" i="11"/>
  <c r="BE87" i="11"/>
  <c r="BE88" i="11"/>
  <c r="BE89" i="11"/>
  <c r="BE90" i="11"/>
  <c r="BE91" i="11"/>
  <c r="BE92" i="11"/>
  <c r="BE93" i="11"/>
  <c r="BE94" i="11"/>
  <c r="BE95" i="11"/>
  <c r="BE96" i="11"/>
  <c r="BE97" i="11"/>
  <c r="BE98" i="11"/>
  <c r="BE99" i="11"/>
  <c r="BE100" i="11"/>
  <c r="BE101" i="11"/>
  <c r="BE102" i="11"/>
  <c r="BE103" i="11"/>
  <c r="BE104" i="11"/>
  <c r="BE105" i="11"/>
  <c r="BE106" i="11"/>
  <c r="BE107" i="11"/>
  <c r="BE108" i="11"/>
  <c r="BE109" i="11"/>
  <c r="BE110" i="11"/>
  <c r="BE111" i="11"/>
  <c r="BE112" i="11"/>
  <c r="BE113" i="11"/>
  <c r="BE114" i="11"/>
  <c r="BE115" i="11"/>
  <c r="BE116" i="11"/>
  <c r="BE117" i="11"/>
  <c r="BB14" i="11"/>
  <c r="BB15" i="11"/>
  <c r="BB16" i="11"/>
  <c r="BB17" i="11"/>
  <c r="BB18" i="11"/>
  <c r="BB19" i="11"/>
  <c r="BB20" i="11"/>
  <c r="BB21" i="11"/>
  <c r="BB22" i="11"/>
  <c r="BB23" i="11"/>
  <c r="BB24" i="11"/>
  <c r="BB25" i="11"/>
  <c r="BB26" i="11"/>
  <c r="BB27" i="11"/>
  <c r="BB28" i="11"/>
  <c r="BB29" i="11"/>
  <c r="BB30" i="11"/>
  <c r="BB31" i="11"/>
  <c r="BB32" i="11"/>
  <c r="BB33" i="11"/>
  <c r="BB34" i="11"/>
  <c r="BB35" i="11"/>
  <c r="BB36" i="11"/>
  <c r="BB37" i="11"/>
  <c r="BB38" i="11"/>
  <c r="BB39" i="11"/>
  <c r="BB40" i="11"/>
  <c r="BB41" i="11"/>
  <c r="BB42" i="11"/>
  <c r="BB43" i="11"/>
  <c r="BB44" i="11"/>
  <c r="BB45" i="11"/>
  <c r="BB46" i="11"/>
  <c r="BB47" i="11"/>
  <c r="BB48" i="11"/>
  <c r="BB49" i="11"/>
  <c r="BB50" i="11"/>
  <c r="BB51" i="11"/>
  <c r="BB52" i="11"/>
  <c r="BB53" i="11"/>
  <c r="BB54" i="11"/>
  <c r="BB55" i="11"/>
  <c r="BB56" i="11"/>
  <c r="BB57" i="11"/>
  <c r="BB58" i="11"/>
  <c r="BB59" i="11"/>
  <c r="BB60" i="11"/>
  <c r="BB61" i="11"/>
  <c r="BB62" i="11"/>
  <c r="BB63" i="11"/>
  <c r="BB64" i="11"/>
  <c r="BB65" i="11"/>
  <c r="BB66" i="11"/>
  <c r="BB67" i="11"/>
  <c r="BB68" i="11"/>
  <c r="BB69" i="11"/>
  <c r="BB70" i="11"/>
  <c r="BB71" i="11"/>
  <c r="BB72" i="11"/>
  <c r="BB73" i="11"/>
  <c r="BB74" i="11"/>
  <c r="BB75" i="11"/>
  <c r="BB76" i="11"/>
  <c r="BB77" i="11"/>
  <c r="BB78" i="11"/>
  <c r="BB79" i="11"/>
  <c r="BB80" i="11"/>
  <c r="BB81" i="11"/>
  <c r="BB82" i="11"/>
  <c r="BB83" i="11"/>
  <c r="BB84" i="11"/>
  <c r="BB85" i="11"/>
  <c r="BB86" i="11"/>
  <c r="BB87" i="11"/>
  <c r="BB88" i="11"/>
  <c r="BB89" i="11"/>
  <c r="BB90" i="11"/>
  <c r="BB91" i="11"/>
  <c r="BB92" i="11"/>
  <c r="BB93" i="11"/>
  <c r="BB94" i="11"/>
  <c r="BB95" i="11"/>
  <c r="BB96" i="11"/>
  <c r="BB97" i="11"/>
  <c r="BB98" i="11"/>
  <c r="BB99" i="11"/>
  <c r="BB100" i="11"/>
  <c r="BB101" i="11"/>
  <c r="BB102" i="11"/>
  <c r="BB103" i="11"/>
  <c r="BB104" i="11"/>
  <c r="BB105" i="11"/>
  <c r="BB106" i="11"/>
  <c r="BB107" i="11"/>
  <c r="BB108" i="11"/>
  <c r="BB109" i="11"/>
  <c r="BB110" i="11"/>
  <c r="BB111" i="11"/>
  <c r="BB112" i="11"/>
  <c r="BB113" i="11"/>
  <c r="BB114" i="11"/>
  <c r="BB115" i="11"/>
  <c r="BB116" i="11"/>
  <c r="BB117" i="11"/>
  <c r="AX14" i="11"/>
  <c r="AY14" i="11"/>
  <c r="AX15" i="11"/>
  <c r="AY15" i="11"/>
  <c r="AX16" i="11"/>
  <c r="AY16" i="11"/>
  <c r="AX17" i="11"/>
  <c r="AY17" i="11"/>
  <c r="AX18" i="11"/>
  <c r="AY18" i="11"/>
  <c r="AX19" i="11"/>
  <c r="AY19" i="11"/>
  <c r="AX20" i="11"/>
  <c r="AY20" i="11"/>
  <c r="AX21" i="11"/>
  <c r="AY21" i="11"/>
  <c r="AX22" i="11"/>
  <c r="AY22" i="11"/>
  <c r="AX23" i="11"/>
  <c r="AY23" i="11"/>
  <c r="AX24" i="11"/>
  <c r="AY24" i="11"/>
  <c r="AX25" i="11"/>
  <c r="AY25" i="11"/>
  <c r="AX26" i="11"/>
  <c r="AY26" i="11"/>
  <c r="AX27" i="11"/>
  <c r="AY27" i="11"/>
  <c r="AX28" i="11"/>
  <c r="AY28" i="11"/>
  <c r="AX29" i="11"/>
  <c r="AY29" i="11"/>
  <c r="AX30" i="11"/>
  <c r="AY30" i="11"/>
  <c r="AX31" i="11"/>
  <c r="AY31" i="11"/>
  <c r="AX32" i="11"/>
  <c r="AY32" i="11"/>
  <c r="AX33" i="11"/>
  <c r="AY33" i="11"/>
  <c r="AX34" i="11"/>
  <c r="AY34" i="11"/>
  <c r="AX35" i="11"/>
  <c r="AY35" i="11"/>
  <c r="AX36" i="11"/>
  <c r="AY36" i="11"/>
  <c r="AX37" i="11"/>
  <c r="AY37" i="11"/>
  <c r="AX38" i="11"/>
  <c r="AY38" i="11"/>
  <c r="AX39" i="11"/>
  <c r="AY39" i="11"/>
  <c r="AX40" i="11"/>
  <c r="AY40" i="11"/>
  <c r="AX41" i="11"/>
  <c r="AY41" i="11"/>
  <c r="AX42" i="11"/>
  <c r="AY42" i="11"/>
  <c r="AX43" i="11"/>
  <c r="AY43" i="11"/>
  <c r="AX44" i="11"/>
  <c r="AY44" i="11"/>
  <c r="AX45" i="11"/>
  <c r="AY45" i="11"/>
  <c r="AX46" i="11"/>
  <c r="AY46" i="11"/>
  <c r="AX47" i="11"/>
  <c r="AY47" i="11"/>
  <c r="AX48" i="11"/>
  <c r="AY48" i="11"/>
  <c r="AX49" i="11"/>
  <c r="AY49" i="11"/>
  <c r="AX50" i="11"/>
  <c r="AY50" i="11"/>
  <c r="AX51" i="11"/>
  <c r="AY51" i="11"/>
  <c r="AX52" i="11"/>
  <c r="AY52" i="11"/>
  <c r="AX53" i="11"/>
  <c r="AY53" i="11"/>
  <c r="AX54" i="11"/>
  <c r="AY54" i="11"/>
  <c r="AX55" i="11"/>
  <c r="AY55" i="11"/>
  <c r="AX56" i="11"/>
  <c r="AY56" i="11"/>
  <c r="AX57" i="11"/>
  <c r="AY57" i="11"/>
  <c r="AX58" i="11"/>
  <c r="AY58" i="11"/>
  <c r="AX59" i="11"/>
  <c r="AY59" i="11"/>
  <c r="AX60" i="11"/>
  <c r="AY60" i="11"/>
  <c r="AX61" i="11"/>
  <c r="AY61" i="11"/>
  <c r="AX62" i="11"/>
  <c r="AY62" i="11"/>
  <c r="AX63" i="11"/>
  <c r="AY63" i="11"/>
  <c r="AX64" i="11"/>
  <c r="AY64" i="11"/>
  <c r="AX65" i="11"/>
  <c r="AY65" i="11"/>
  <c r="AX66" i="11"/>
  <c r="AY66" i="11"/>
  <c r="AX67" i="11"/>
  <c r="AY67" i="11"/>
  <c r="AX68" i="11"/>
  <c r="AY68" i="11"/>
  <c r="AX69" i="11"/>
  <c r="AY69" i="11"/>
  <c r="AX70" i="11"/>
  <c r="AY70" i="11"/>
  <c r="AX71" i="11"/>
  <c r="AY71" i="11"/>
  <c r="AX72" i="11"/>
  <c r="AY72" i="11"/>
  <c r="AX73" i="11"/>
  <c r="AY73" i="11"/>
  <c r="AX74" i="11"/>
  <c r="AY74" i="11"/>
  <c r="AX75" i="11"/>
  <c r="AY75" i="11"/>
  <c r="AX76" i="11"/>
  <c r="AY76" i="11"/>
  <c r="AX77" i="11"/>
  <c r="AY77" i="11"/>
  <c r="AX78" i="11"/>
  <c r="AY78" i="11"/>
  <c r="AX79" i="11"/>
  <c r="AY79" i="11"/>
  <c r="AX80" i="11"/>
  <c r="AY80" i="11"/>
  <c r="AX81" i="11"/>
  <c r="AY81" i="11"/>
  <c r="AX82" i="11"/>
  <c r="AY82" i="11"/>
  <c r="AX83" i="11"/>
  <c r="AY83" i="11"/>
  <c r="AX84" i="11"/>
  <c r="AY84" i="11"/>
  <c r="AX85" i="11"/>
  <c r="AY85" i="11"/>
  <c r="AX86" i="11"/>
  <c r="AY86" i="11"/>
  <c r="AX87" i="11"/>
  <c r="AY87" i="11"/>
  <c r="AX88" i="11"/>
  <c r="AY88" i="11"/>
  <c r="AX89" i="11"/>
  <c r="AY89" i="11"/>
  <c r="AX90" i="11"/>
  <c r="AY90" i="11"/>
  <c r="AX91" i="11"/>
  <c r="AY91" i="11"/>
  <c r="AX92" i="11"/>
  <c r="AY92" i="11"/>
  <c r="AX93" i="11"/>
  <c r="AY93" i="11"/>
  <c r="AX94" i="11"/>
  <c r="AY94" i="11"/>
  <c r="AX95" i="11"/>
  <c r="AY95" i="11"/>
  <c r="AX96" i="11"/>
  <c r="AY96" i="11"/>
  <c r="AX97" i="11"/>
  <c r="AY97" i="11"/>
  <c r="AX98" i="11"/>
  <c r="AY98" i="11"/>
  <c r="AX99" i="11"/>
  <c r="AY99" i="11"/>
  <c r="AX100" i="11"/>
  <c r="AY100" i="11"/>
  <c r="AX101" i="11"/>
  <c r="AY101" i="11"/>
  <c r="AX102" i="11"/>
  <c r="AY102" i="11"/>
  <c r="AX103" i="11"/>
  <c r="AY103" i="11"/>
  <c r="AX104" i="11"/>
  <c r="AY104" i="11"/>
  <c r="AX105" i="11"/>
  <c r="AY105" i="11"/>
  <c r="AX106" i="11"/>
  <c r="AY106" i="11"/>
  <c r="AX107" i="11"/>
  <c r="AY107" i="11"/>
  <c r="AX108" i="11"/>
  <c r="AY108" i="11"/>
  <c r="AX109" i="11"/>
  <c r="AY109" i="11"/>
  <c r="AX110" i="11"/>
  <c r="AY110" i="11"/>
  <c r="AX111" i="11"/>
  <c r="AY111" i="11"/>
  <c r="AX112" i="11"/>
  <c r="AY112" i="11"/>
  <c r="AX113" i="11"/>
  <c r="AY113" i="11"/>
  <c r="AX114" i="11"/>
  <c r="AY114" i="11"/>
  <c r="AX115" i="11"/>
  <c r="AY115" i="11"/>
  <c r="AX116" i="11"/>
  <c r="AY116" i="11"/>
  <c r="AX117" i="11"/>
  <c r="AY117" i="11"/>
  <c r="AV14" i="11"/>
  <c r="AV15" i="11"/>
  <c r="AV16" i="11"/>
  <c r="AV17" i="11"/>
  <c r="AV18" i="11"/>
  <c r="AV19" i="11"/>
  <c r="AV20" i="11"/>
  <c r="AV21" i="11"/>
  <c r="AV22" i="11"/>
  <c r="AV23" i="11"/>
  <c r="AV24" i="11"/>
  <c r="AV25" i="11"/>
  <c r="AV26" i="11"/>
  <c r="AV27" i="11"/>
  <c r="AV28" i="11"/>
  <c r="AV29" i="11"/>
  <c r="AV30" i="11"/>
  <c r="AV31" i="11"/>
  <c r="AV32" i="11"/>
  <c r="AV33" i="11"/>
  <c r="AV34" i="11"/>
  <c r="AV35" i="11"/>
  <c r="AV36" i="11"/>
  <c r="AV37" i="11"/>
  <c r="AV38" i="11"/>
  <c r="AV39" i="11"/>
  <c r="AV40" i="11"/>
  <c r="AV41" i="11"/>
  <c r="AV42" i="11"/>
  <c r="AV43" i="11"/>
  <c r="AV44" i="11"/>
  <c r="AV45" i="11"/>
  <c r="AV46" i="11"/>
  <c r="AV47" i="11"/>
  <c r="AV48" i="11"/>
  <c r="AV49" i="11"/>
  <c r="AV50" i="11"/>
  <c r="AV51" i="11"/>
  <c r="AV52" i="11"/>
  <c r="AV53" i="11"/>
  <c r="AV54" i="11"/>
  <c r="AV55" i="11"/>
  <c r="AV56" i="11"/>
  <c r="AV57" i="11"/>
  <c r="AV58" i="11"/>
  <c r="AV59" i="11"/>
  <c r="AV60" i="11"/>
  <c r="AV61" i="11"/>
  <c r="AV62" i="11"/>
  <c r="AV63" i="11"/>
  <c r="AV64" i="11"/>
  <c r="AV65" i="11"/>
  <c r="AV66" i="11"/>
  <c r="AV67" i="11"/>
  <c r="AV68" i="11"/>
  <c r="AV69" i="11"/>
  <c r="AV70" i="11"/>
  <c r="AV71" i="11"/>
  <c r="AV72" i="11"/>
  <c r="AV73" i="11"/>
  <c r="AV74" i="11"/>
  <c r="AV75" i="11"/>
  <c r="AV76" i="11"/>
  <c r="AV77" i="11"/>
  <c r="AV78" i="11"/>
  <c r="AV79" i="11"/>
  <c r="AV80" i="11"/>
  <c r="AV81" i="11"/>
  <c r="AV82" i="11"/>
  <c r="AV83" i="11"/>
  <c r="AV84" i="11"/>
  <c r="AV85" i="11"/>
  <c r="AV86" i="11"/>
  <c r="AV87" i="11"/>
  <c r="AV88" i="11"/>
  <c r="AV89" i="11"/>
  <c r="AV90" i="11"/>
  <c r="AV91" i="11"/>
  <c r="AV92" i="11"/>
  <c r="AV93" i="11"/>
  <c r="AV94" i="11"/>
  <c r="AV95" i="11"/>
  <c r="AV96" i="11"/>
  <c r="AV97" i="11"/>
  <c r="AV98" i="11"/>
  <c r="AV99" i="11"/>
  <c r="AV100" i="11"/>
  <c r="AV101" i="11"/>
  <c r="AV102" i="11"/>
  <c r="AV103" i="11"/>
  <c r="AV104" i="11"/>
  <c r="AV105" i="11"/>
  <c r="AV106" i="11"/>
  <c r="AV107" i="11"/>
  <c r="AV108" i="11"/>
  <c r="AV109" i="11"/>
  <c r="AV110" i="11"/>
  <c r="AV111" i="11"/>
  <c r="AV112" i="11"/>
  <c r="AV113" i="11"/>
  <c r="AV114" i="11"/>
  <c r="AV115" i="11"/>
  <c r="AV116" i="11"/>
  <c r="AV117" i="11"/>
  <c r="AT14" i="11"/>
  <c r="AS14" i="11" s="1"/>
  <c r="AT15" i="11"/>
  <c r="AS15" i="11" s="1"/>
  <c r="AT16" i="11"/>
  <c r="AS16" i="11" s="1"/>
  <c r="AT17" i="11"/>
  <c r="AS17" i="11" s="1"/>
  <c r="AT18" i="11"/>
  <c r="AS18" i="11" s="1"/>
  <c r="AT19" i="11"/>
  <c r="AS19" i="11" s="1"/>
  <c r="AT20" i="11"/>
  <c r="AT21" i="11"/>
  <c r="AS21" i="11" s="1"/>
  <c r="AT22" i="11"/>
  <c r="AS22" i="11" s="1"/>
  <c r="AT23" i="11"/>
  <c r="AS23" i="11" s="1"/>
  <c r="AT24" i="11"/>
  <c r="AS24" i="11" s="1"/>
  <c r="AT25" i="11"/>
  <c r="AS25" i="11" s="1"/>
  <c r="AT26" i="11"/>
  <c r="AS26" i="11" s="1"/>
  <c r="AT27" i="11"/>
  <c r="AS27" i="11" s="1"/>
  <c r="AT28" i="11"/>
  <c r="AS28" i="11" s="1"/>
  <c r="AT29" i="11"/>
  <c r="AS29" i="11" s="1"/>
  <c r="AT30" i="11"/>
  <c r="AS30" i="11" s="1"/>
  <c r="AT31" i="11"/>
  <c r="AS31" i="11" s="1"/>
  <c r="AT32" i="11"/>
  <c r="AS32" i="11" s="1"/>
  <c r="AT33" i="11"/>
  <c r="AS33" i="11" s="1"/>
  <c r="AT34" i="11"/>
  <c r="AS34" i="11" s="1"/>
  <c r="AT35" i="11"/>
  <c r="AS35" i="11" s="1"/>
  <c r="AT36" i="11"/>
  <c r="AS36" i="11" s="1"/>
  <c r="AT37" i="11"/>
  <c r="AS37" i="11" s="1"/>
  <c r="AT38" i="11"/>
  <c r="AS38" i="11" s="1"/>
  <c r="AT39" i="11"/>
  <c r="AS39" i="11" s="1"/>
  <c r="AT40" i="11"/>
  <c r="AS40" i="11" s="1"/>
  <c r="AT41" i="11"/>
  <c r="AS41" i="11" s="1"/>
  <c r="AT42" i="11"/>
  <c r="AS42" i="11" s="1"/>
  <c r="AT43" i="11"/>
  <c r="AS43" i="11" s="1"/>
  <c r="AT44" i="11"/>
  <c r="AS44" i="11" s="1"/>
  <c r="AT45" i="11"/>
  <c r="AS45" i="11" s="1"/>
  <c r="AT46" i="11"/>
  <c r="AS46" i="11" s="1"/>
  <c r="AT47" i="11"/>
  <c r="AS47" i="11" s="1"/>
  <c r="AT48" i="11"/>
  <c r="AS48" i="11" s="1"/>
  <c r="AT49" i="11"/>
  <c r="AS49" i="11" s="1"/>
  <c r="AT50" i="11"/>
  <c r="AS50" i="11" s="1"/>
  <c r="AT51" i="11"/>
  <c r="AS51" i="11" s="1"/>
  <c r="AT52" i="11"/>
  <c r="AS52" i="11" s="1"/>
  <c r="AT53" i="11"/>
  <c r="AS53" i="11" s="1"/>
  <c r="AT54" i="11"/>
  <c r="AS54" i="11" s="1"/>
  <c r="AT55" i="11"/>
  <c r="AS55" i="11" s="1"/>
  <c r="AT56" i="11"/>
  <c r="AS56" i="11" s="1"/>
  <c r="AT57" i="11"/>
  <c r="AS57" i="11" s="1"/>
  <c r="AT58" i="11"/>
  <c r="AS58" i="11" s="1"/>
  <c r="AT59" i="11"/>
  <c r="AS59" i="11" s="1"/>
  <c r="AT60" i="11"/>
  <c r="AS60" i="11" s="1"/>
  <c r="AT61" i="11"/>
  <c r="AS61" i="11" s="1"/>
  <c r="AT62" i="11"/>
  <c r="AS62" i="11" s="1"/>
  <c r="AT63" i="11"/>
  <c r="AS63" i="11" s="1"/>
  <c r="AT64" i="11"/>
  <c r="AS64" i="11" s="1"/>
  <c r="AT65" i="11"/>
  <c r="AS65" i="11" s="1"/>
  <c r="AT66" i="11"/>
  <c r="AS66" i="11" s="1"/>
  <c r="AT67" i="11"/>
  <c r="AS67" i="11" s="1"/>
  <c r="AT68" i="11"/>
  <c r="AS68" i="11" s="1"/>
  <c r="AT69" i="11"/>
  <c r="AS69" i="11" s="1"/>
  <c r="AT70" i="11"/>
  <c r="AS70" i="11" s="1"/>
  <c r="AT71" i="11"/>
  <c r="AS71" i="11" s="1"/>
  <c r="AT72" i="11"/>
  <c r="AS72" i="11" s="1"/>
  <c r="AT73" i="11"/>
  <c r="AS73" i="11" s="1"/>
  <c r="AT74" i="11"/>
  <c r="AS74" i="11" s="1"/>
  <c r="AT75" i="11"/>
  <c r="AS75" i="11" s="1"/>
  <c r="AT76" i="11"/>
  <c r="AS76" i="11" s="1"/>
  <c r="AT77" i="11"/>
  <c r="AS77" i="11" s="1"/>
  <c r="AT78" i="11"/>
  <c r="AS78" i="11" s="1"/>
  <c r="AT79" i="11"/>
  <c r="AS79" i="11" s="1"/>
  <c r="AT80" i="11"/>
  <c r="AS80" i="11" s="1"/>
  <c r="AT81" i="11"/>
  <c r="AS81" i="11" s="1"/>
  <c r="AT82" i="11"/>
  <c r="AS82" i="11" s="1"/>
  <c r="AT83" i="11"/>
  <c r="AS83" i="11" s="1"/>
  <c r="AT84" i="11"/>
  <c r="AS84" i="11" s="1"/>
  <c r="AT85" i="11"/>
  <c r="AS85" i="11" s="1"/>
  <c r="AT86" i="11"/>
  <c r="AS86" i="11" s="1"/>
  <c r="AT87" i="11"/>
  <c r="AS87" i="11" s="1"/>
  <c r="AT88" i="11"/>
  <c r="AS88" i="11" s="1"/>
  <c r="AT89" i="11"/>
  <c r="AS89" i="11" s="1"/>
  <c r="AT90" i="11"/>
  <c r="AS90" i="11" s="1"/>
  <c r="AT91" i="11"/>
  <c r="AS91" i="11" s="1"/>
  <c r="AT92" i="11"/>
  <c r="AS92" i="11" s="1"/>
  <c r="AT93" i="11"/>
  <c r="AS93" i="11" s="1"/>
  <c r="AT94" i="11"/>
  <c r="AS94" i="11" s="1"/>
  <c r="AT95" i="11"/>
  <c r="AS95" i="11" s="1"/>
  <c r="AT96" i="11"/>
  <c r="AS96" i="11" s="1"/>
  <c r="AT97" i="11"/>
  <c r="AS97" i="11" s="1"/>
  <c r="AT98" i="11"/>
  <c r="AS98" i="11" s="1"/>
  <c r="AT99" i="11"/>
  <c r="AS99" i="11" s="1"/>
  <c r="AT100" i="11"/>
  <c r="AS100" i="11" s="1"/>
  <c r="AT101" i="11"/>
  <c r="AS101" i="11" s="1"/>
  <c r="AT102" i="11"/>
  <c r="AS102" i="11" s="1"/>
  <c r="AT103" i="11"/>
  <c r="AS103" i="11" s="1"/>
  <c r="AT104" i="11"/>
  <c r="AS104" i="11" s="1"/>
  <c r="AT105" i="11"/>
  <c r="AS105" i="11" s="1"/>
  <c r="AT106" i="11"/>
  <c r="AS106" i="11" s="1"/>
  <c r="AT107" i="11"/>
  <c r="AS107" i="11" s="1"/>
  <c r="AT108" i="11"/>
  <c r="AS108" i="11" s="1"/>
  <c r="AT109" i="11"/>
  <c r="AS109" i="11" s="1"/>
  <c r="AT110" i="11"/>
  <c r="AS110" i="11" s="1"/>
  <c r="AT111" i="11"/>
  <c r="AS111" i="11" s="1"/>
  <c r="AT112" i="11"/>
  <c r="AS112" i="11" s="1"/>
  <c r="AT113" i="11"/>
  <c r="AS113" i="11" s="1"/>
  <c r="AT114" i="11"/>
  <c r="AS114" i="11" s="1"/>
  <c r="AT115" i="11"/>
  <c r="AS115" i="11" s="1"/>
  <c r="AT116" i="11"/>
  <c r="AS116" i="11" s="1"/>
  <c r="AT117" i="11"/>
  <c r="AS117" i="11" s="1"/>
  <c r="U14" i="11"/>
  <c r="T14" i="11" s="1"/>
  <c r="V14" i="11"/>
  <c r="W14" i="11"/>
  <c r="X14" i="11"/>
  <c r="Y14" i="11"/>
  <c r="Z14" i="11"/>
  <c r="AA14" i="11"/>
  <c r="AB14" i="11"/>
  <c r="U15" i="11"/>
  <c r="T15" i="11" s="1"/>
  <c r="V15" i="11"/>
  <c r="W15" i="11"/>
  <c r="X15" i="11"/>
  <c r="Y15" i="11"/>
  <c r="Z15" i="11"/>
  <c r="AA15" i="11"/>
  <c r="AB15" i="11"/>
  <c r="U16" i="11"/>
  <c r="T16" i="11" s="1"/>
  <c r="V16" i="11"/>
  <c r="W16" i="11"/>
  <c r="X16" i="11"/>
  <c r="Y16" i="11"/>
  <c r="Z16" i="11"/>
  <c r="AA16" i="11"/>
  <c r="AB16" i="11"/>
  <c r="U17" i="11"/>
  <c r="V17" i="11"/>
  <c r="W17" i="11"/>
  <c r="X17" i="11"/>
  <c r="I17" i="11" s="1"/>
  <c r="Y17" i="11"/>
  <c r="Z17" i="11"/>
  <c r="AA17" i="11"/>
  <c r="AB17" i="11"/>
  <c r="U18" i="11"/>
  <c r="T18" i="11" s="1"/>
  <c r="V18" i="11"/>
  <c r="W18" i="11"/>
  <c r="X18" i="11"/>
  <c r="Y18" i="11"/>
  <c r="Z18" i="11"/>
  <c r="AA18" i="11"/>
  <c r="AB18" i="11"/>
  <c r="U19" i="11"/>
  <c r="V19" i="11"/>
  <c r="T19" i="11" s="1"/>
  <c r="W19" i="11"/>
  <c r="X19" i="11"/>
  <c r="Y19" i="11"/>
  <c r="Z19" i="11"/>
  <c r="AA19" i="11"/>
  <c r="AB19" i="11"/>
  <c r="U20" i="11"/>
  <c r="T20" i="11" s="1"/>
  <c r="V20" i="11"/>
  <c r="W20" i="11"/>
  <c r="X20" i="11"/>
  <c r="Y20" i="11"/>
  <c r="Z20" i="11"/>
  <c r="AA20" i="11"/>
  <c r="AB20" i="11"/>
  <c r="U21" i="11"/>
  <c r="V21" i="11"/>
  <c r="W21" i="11"/>
  <c r="X21" i="11"/>
  <c r="T21" i="11" s="1"/>
  <c r="Y21" i="11"/>
  <c r="Z21" i="11"/>
  <c r="AA21" i="11"/>
  <c r="AB21" i="11"/>
  <c r="U22" i="11"/>
  <c r="T22" i="11" s="1"/>
  <c r="V22" i="11"/>
  <c r="W22" i="11"/>
  <c r="X22" i="11"/>
  <c r="Y22" i="11"/>
  <c r="Z22" i="11"/>
  <c r="AA22" i="11"/>
  <c r="AB22" i="11"/>
  <c r="U23" i="11"/>
  <c r="V23" i="11"/>
  <c r="T23" i="11" s="1"/>
  <c r="W23" i="11"/>
  <c r="X23" i="11"/>
  <c r="Y23" i="11"/>
  <c r="Z23" i="11"/>
  <c r="AA23" i="11"/>
  <c r="AB23" i="11"/>
  <c r="U24" i="11"/>
  <c r="T24" i="11" s="1"/>
  <c r="V24" i="11"/>
  <c r="W24" i="11"/>
  <c r="X24" i="11"/>
  <c r="Y24" i="11"/>
  <c r="Z24" i="11"/>
  <c r="AA24" i="11"/>
  <c r="AB24" i="11"/>
  <c r="U25" i="11"/>
  <c r="V25" i="11"/>
  <c r="W25" i="11"/>
  <c r="X25" i="11"/>
  <c r="I25" i="11" s="1"/>
  <c r="Y25" i="11"/>
  <c r="Z25" i="11"/>
  <c r="AA25" i="11"/>
  <c r="AB25" i="11"/>
  <c r="U26" i="11"/>
  <c r="T26" i="11" s="1"/>
  <c r="V26" i="11"/>
  <c r="W26" i="11"/>
  <c r="X26" i="11"/>
  <c r="Y26" i="11"/>
  <c r="Z26" i="11"/>
  <c r="AA26" i="11"/>
  <c r="AB26" i="11"/>
  <c r="U27" i="11"/>
  <c r="V27" i="11"/>
  <c r="T27" i="11" s="1"/>
  <c r="W27" i="11"/>
  <c r="X27" i="11"/>
  <c r="Y27" i="11"/>
  <c r="Z27" i="11"/>
  <c r="AA27" i="11"/>
  <c r="AB27" i="11"/>
  <c r="U28" i="11"/>
  <c r="T28" i="11" s="1"/>
  <c r="V28" i="11"/>
  <c r="W28" i="11"/>
  <c r="X28" i="11"/>
  <c r="Y28" i="11"/>
  <c r="Z28" i="11"/>
  <c r="AA28" i="11"/>
  <c r="AB28" i="11"/>
  <c r="T29" i="11"/>
  <c r="U29" i="11"/>
  <c r="V29" i="11"/>
  <c r="W29" i="11"/>
  <c r="X29" i="11"/>
  <c r="I29" i="11" s="1"/>
  <c r="Y29" i="11"/>
  <c r="Z29" i="11"/>
  <c r="AA29" i="11"/>
  <c r="AB29" i="11"/>
  <c r="U30" i="11"/>
  <c r="T30" i="11" s="1"/>
  <c r="V30" i="11"/>
  <c r="W30" i="11"/>
  <c r="X30" i="11"/>
  <c r="Y30" i="11"/>
  <c r="Z30" i="11"/>
  <c r="AA30" i="11"/>
  <c r="AB30" i="11"/>
  <c r="U31" i="11"/>
  <c r="V31" i="11"/>
  <c r="T31" i="11" s="1"/>
  <c r="W31" i="11"/>
  <c r="X31" i="11"/>
  <c r="Y31" i="11"/>
  <c r="Z31" i="11"/>
  <c r="AA31" i="11"/>
  <c r="AB31" i="11"/>
  <c r="U32" i="11"/>
  <c r="T32" i="11" s="1"/>
  <c r="V32" i="11"/>
  <c r="W32" i="11"/>
  <c r="X32" i="11"/>
  <c r="Y32" i="11"/>
  <c r="Z32" i="11"/>
  <c r="AA32" i="11"/>
  <c r="AB32" i="11"/>
  <c r="U33" i="11"/>
  <c r="V33" i="11"/>
  <c r="W33" i="11"/>
  <c r="X33" i="11"/>
  <c r="T33" i="11" s="1"/>
  <c r="Y33" i="11"/>
  <c r="Z33" i="11"/>
  <c r="AA33" i="11"/>
  <c r="AB33" i="11"/>
  <c r="U34" i="11"/>
  <c r="T34" i="11" s="1"/>
  <c r="V34" i="11"/>
  <c r="W34" i="11"/>
  <c r="X34" i="11"/>
  <c r="Y34" i="11"/>
  <c r="Z34" i="11"/>
  <c r="AA34" i="11"/>
  <c r="AB34" i="11"/>
  <c r="U35" i="11"/>
  <c r="V35" i="11"/>
  <c r="T35" i="11" s="1"/>
  <c r="W35" i="11"/>
  <c r="X35" i="11"/>
  <c r="Y35" i="11"/>
  <c r="Z35" i="11"/>
  <c r="AA35" i="11"/>
  <c r="AB35" i="11"/>
  <c r="U36" i="11"/>
  <c r="T36" i="11" s="1"/>
  <c r="V36" i="11"/>
  <c r="W36" i="11"/>
  <c r="X36" i="11"/>
  <c r="Y36" i="11"/>
  <c r="Z36" i="11"/>
  <c r="AA36" i="11"/>
  <c r="AB36" i="11"/>
  <c r="U37" i="11"/>
  <c r="V37" i="11"/>
  <c r="W37" i="11"/>
  <c r="X37" i="11"/>
  <c r="T37" i="11" s="1"/>
  <c r="Y37" i="11"/>
  <c r="Z37" i="11"/>
  <c r="AA37" i="11"/>
  <c r="AB37" i="11"/>
  <c r="U38" i="11"/>
  <c r="T38" i="11" s="1"/>
  <c r="V38" i="11"/>
  <c r="W38" i="11"/>
  <c r="X38" i="11"/>
  <c r="Y38" i="11"/>
  <c r="Z38" i="11"/>
  <c r="AA38" i="11"/>
  <c r="AB38" i="11"/>
  <c r="U39" i="11"/>
  <c r="V39" i="11"/>
  <c r="T39" i="11" s="1"/>
  <c r="W39" i="11"/>
  <c r="X39" i="11"/>
  <c r="Y39" i="11"/>
  <c r="Z39" i="11"/>
  <c r="AA39" i="11"/>
  <c r="AB39" i="11"/>
  <c r="U40" i="11"/>
  <c r="T40" i="11" s="1"/>
  <c r="V40" i="11"/>
  <c r="W40" i="11"/>
  <c r="X40" i="11"/>
  <c r="Y40" i="11"/>
  <c r="Z40" i="11"/>
  <c r="AA40" i="11"/>
  <c r="AB40" i="11"/>
  <c r="T41" i="11"/>
  <c r="U41" i="11"/>
  <c r="V41" i="11"/>
  <c r="W41" i="11"/>
  <c r="X41" i="11"/>
  <c r="Y41" i="11"/>
  <c r="Z41" i="11"/>
  <c r="AA41" i="11"/>
  <c r="AB41" i="11"/>
  <c r="U42" i="11"/>
  <c r="T42" i="11" s="1"/>
  <c r="V42" i="11"/>
  <c r="W42" i="11"/>
  <c r="X42" i="11"/>
  <c r="Y42" i="11"/>
  <c r="Z42" i="11"/>
  <c r="AA42" i="11"/>
  <c r="AB42" i="11"/>
  <c r="U43" i="11"/>
  <c r="V43" i="11"/>
  <c r="T43" i="11" s="1"/>
  <c r="W43" i="11"/>
  <c r="X43" i="11"/>
  <c r="Y43" i="11"/>
  <c r="Z43" i="11"/>
  <c r="AA43" i="11"/>
  <c r="AB43" i="11"/>
  <c r="U44" i="11"/>
  <c r="T44" i="11" s="1"/>
  <c r="V44" i="11"/>
  <c r="W44" i="11"/>
  <c r="X44" i="11"/>
  <c r="Y44" i="11"/>
  <c r="Z44" i="11"/>
  <c r="AA44" i="11"/>
  <c r="AB44" i="11"/>
  <c r="U45" i="11"/>
  <c r="V45" i="11"/>
  <c r="W45" i="11"/>
  <c r="X45" i="11"/>
  <c r="T45" i="11" s="1"/>
  <c r="Y45" i="11"/>
  <c r="Z45" i="11"/>
  <c r="AA45" i="11"/>
  <c r="AB45" i="11"/>
  <c r="U46" i="11"/>
  <c r="T46" i="11" s="1"/>
  <c r="V46" i="11"/>
  <c r="W46" i="11"/>
  <c r="X46" i="11"/>
  <c r="Y46" i="11"/>
  <c r="Z46" i="11"/>
  <c r="AA46" i="11"/>
  <c r="AB46" i="11"/>
  <c r="U47" i="11"/>
  <c r="V47" i="11"/>
  <c r="T47" i="11" s="1"/>
  <c r="W47" i="11"/>
  <c r="X47" i="11"/>
  <c r="Y47" i="11"/>
  <c r="Z47" i="11"/>
  <c r="AA47" i="11"/>
  <c r="AB47" i="11"/>
  <c r="U48" i="11"/>
  <c r="T48" i="11" s="1"/>
  <c r="V48" i="11"/>
  <c r="W48" i="11"/>
  <c r="X48" i="11"/>
  <c r="Y48" i="11"/>
  <c r="Z48" i="11"/>
  <c r="AA48" i="11"/>
  <c r="AB48" i="11"/>
  <c r="U49" i="11"/>
  <c r="V49" i="11"/>
  <c r="W49" i="11"/>
  <c r="X49" i="11"/>
  <c r="Y49" i="11"/>
  <c r="Z49" i="11"/>
  <c r="AA49" i="11"/>
  <c r="AB49" i="11"/>
  <c r="T49" i="11" s="1"/>
  <c r="U50" i="11"/>
  <c r="T50" i="11" s="1"/>
  <c r="V50" i="11"/>
  <c r="W50" i="11"/>
  <c r="X50" i="11"/>
  <c r="Y50" i="11"/>
  <c r="Z50" i="11"/>
  <c r="AA50" i="11"/>
  <c r="AB50" i="11"/>
  <c r="U51" i="11"/>
  <c r="V51" i="11"/>
  <c r="T51" i="11" s="1"/>
  <c r="W51" i="11"/>
  <c r="X51" i="11"/>
  <c r="Y51" i="11"/>
  <c r="Z51" i="11"/>
  <c r="AA51" i="11"/>
  <c r="AB51" i="11"/>
  <c r="U52" i="11"/>
  <c r="T52" i="11" s="1"/>
  <c r="V52" i="11"/>
  <c r="W52" i="11"/>
  <c r="X52" i="11"/>
  <c r="Y52" i="11"/>
  <c r="Z52" i="11"/>
  <c r="AA52" i="11"/>
  <c r="AB52" i="11"/>
  <c r="U53" i="11"/>
  <c r="V53" i="11"/>
  <c r="W53" i="11"/>
  <c r="X53" i="11"/>
  <c r="T53" i="11" s="1"/>
  <c r="Y53" i="11"/>
  <c r="Z53" i="11"/>
  <c r="AA53" i="11"/>
  <c r="AB53" i="11"/>
  <c r="U54" i="11"/>
  <c r="T54" i="11" s="1"/>
  <c r="V54" i="11"/>
  <c r="W54" i="11"/>
  <c r="X54" i="11"/>
  <c r="Y54" i="11"/>
  <c r="Z54" i="11"/>
  <c r="AA54" i="11"/>
  <c r="AB54" i="11"/>
  <c r="U55" i="11"/>
  <c r="V55" i="11"/>
  <c r="T55" i="11" s="1"/>
  <c r="W55" i="11"/>
  <c r="X55" i="11"/>
  <c r="Y55" i="11"/>
  <c r="Z55" i="11"/>
  <c r="AA55" i="11"/>
  <c r="AB55" i="11"/>
  <c r="U56" i="11"/>
  <c r="T56" i="11" s="1"/>
  <c r="V56" i="11"/>
  <c r="W56" i="11"/>
  <c r="X56" i="11"/>
  <c r="Y56" i="11"/>
  <c r="Z56" i="11"/>
  <c r="AA56" i="11"/>
  <c r="AB56" i="11"/>
  <c r="U57" i="11"/>
  <c r="V57" i="11"/>
  <c r="W57" i="11"/>
  <c r="X57" i="11"/>
  <c r="I57" i="11" s="1"/>
  <c r="Y57" i="11"/>
  <c r="Z57" i="11"/>
  <c r="AA57" i="11"/>
  <c r="AB57" i="11"/>
  <c r="T57" i="11" s="1"/>
  <c r="U58" i="11"/>
  <c r="T58" i="11" s="1"/>
  <c r="V58" i="11"/>
  <c r="W58" i="11"/>
  <c r="X58" i="11"/>
  <c r="Y58" i="11"/>
  <c r="Z58" i="11"/>
  <c r="AA58" i="11"/>
  <c r="AB58" i="11"/>
  <c r="U59" i="11"/>
  <c r="V59" i="11"/>
  <c r="T59" i="11" s="1"/>
  <c r="W59" i="11"/>
  <c r="X59" i="11"/>
  <c r="Y59" i="11"/>
  <c r="Z59" i="11"/>
  <c r="AA59" i="11"/>
  <c r="AB59" i="11"/>
  <c r="U60" i="11"/>
  <c r="T60" i="11" s="1"/>
  <c r="V60" i="11"/>
  <c r="W60" i="11"/>
  <c r="X60" i="11"/>
  <c r="Y60" i="11"/>
  <c r="Z60" i="11"/>
  <c r="AA60" i="11"/>
  <c r="AB60" i="11"/>
  <c r="U61" i="11"/>
  <c r="V61" i="11"/>
  <c r="W61" i="11"/>
  <c r="X61" i="11"/>
  <c r="T61" i="11" s="1"/>
  <c r="Y61" i="11"/>
  <c r="Z61" i="11"/>
  <c r="AA61" i="11"/>
  <c r="AB61" i="11"/>
  <c r="U62" i="11"/>
  <c r="T62" i="11" s="1"/>
  <c r="V62" i="11"/>
  <c r="W62" i="11"/>
  <c r="X62" i="11"/>
  <c r="Y62" i="11"/>
  <c r="Z62" i="11"/>
  <c r="AA62" i="11"/>
  <c r="AB62" i="11"/>
  <c r="U63" i="11"/>
  <c r="V63" i="11"/>
  <c r="T63" i="11" s="1"/>
  <c r="W63" i="11"/>
  <c r="X63" i="11"/>
  <c r="Y63" i="11"/>
  <c r="Z63" i="11"/>
  <c r="AA63" i="11"/>
  <c r="AB63" i="11"/>
  <c r="U64" i="11"/>
  <c r="T64" i="11" s="1"/>
  <c r="V64" i="11"/>
  <c r="W64" i="11"/>
  <c r="X64" i="11"/>
  <c r="Y64" i="11"/>
  <c r="Z64" i="11"/>
  <c r="AA64" i="11"/>
  <c r="AB64" i="11"/>
  <c r="U65" i="11"/>
  <c r="V65" i="11"/>
  <c r="W65" i="11"/>
  <c r="X65" i="11"/>
  <c r="I65" i="11" s="1"/>
  <c r="Y65" i="11"/>
  <c r="Z65" i="11"/>
  <c r="AA65" i="11"/>
  <c r="AB65" i="11"/>
  <c r="T65" i="11" s="1"/>
  <c r="U66" i="11"/>
  <c r="T66" i="11" s="1"/>
  <c r="V66" i="11"/>
  <c r="W66" i="11"/>
  <c r="X66" i="11"/>
  <c r="Y66" i="11"/>
  <c r="Z66" i="11"/>
  <c r="AA66" i="11"/>
  <c r="AB66" i="11"/>
  <c r="U67" i="11"/>
  <c r="V67" i="11"/>
  <c r="T67" i="11" s="1"/>
  <c r="W67" i="11"/>
  <c r="X67" i="11"/>
  <c r="Y67" i="11"/>
  <c r="Z67" i="11"/>
  <c r="AA67" i="11"/>
  <c r="AB67" i="11"/>
  <c r="U68" i="11"/>
  <c r="T68" i="11" s="1"/>
  <c r="V68" i="11"/>
  <c r="W68" i="11"/>
  <c r="X68" i="11"/>
  <c r="Y68" i="11"/>
  <c r="Z68" i="11"/>
  <c r="AA68" i="11"/>
  <c r="AB68" i="11"/>
  <c r="U69" i="11"/>
  <c r="V69" i="11"/>
  <c r="W69" i="11"/>
  <c r="X69" i="11"/>
  <c r="I69" i="11" s="1"/>
  <c r="Y69" i="11"/>
  <c r="Z69" i="11"/>
  <c r="AA69" i="11"/>
  <c r="AB69" i="11"/>
  <c r="U70" i="11"/>
  <c r="T70" i="11" s="1"/>
  <c r="V70" i="11"/>
  <c r="W70" i="11"/>
  <c r="X70" i="11"/>
  <c r="Y70" i="11"/>
  <c r="Z70" i="11"/>
  <c r="AA70" i="11"/>
  <c r="AB70" i="11"/>
  <c r="U71" i="11"/>
  <c r="V71" i="11"/>
  <c r="T71" i="11" s="1"/>
  <c r="W71" i="11"/>
  <c r="X71" i="11"/>
  <c r="Y71" i="11"/>
  <c r="Z71" i="11"/>
  <c r="AA71" i="11"/>
  <c r="AB71" i="11"/>
  <c r="U72" i="11"/>
  <c r="T72" i="11" s="1"/>
  <c r="V72" i="11"/>
  <c r="W72" i="11"/>
  <c r="X72" i="11"/>
  <c r="Y72" i="11"/>
  <c r="Z72" i="11"/>
  <c r="AA72" i="11"/>
  <c r="AB72" i="11"/>
  <c r="U73" i="11"/>
  <c r="V73" i="11"/>
  <c r="W73" i="11"/>
  <c r="X73" i="11"/>
  <c r="I73" i="11" s="1"/>
  <c r="Y73" i="11"/>
  <c r="Z73" i="11"/>
  <c r="AA73" i="11"/>
  <c r="AB73" i="11"/>
  <c r="U74" i="11"/>
  <c r="T74" i="11" s="1"/>
  <c r="V74" i="11"/>
  <c r="W74" i="11"/>
  <c r="X74" i="11"/>
  <c r="Y74" i="11"/>
  <c r="Z74" i="11"/>
  <c r="AA74" i="11"/>
  <c r="AB74" i="11"/>
  <c r="U75" i="11"/>
  <c r="V75" i="11"/>
  <c r="T75" i="11" s="1"/>
  <c r="W75" i="11"/>
  <c r="X75" i="11"/>
  <c r="Y75" i="11"/>
  <c r="Z75" i="11"/>
  <c r="AA75" i="11"/>
  <c r="AB75" i="11"/>
  <c r="U76" i="11"/>
  <c r="T76" i="11" s="1"/>
  <c r="V76" i="11"/>
  <c r="W76" i="11"/>
  <c r="X76" i="11"/>
  <c r="Y76" i="11"/>
  <c r="Z76" i="11"/>
  <c r="AA76" i="11"/>
  <c r="AB76" i="11"/>
  <c r="U77" i="11"/>
  <c r="V77" i="11"/>
  <c r="W77" i="11"/>
  <c r="X77" i="11"/>
  <c r="T77" i="11" s="1"/>
  <c r="Y77" i="11"/>
  <c r="Z77" i="11"/>
  <c r="AA77" i="11"/>
  <c r="AB77" i="11"/>
  <c r="U78" i="11"/>
  <c r="T78" i="11" s="1"/>
  <c r="V78" i="11"/>
  <c r="W78" i="11"/>
  <c r="X78" i="11"/>
  <c r="Y78" i="11"/>
  <c r="Z78" i="11"/>
  <c r="AA78" i="11"/>
  <c r="AB78" i="11"/>
  <c r="U79" i="11"/>
  <c r="V79" i="11"/>
  <c r="T79" i="11" s="1"/>
  <c r="W79" i="11"/>
  <c r="X79" i="11"/>
  <c r="Y79" i="11"/>
  <c r="Z79" i="11"/>
  <c r="AA79" i="11"/>
  <c r="AB79" i="11"/>
  <c r="U80" i="11"/>
  <c r="T80" i="11" s="1"/>
  <c r="V80" i="11"/>
  <c r="W80" i="11"/>
  <c r="X80" i="11"/>
  <c r="Y80" i="11"/>
  <c r="Z80" i="11"/>
  <c r="AA80" i="11"/>
  <c r="AB80" i="11"/>
  <c r="U81" i="11"/>
  <c r="V81" i="11"/>
  <c r="W81" i="11"/>
  <c r="X81" i="11"/>
  <c r="I81" i="11" s="1"/>
  <c r="Y81" i="11"/>
  <c r="Z81" i="11"/>
  <c r="AA81" i="11"/>
  <c r="AB81" i="11"/>
  <c r="U82" i="11"/>
  <c r="T82" i="11" s="1"/>
  <c r="V82" i="11"/>
  <c r="W82" i="11"/>
  <c r="X82" i="11"/>
  <c r="Y82" i="11"/>
  <c r="Z82" i="11"/>
  <c r="AA82" i="11"/>
  <c r="AB82" i="11"/>
  <c r="U83" i="11"/>
  <c r="V83" i="11"/>
  <c r="T83" i="11" s="1"/>
  <c r="W83" i="11"/>
  <c r="X83" i="11"/>
  <c r="Y83" i="11"/>
  <c r="Z83" i="11"/>
  <c r="AA83" i="11"/>
  <c r="AB83" i="11"/>
  <c r="U84" i="11"/>
  <c r="T84" i="11" s="1"/>
  <c r="V84" i="11"/>
  <c r="W84" i="11"/>
  <c r="X84" i="11"/>
  <c r="Y84" i="11"/>
  <c r="Z84" i="11"/>
  <c r="AA84" i="11"/>
  <c r="AB84" i="11"/>
  <c r="U85" i="11"/>
  <c r="V85" i="11"/>
  <c r="W85" i="11"/>
  <c r="X85" i="11"/>
  <c r="I85" i="11" s="1"/>
  <c r="Y85" i="11"/>
  <c r="Z85" i="11"/>
  <c r="AA85" i="11"/>
  <c r="AB85" i="11"/>
  <c r="U86" i="11"/>
  <c r="T86" i="11" s="1"/>
  <c r="V86" i="11"/>
  <c r="W86" i="11"/>
  <c r="X86" i="11"/>
  <c r="Y86" i="11"/>
  <c r="Z86" i="11"/>
  <c r="AA86" i="11"/>
  <c r="AB86" i="11"/>
  <c r="U87" i="11"/>
  <c r="V87" i="11"/>
  <c r="T87" i="11" s="1"/>
  <c r="W87" i="11"/>
  <c r="X87" i="11"/>
  <c r="Y87" i="11"/>
  <c r="Z87" i="11"/>
  <c r="AA87" i="11"/>
  <c r="AB87" i="11"/>
  <c r="U88" i="11"/>
  <c r="T88" i="11" s="1"/>
  <c r="V88" i="11"/>
  <c r="W88" i="11"/>
  <c r="X88" i="11"/>
  <c r="Y88" i="11"/>
  <c r="Z88" i="11"/>
  <c r="AA88" i="11"/>
  <c r="AB88" i="11"/>
  <c r="U89" i="11"/>
  <c r="V89" i="11"/>
  <c r="W89" i="11"/>
  <c r="X89" i="11"/>
  <c r="I89" i="11" s="1"/>
  <c r="Y89" i="11"/>
  <c r="Z89" i="11"/>
  <c r="AA89" i="11"/>
  <c r="AB89" i="11"/>
  <c r="U90" i="11"/>
  <c r="T90" i="11" s="1"/>
  <c r="V90" i="11"/>
  <c r="W90" i="11"/>
  <c r="X90" i="11"/>
  <c r="Y90" i="11"/>
  <c r="Z90" i="11"/>
  <c r="AA90" i="11"/>
  <c r="AB90" i="11"/>
  <c r="U91" i="11"/>
  <c r="V91" i="11"/>
  <c r="T91" i="11" s="1"/>
  <c r="W91" i="11"/>
  <c r="X91" i="11"/>
  <c r="Y91" i="11"/>
  <c r="Z91" i="11"/>
  <c r="AA91" i="11"/>
  <c r="AB91" i="11"/>
  <c r="U92" i="11"/>
  <c r="T92" i="11" s="1"/>
  <c r="V92" i="11"/>
  <c r="W92" i="11"/>
  <c r="X92" i="11"/>
  <c r="Y92" i="11"/>
  <c r="Z92" i="11"/>
  <c r="AA92" i="11"/>
  <c r="AB92" i="11"/>
  <c r="U93" i="11"/>
  <c r="V93" i="11"/>
  <c r="W93" i="11"/>
  <c r="X93" i="11"/>
  <c r="T93" i="11" s="1"/>
  <c r="Y93" i="11"/>
  <c r="Z93" i="11"/>
  <c r="AA93" i="11"/>
  <c r="AB93" i="11"/>
  <c r="U94" i="11"/>
  <c r="T94" i="11" s="1"/>
  <c r="V94" i="11"/>
  <c r="W94" i="11"/>
  <c r="X94" i="11"/>
  <c r="Y94" i="11"/>
  <c r="Z94" i="11"/>
  <c r="AA94" i="11"/>
  <c r="AB94" i="11"/>
  <c r="U95" i="11"/>
  <c r="V95" i="11"/>
  <c r="T95" i="11" s="1"/>
  <c r="W95" i="11"/>
  <c r="X95" i="11"/>
  <c r="Y95" i="11"/>
  <c r="Z95" i="11"/>
  <c r="AA95" i="11"/>
  <c r="AB95" i="11"/>
  <c r="U96" i="11"/>
  <c r="T96" i="11" s="1"/>
  <c r="V96" i="11"/>
  <c r="W96" i="11"/>
  <c r="X96" i="11"/>
  <c r="Y96" i="11"/>
  <c r="Z96" i="11"/>
  <c r="AA96" i="11"/>
  <c r="AB96" i="11"/>
  <c r="U97" i="11"/>
  <c r="V97" i="11"/>
  <c r="W97" i="11"/>
  <c r="X97" i="11"/>
  <c r="T97" i="11" s="1"/>
  <c r="Y97" i="11"/>
  <c r="Z97" i="11"/>
  <c r="AA97" i="11"/>
  <c r="AB97" i="11"/>
  <c r="U98" i="11"/>
  <c r="T98" i="11" s="1"/>
  <c r="V98" i="11"/>
  <c r="W98" i="11"/>
  <c r="X98" i="11"/>
  <c r="Y98" i="11"/>
  <c r="Z98" i="11"/>
  <c r="AA98" i="11"/>
  <c r="AB98" i="11"/>
  <c r="U99" i="11"/>
  <c r="V99" i="11"/>
  <c r="T99" i="11" s="1"/>
  <c r="W99" i="11"/>
  <c r="X99" i="11"/>
  <c r="Y99" i="11"/>
  <c r="Z99" i="11"/>
  <c r="AA99" i="11"/>
  <c r="AB99" i="11"/>
  <c r="U100" i="11"/>
  <c r="T100" i="11" s="1"/>
  <c r="V100" i="11"/>
  <c r="W100" i="11"/>
  <c r="X100" i="11"/>
  <c r="Y100" i="11"/>
  <c r="Z100" i="11"/>
  <c r="AA100" i="11"/>
  <c r="AB100" i="11"/>
  <c r="U101" i="11"/>
  <c r="V101" i="11"/>
  <c r="W101" i="11"/>
  <c r="X101" i="11"/>
  <c r="T101" i="11" s="1"/>
  <c r="Y101" i="11"/>
  <c r="Z101" i="11"/>
  <c r="AA101" i="11"/>
  <c r="AB101" i="11"/>
  <c r="U102" i="11"/>
  <c r="T102" i="11" s="1"/>
  <c r="V102" i="11"/>
  <c r="W102" i="11"/>
  <c r="X102" i="11"/>
  <c r="Y102" i="11"/>
  <c r="Z102" i="11"/>
  <c r="AA102" i="11"/>
  <c r="AB102" i="11"/>
  <c r="U103" i="11"/>
  <c r="V103" i="11"/>
  <c r="T103" i="11" s="1"/>
  <c r="W103" i="11"/>
  <c r="X103" i="11"/>
  <c r="Y103" i="11"/>
  <c r="Z103" i="11"/>
  <c r="AA103" i="11"/>
  <c r="AB103" i="11"/>
  <c r="U104" i="11"/>
  <c r="T104" i="11" s="1"/>
  <c r="V104" i="11"/>
  <c r="W104" i="11"/>
  <c r="X104" i="11"/>
  <c r="Y104" i="11"/>
  <c r="Z104" i="11"/>
  <c r="AA104" i="11"/>
  <c r="AB104" i="11"/>
  <c r="U105" i="11"/>
  <c r="V105" i="11"/>
  <c r="W105" i="11"/>
  <c r="X105" i="11"/>
  <c r="I105" i="11" s="1"/>
  <c r="Y105" i="11"/>
  <c r="Z105" i="11"/>
  <c r="AA105" i="11"/>
  <c r="AB105" i="11"/>
  <c r="U106" i="11"/>
  <c r="T106" i="11" s="1"/>
  <c r="V106" i="11"/>
  <c r="W106" i="11"/>
  <c r="X106" i="11"/>
  <c r="Y106" i="11"/>
  <c r="Z106" i="11"/>
  <c r="AA106" i="11"/>
  <c r="AB106" i="11"/>
  <c r="U107" i="11"/>
  <c r="V107" i="11"/>
  <c r="T107" i="11" s="1"/>
  <c r="W107" i="11"/>
  <c r="X107" i="11"/>
  <c r="Y107" i="11"/>
  <c r="Z107" i="11"/>
  <c r="AA107" i="11"/>
  <c r="AB107" i="11"/>
  <c r="U108" i="11"/>
  <c r="T108" i="11" s="1"/>
  <c r="V108" i="11"/>
  <c r="W108" i="11"/>
  <c r="X108" i="11"/>
  <c r="Y108" i="11"/>
  <c r="Z108" i="11"/>
  <c r="AA108" i="11"/>
  <c r="AB108" i="11"/>
  <c r="T109" i="11"/>
  <c r="U109" i="11"/>
  <c r="V109" i="11"/>
  <c r="W109" i="11"/>
  <c r="X109" i="11"/>
  <c r="I109" i="11" s="1"/>
  <c r="Y109" i="11"/>
  <c r="Z109" i="11"/>
  <c r="AA109" i="11"/>
  <c r="AB109" i="11"/>
  <c r="U110" i="11"/>
  <c r="T110" i="11" s="1"/>
  <c r="V110" i="11"/>
  <c r="W110" i="11"/>
  <c r="X110" i="11"/>
  <c r="Y110" i="11"/>
  <c r="Z110" i="11"/>
  <c r="AA110" i="11"/>
  <c r="AB110" i="11"/>
  <c r="U111" i="11"/>
  <c r="V111" i="11"/>
  <c r="T111" i="11" s="1"/>
  <c r="W111" i="11"/>
  <c r="X111" i="11"/>
  <c r="Y111" i="11"/>
  <c r="Z111" i="11"/>
  <c r="AA111" i="11"/>
  <c r="AB111" i="11"/>
  <c r="U112" i="11"/>
  <c r="T112" i="11" s="1"/>
  <c r="V112" i="11"/>
  <c r="W112" i="11"/>
  <c r="X112" i="11"/>
  <c r="Y112" i="11"/>
  <c r="Z112" i="11"/>
  <c r="AA112" i="11"/>
  <c r="AB112" i="11"/>
  <c r="U113" i="11"/>
  <c r="V113" i="11"/>
  <c r="W113" i="11"/>
  <c r="X113" i="11"/>
  <c r="I113" i="11" s="1"/>
  <c r="Y113" i="11"/>
  <c r="Z113" i="11"/>
  <c r="AA113" i="11"/>
  <c r="AB113" i="11"/>
  <c r="U114" i="11"/>
  <c r="T114" i="11" s="1"/>
  <c r="V114" i="11"/>
  <c r="W114" i="11"/>
  <c r="X114" i="11"/>
  <c r="Y114" i="11"/>
  <c r="Z114" i="11"/>
  <c r="AA114" i="11"/>
  <c r="AB114" i="11"/>
  <c r="U115" i="11"/>
  <c r="V115" i="11"/>
  <c r="T115" i="11" s="1"/>
  <c r="W115" i="11"/>
  <c r="X115" i="11"/>
  <c r="Y115" i="11"/>
  <c r="Z115" i="11"/>
  <c r="AA115" i="11"/>
  <c r="AB115" i="11"/>
  <c r="U116" i="11"/>
  <c r="T116" i="11" s="1"/>
  <c r="V116" i="11"/>
  <c r="W116" i="11"/>
  <c r="X116" i="11"/>
  <c r="Y116" i="11"/>
  <c r="Z116" i="11"/>
  <c r="AA116" i="11"/>
  <c r="AB116" i="11"/>
  <c r="U117" i="11"/>
  <c r="V117" i="11"/>
  <c r="W117" i="11"/>
  <c r="X117" i="11"/>
  <c r="T117" i="11" s="1"/>
  <c r="Y117" i="11"/>
  <c r="Z117" i="11"/>
  <c r="AA117" i="11"/>
  <c r="AB117" i="11"/>
  <c r="I37" i="11"/>
  <c r="I77" i="11"/>
  <c r="I101" i="11"/>
  <c r="I49" i="11"/>
  <c r="S14" i="11"/>
  <c r="S15" i="11"/>
  <c r="S16" i="11"/>
  <c r="S17" i="11"/>
  <c r="S18" i="11"/>
  <c r="S19" i="11"/>
  <c r="S20" i="11"/>
  <c r="S21" i="11"/>
  <c r="S22" i="11"/>
  <c r="S23" i="11"/>
  <c r="S24" i="11"/>
  <c r="S25" i="11"/>
  <c r="S26" i="11"/>
  <c r="S27" i="11"/>
  <c r="S28" i="11"/>
  <c r="S29" i="11"/>
  <c r="S30" i="11"/>
  <c r="S31" i="11"/>
  <c r="S32" i="11"/>
  <c r="S33" i="11"/>
  <c r="S34" i="11"/>
  <c r="S35" i="11"/>
  <c r="S36" i="11"/>
  <c r="S37" i="11"/>
  <c r="S38" i="11"/>
  <c r="S39" i="11"/>
  <c r="S40" i="11"/>
  <c r="S41" i="11"/>
  <c r="S42" i="11"/>
  <c r="S43" i="11"/>
  <c r="S44" i="11"/>
  <c r="S45" i="11"/>
  <c r="S46" i="11"/>
  <c r="S47" i="11"/>
  <c r="S48" i="11"/>
  <c r="S49" i="11"/>
  <c r="S50" i="11"/>
  <c r="S51" i="11"/>
  <c r="S52" i="11"/>
  <c r="S53" i="11"/>
  <c r="S54" i="11"/>
  <c r="S55" i="11"/>
  <c r="S56" i="11"/>
  <c r="S57" i="11"/>
  <c r="S58" i="11"/>
  <c r="S59" i="11"/>
  <c r="S60" i="11"/>
  <c r="S61" i="11"/>
  <c r="S62" i="11"/>
  <c r="S63" i="11"/>
  <c r="S64" i="11"/>
  <c r="S65" i="11"/>
  <c r="S66" i="11"/>
  <c r="S67" i="11"/>
  <c r="S68" i="11"/>
  <c r="S69" i="11"/>
  <c r="S70" i="11"/>
  <c r="S71" i="11"/>
  <c r="S72" i="11"/>
  <c r="S73" i="11"/>
  <c r="S74" i="11"/>
  <c r="S75" i="11"/>
  <c r="S76" i="11"/>
  <c r="S77" i="11"/>
  <c r="S78" i="11"/>
  <c r="S79" i="11"/>
  <c r="S80" i="11"/>
  <c r="S81" i="11"/>
  <c r="S82" i="11"/>
  <c r="S83" i="11"/>
  <c r="S84" i="11"/>
  <c r="S85" i="11"/>
  <c r="S86" i="11"/>
  <c r="S87" i="11"/>
  <c r="S88" i="11"/>
  <c r="S89" i="11"/>
  <c r="S90" i="11"/>
  <c r="S91" i="11"/>
  <c r="S92" i="11"/>
  <c r="S93" i="11"/>
  <c r="S94" i="11"/>
  <c r="S95" i="11"/>
  <c r="S96" i="11"/>
  <c r="S97" i="11"/>
  <c r="S98" i="11"/>
  <c r="S99" i="11"/>
  <c r="S100" i="11"/>
  <c r="S101" i="11"/>
  <c r="S102" i="11"/>
  <c r="S103" i="11"/>
  <c r="S104" i="11"/>
  <c r="S105" i="11"/>
  <c r="S106" i="11"/>
  <c r="S107" i="11"/>
  <c r="S108" i="11"/>
  <c r="S109" i="11"/>
  <c r="S110" i="11"/>
  <c r="S111" i="11"/>
  <c r="S112" i="11"/>
  <c r="S113" i="11"/>
  <c r="S114" i="11"/>
  <c r="S115" i="11"/>
  <c r="S116" i="11"/>
  <c r="S117" i="11"/>
  <c r="P99" i="11"/>
  <c r="O99" i="11" s="1"/>
  <c r="P76" i="11"/>
  <c r="O76" i="11" s="1"/>
  <c r="P64" i="11"/>
  <c r="O64" i="11" s="1"/>
  <c r="P59" i="11"/>
  <c r="O59" i="11" s="1"/>
  <c r="P40" i="11"/>
  <c r="O40" i="11" s="1"/>
  <c r="P20" i="11"/>
  <c r="O20" i="11" s="1"/>
  <c r="P14" i="11"/>
  <c r="P15" i="11"/>
  <c r="O15" i="11" s="1"/>
  <c r="P16" i="11"/>
  <c r="P17" i="11"/>
  <c r="P18" i="11"/>
  <c r="P19" i="11"/>
  <c r="O19" i="11" s="1"/>
  <c r="P35" i="11"/>
  <c r="P36" i="11"/>
  <c r="P37" i="11"/>
  <c r="P38" i="11"/>
  <c r="O38" i="11" s="1"/>
  <c r="P39" i="11"/>
  <c r="P45" i="11"/>
  <c r="P46" i="11"/>
  <c r="P47" i="11"/>
  <c r="O47" i="11" s="1"/>
  <c r="P48" i="11"/>
  <c r="P57" i="11"/>
  <c r="P58" i="11"/>
  <c r="P60" i="11"/>
  <c r="O60" i="11" s="1"/>
  <c r="P61" i="11"/>
  <c r="P62" i="11"/>
  <c r="P63" i="11"/>
  <c r="P65" i="11"/>
  <c r="O65" i="11" s="1"/>
  <c r="P66" i="11"/>
  <c r="P67" i="11"/>
  <c r="P68" i="11"/>
  <c r="P69" i="11"/>
  <c r="O69" i="11" s="1"/>
  <c r="P70" i="11"/>
  <c r="P71" i="11"/>
  <c r="P72" i="11"/>
  <c r="P73" i="11"/>
  <c r="O73" i="11" s="1"/>
  <c r="P74" i="11"/>
  <c r="P75" i="11"/>
  <c r="P79" i="11"/>
  <c r="P80" i="11"/>
  <c r="O80" i="11" s="1"/>
  <c r="P84" i="11"/>
  <c r="P85" i="11"/>
  <c r="P86" i="11"/>
  <c r="P87" i="11"/>
  <c r="O87" i="11" s="1"/>
  <c r="P88" i="11"/>
  <c r="P92" i="11"/>
  <c r="P93" i="11"/>
  <c r="P94" i="11"/>
  <c r="O94" i="11" s="1"/>
  <c r="P95" i="11"/>
  <c r="P96" i="11"/>
  <c r="P97" i="11"/>
  <c r="P98" i="11"/>
  <c r="O98" i="11" s="1"/>
  <c r="P100" i="11"/>
  <c r="P101" i="11"/>
  <c r="P102" i="11"/>
  <c r="P103" i="11"/>
  <c r="O103" i="11" s="1"/>
  <c r="P109" i="11"/>
  <c r="P110" i="11"/>
  <c r="P111" i="11"/>
  <c r="P112" i="11"/>
  <c r="O112" i="11" s="1"/>
  <c r="P113" i="11"/>
  <c r="P114" i="11"/>
  <c r="P115" i="11"/>
  <c r="P116" i="11"/>
  <c r="O116" i="11" s="1"/>
  <c r="P117" i="11"/>
  <c r="O14" i="11"/>
  <c r="O16" i="11"/>
  <c r="O17" i="11"/>
  <c r="O18" i="11"/>
  <c r="O35" i="11"/>
  <c r="O36" i="11"/>
  <c r="O37" i="11"/>
  <c r="O39" i="11"/>
  <c r="O45" i="11"/>
  <c r="O46" i="11"/>
  <c r="O48" i="11"/>
  <c r="O57" i="11"/>
  <c r="O58" i="11"/>
  <c r="O61" i="11"/>
  <c r="O62" i="11"/>
  <c r="O63" i="11"/>
  <c r="O66" i="11"/>
  <c r="O67" i="11"/>
  <c r="O68" i="11"/>
  <c r="O70" i="11"/>
  <c r="O71" i="11"/>
  <c r="O72" i="11"/>
  <c r="O74" i="11"/>
  <c r="O75" i="11"/>
  <c r="O79" i="11"/>
  <c r="O84" i="11"/>
  <c r="O85" i="11"/>
  <c r="O86" i="11"/>
  <c r="O88" i="11"/>
  <c r="O92" i="11"/>
  <c r="O93" i="11"/>
  <c r="O95" i="11"/>
  <c r="O96" i="11"/>
  <c r="O97" i="11"/>
  <c r="O100" i="11"/>
  <c r="O101" i="11"/>
  <c r="O102" i="11"/>
  <c r="O109" i="11"/>
  <c r="O110" i="11"/>
  <c r="O111" i="11"/>
  <c r="O113" i="11"/>
  <c r="O114" i="11"/>
  <c r="O115" i="11"/>
  <c r="O117" i="11"/>
  <c r="I15" i="11"/>
  <c r="I16" i="11"/>
  <c r="I19" i="11"/>
  <c r="I20" i="11"/>
  <c r="I23" i="11"/>
  <c r="I24" i="11"/>
  <c r="I27" i="11"/>
  <c r="I28" i="11"/>
  <c r="I31" i="11"/>
  <c r="I32" i="11"/>
  <c r="I35" i="11"/>
  <c r="I36" i="11"/>
  <c r="I39" i="11"/>
  <c r="I40" i="11"/>
  <c r="I43" i="11"/>
  <c r="I44" i="11"/>
  <c r="I47" i="11"/>
  <c r="I48" i="11"/>
  <c r="I51" i="11"/>
  <c r="I52" i="11"/>
  <c r="I55" i="11"/>
  <c r="I56" i="11"/>
  <c r="I59" i="11"/>
  <c r="N59" i="11" s="1"/>
  <c r="I60" i="11"/>
  <c r="I63" i="11"/>
  <c r="I64" i="11"/>
  <c r="I67" i="11"/>
  <c r="I68" i="11"/>
  <c r="I71" i="11"/>
  <c r="I72" i="11"/>
  <c r="I75" i="11"/>
  <c r="I76" i="11"/>
  <c r="I79" i="11"/>
  <c r="I80" i="11"/>
  <c r="N80" i="11" s="1"/>
  <c r="I83" i="11"/>
  <c r="I84" i="11"/>
  <c r="I87" i="11"/>
  <c r="I88" i="11"/>
  <c r="I91" i="11"/>
  <c r="I92" i="11"/>
  <c r="I95" i="11"/>
  <c r="I96" i="11"/>
  <c r="I99" i="11"/>
  <c r="I100" i="11"/>
  <c r="I103" i="11"/>
  <c r="N103" i="11" s="1"/>
  <c r="I104" i="11"/>
  <c r="I107" i="11"/>
  <c r="I108" i="11"/>
  <c r="I111" i="11"/>
  <c r="I112" i="11"/>
  <c r="I115" i="11"/>
  <c r="I116" i="11"/>
  <c r="AS20" i="11" l="1"/>
  <c r="N20" i="11" s="1"/>
  <c r="T113" i="11"/>
  <c r="T105" i="11"/>
  <c r="T89" i="11"/>
  <c r="T85" i="11"/>
  <c r="N85" i="11" s="1"/>
  <c r="T69" i="11"/>
  <c r="T25" i="11"/>
  <c r="T17" i="11"/>
  <c r="I93" i="11"/>
  <c r="I33" i="11"/>
  <c r="T81" i="11"/>
  <c r="T73" i="11"/>
  <c r="N67" i="11"/>
  <c r="N96" i="11"/>
  <c r="N72" i="11"/>
  <c r="N100" i="11"/>
  <c r="N68" i="11"/>
  <c r="N48" i="11"/>
  <c r="I117" i="11"/>
  <c r="N117" i="11" s="1"/>
  <c r="I41" i="11"/>
  <c r="N75" i="11"/>
  <c r="N109" i="11"/>
  <c r="N65" i="11"/>
  <c r="N37" i="11"/>
  <c r="N111" i="11"/>
  <c r="N95" i="11"/>
  <c r="N79" i="11"/>
  <c r="N63" i="11"/>
  <c r="I97" i="11"/>
  <c r="N97" i="11" s="1"/>
  <c r="I21" i="11"/>
  <c r="N84" i="11"/>
  <c r="N36" i="11"/>
  <c r="N115" i="11"/>
  <c r="N60" i="11"/>
  <c r="N15" i="11"/>
  <c r="N93" i="11"/>
  <c r="N69" i="11"/>
  <c r="I114" i="11"/>
  <c r="N114" i="11" s="1"/>
  <c r="I110" i="11"/>
  <c r="N110" i="11" s="1"/>
  <c r="I106" i="11"/>
  <c r="I102" i="11"/>
  <c r="I98" i="11"/>
  <c r="N98" i="11" s="1"/>
  <c r="I94" i="11"/>
  <c r="I90" i="11"/>
  <c r="I86" i="11"/>
  <c r="N86" i="11" s="1"/>
  <c r="I82" i="11"/>
  <c r="I78" i="11"/>
  <c r="I74" i="11"/>
  <c r="N74" i="11" s="1"/>
  <c r="I70" i="11"/>
  <c r="N70" i="11" s="1"/>
  <c r="I66" i="11"/>
  <c r="N66" i="11" s="1"/>
  <c r="I62" i="11"/>
  <c r="N62" i="11" s="1"/>
  <c r="I58" i="11"/>
  <c r="N58" i="11" s="1"/>
  <c r="I54" i="11"/>
  <c r="I50" i="11"/>
  <c r="I46" i="11"/>
  <c r="I42" i="11"/>
  <c r="I38" i="11"/>
  <c r="N38" i="11" s="1"/>
  <c r="I34" i="11"/>
  <c r="I30" i="11"/>
  <c r="I26" i="11"/>
  <c r="I22" i="11"/>
  <c r="I18" i="11"/>
  <c r="N18" i="11" s="1"/>
  <c r="N92" i="11"/>
  <c r="N46" i="11"/>
  <c r="N16" i="11"/>
  <c r="N64" i="11"/>
  <c r="N116" i="11"/>
  <c r="N87" i="11"/>
  <c r="N47" i="11"/>
  <c r="N19" i="11"/>
  <c r="N17" i="11"/>
  <c r="I61" i="11"/>
  <c r="N61" i="11" s="1"/>
  <c r="I53" i="11"/>
  <c r="I45" i="11"/>
  <c r="N45" i="11" s="1"/>
  <c r="N113" i="11"/>
  <c r="N102" i="11"/>
  <c r="N88" i="11"/>
  <c r="N71" i="11"/>
  <c r="N35" i="11"/>
  <c r="N76" i="11"/>
  <c r="N112" i="11"/>
  <c r="N94" i="11"/>
  <c r="N73" i="11"/>
  <c r="N101" i="11"/>
  <c r="N57" i="11"/>
  <c r="N39" i="11"/>
  <c r="N40" i="11"/>
  <c r="N99" i="11"/>
  <c r="P50" i="11"/>
  <c r="O50" i="11" s="1"/>
  <c r="N50" i="11" s="1"/>
  <c r="P91" i="11"/>
  <c r="O91" i="11" s="1"/>
  <c r="N91" i="11" s="1"/>
  <c r="P90" i="11"/>
  <c r="O90" i="11" s="1"/>
  <c r="P83" i="11"/>
  <c r="O83" i="11" s="1"/>
  <c r="N83" i="11" s="1"/>
  <c r="P82" i="11"/>
  <c r="O82" i="11" s="1"/>
  <c r="N82" i="11" s="1"/>
  <c r="P104" i="11"/>
  <c r="O104" i="11" s="1"/>
  <c r="N104" i="11" s="1"/>
  <c r="P89" i="11"/>
  <c r="O89" i="11" s="1"/>
  <c r="N89" i="11" s="1"/>
  <c r="P81" i="11"/>
  <c r="O81" i="11" s="1"/>
  <c r="P49" i="11"/>
  <c r="O49" i="11" s="1"/>
  <c r="N49" i="11" s="1"/>
  <c r="N81" i="11" l="1"/>
  <c r="N90" i="11"/>
  <c r="P21" i="11"/>
  <c r="O21" i="11" s="1"/>
  <c r="N21" i="11" s="1"/>
  <c r="P105" i="11"/>
  <c r="O105" i="11" s="1"/>
  <c r="N105" i="11" s="1"/>
  <c r="P78" i="11"/>
  <c r="O78" i="11" s="1"/>
  <c r="N78" i="11" s="1"/>
  <c r="P77" i="11"/>
  <c r="O77" i="11" s="1"/>
  <c r="N77" i="11" s="1"/>
  <c r="P51" i="11"/>
  <c r="O51" i="11" s="1"/>
  <c r="N51" i="11" s="1"/>
  <c r="P41" i="11"/>
  <c r="O41" i="11" s="1"/>
  <c r="N41" i="11" s="1"/>
  <c r="P13" i="11"/>
  <c r="S13" i="11"/>
  <c r="P42" i="11" l="1"/>
  <c r="O42" i="11" s="1"/>
  <c r="N42" i="11" s="1"/>
  <c r="P22" i="11"/>
  <c r="O22" i="11" s="1"/>
  <c r="N22" i="11" s="1"/>
  <c r="P52" i="11"/>
  <c r="O52" i="11" s="1"/>
  <c r="N52" i="11" s="1"/>
  <c r="P106" i="11"/>
  <c r="O106" i="11" s="1"/>
  <c r="N106" i="11" s="1"/>
  <c r="BJ13" i="11"/>
  <c r="AX13" i="11"/>
  <c r="AY13" i="11"/>
  <c r="AV13" i="11"/>
  <c r="P108" i="11" l="1"/>
  <c r="O108" i="11" s="1"/>
  <c r="N108" i="11" s="1"/>
  <c r="P107" i="11"/>
  <c r="O107" i="11" s="1"/>
  <c r="N107" i="11" s="1"/>
  <c r="P23" i="11"/>
  <c r="O23" i="11" s="1"/>
  <c r="N23" i="11" s="1"/>
  <c r="P53" i="11"/>
  <c r="O53" i="11" s="1"/>
  <c r="N53" i="11" s="1"/>
  <c r="P43" i="11"/>
  <c r="O43" i="11" s="1"/>
  <c r="N43" i="11" s="1"/>
  <c r="P44" i="11"/>
  <c r="O44" i="11" s="1"/>
  <c r="N44" i="11" s="1"/>
  <c r="O13" i="11"/>
  <c r="P24" i="11" l="1"/>
  <c r="O24" i="11" s="1"/>
  <c r="N24" i="11" s="1"/>
  <c r="P54" i="11"/>
  <c r="O54" i="11" s="1"/>
  <c r="N54" i="11" s="1"/>
  <c r="BB13" i="11"/>
  <c r="BE13" i="11"/>
  <c r="P25" i="11" l="1"/>
  <c r="O25" i="11" s="1"/>
  <c r="N25" i="11" s="1"/>
  <c r="P56" i="11"/>
  <c r="O56" i="11" s="1"/>
  <c r="N56" i="11" s="1"/>
  <c r="P55" i="11"/>
  <c r="O55" i="11" s="1"/>
  <c r="N55" i="11" s="1"/>
  <c r="AT13" i="11"/>
  <c r="AS13" i="11" s="1"/>
  <c r="P26" i="11" l="1"/>
  <c r="O26" i="11" s="1"/>
  <c r="N26" i="11" s="1"/>
  <c r="C4" i="14"/>
  <c r="P27" i="11" l="1"/>
  <c r="O27" i="11" s="1"/>
  <c r="N27" i="11" s="1"/>
  <c r="F6" i="15"/>
  <c r="J6" i="15"/>
  <c r="G6" i="15"/>
  <c r="K6" i="15"/>
  <c r="H6" i="15"/>
  <c r="L6" i="15"/>
  <c r="E6" i="15"/>
  <c r="I6" i="15"/>
  <c r="P28" i="11" l="1"/>
  <c r="O28" i="11" s="1"/>
  <c r="N28" i="11" s="1"/>
  <c r="U13" i="11"/>
  <c r="X13" i="11"/>
  <c r="W13" i="11"/>
  <c r="AB13" i="11"/>
  <c r="V13" i="11"/>
  <c r="Y13" i="11"/>
  <c r="Z13" i="11"/>
  <c r="AA13" i="11"/>
  <c r="P29" i="11" l="1"/>
  <c r="O29" i="11" s="1"/>
  <c r="N29" i="11" s="1"/>
  <c r="I13" i="11"/>
  <c r="I14" i="11"/>
  <c r="N14" i="11" s="1"/>
  <c r="T13" i="11"/>
  <c r="N13" i="11" s="1"/>
  <c r="P30" i="11" l="1"/>
  <c r="O30" i="11" s="1"/>
  <c r="N30" i="11" s="1"/>
  <c r="P31" i="11" l="1"/>
  <c r="O31" i="11" s="1"/>
  <c r="N31" i="11" s="1"/>
  <c r="P32" i="11" l="1"/>
  <c r="O32" i="11" s="1"/>
  <c r="N32" i="11" s="1"/>
  <c r="P34" i="11" l="1"/>
  <c r="O34" i="11" s="1"/>
  <c r="N34" i="11" s="1"/>
  <c r="P33" i="11"/>
  <c r="O33" i="11" s="1"/>
  <c r="N33" i="11" s="1"/>
</calcChain>
</file>

<file path=xl/sharedStrings.xml><?xml version="1.0" encoding="utf-8"?>
<sst xmlns="http://schemas.openxmlformats.org/spreadsheetml/2006/main" count="737" uniqueCount="360">
  <si>
    <t>Kode</t>
  </si>
  <si>
    <t xml:space="preserve">No </t>
  </si>
  <si>
    <t>Aktivitas</t>
  </si>
  <si>
    <t>Rentang Waktu Insidental</t>
  </si>
  <si>
    <t>R/I</t>
  </si>
  <si>
    <t>Menyapu Ruang Keluarga</t>
  </si>
  <si>
    <t>Menyapu Ruang Tamu</t>
  </si>
  <si>
    <t>Menyapu Teras</t>
  </si>
  <si>
    <t>Mengepel Ruang Tamu</t>
  </si>
  <si>
    <t>I</t>
  </si>
  <si>
    <t>Mengepel Ruang Keluarga</t>
  </si>
  <si>
    <t>Menyiram tanaman pagi hari</t>
  </si>
  <si>
    <t>Mengepel Teras</t>
  </si>
  <si>
    <t>Belanja</t>
  </si>
  <si>
    <t>Memasak makan pagi dengan kompor gas</t>
  </si>
  <si>
    <t>Mencuci dengan mesin cuci</t>
  </si>
  <si>
    <t>Mencuci baju konvensional</t>
  </si>
  <si>
    <t>Menjemur pakaian</t>
  </si>
  <si>
    <t>Memasak makan siang dengan kompor gas</t>
  </si>
  <si>
    <t>Menonton TV siang</t>
  </si>
  <si>
    <t>Menyapu Ruang Tidur Utama 1</t>
  </si>
  <si>
    <t>Menyapu Ruang Tidur Utama 2</t>
  </si>
  <si>
    <t>Mengepel Ruang Tidur Utama 1</t>
  </si>
  <si>
    <t>Mengepel Ruang Tidur Utama 2</t>
  </si>
  <si>
    <t>Membaca</t>
  </si>
  <si>
    <t>Mengangkat jemuran</t>
  </si>
  <si>
    <t>Menyetrika pakaian</t>
  </si>
  <si>
    <t>Menyiram tanaman sore hari</t>
  </si>
  <si>
    <t>Memasak makan malam dengan kompor gas</t>
  </si>
  <si>
    <t>Bersantai</t>
  </si>
  <si>
    <t>Menonton TV malam</t>
  </si>
  <si>
    <t>CCB</t>
  </si>
  <si>
    <t>Total</t>
  </si>
  <si>
    <t>Urinasi</t>
  </si>
  <si>
    <t>Defekasi</t>
  </si>
  <si>
    <t>Kotor</t>
  </si>
  <si>
    <t>Energi</t>
  </si>
  <si>
    <t>Lapar</t>
  </si>
  <si>
    <t>Haus</t>
  </si>
  <si>
    <t>Lelah</t>
  </si>
  <si>
    <t>Kantuk</t>
  </si>
  <si>
    <t>UR</t>
  </si>
  <si>
    <t>DF</t>
  </si>
  <si>
    <t>DR</t>
  </si>
  <si>
    <t>EN</t>
  </si>
  <si>
    <t>HG</t>
  </si>
  <si>
    <t>TH</t>
  </si>
  <si>
    <t>EX</t>
  </si>
  <si>
    <t>SL</t>
  </si>
  <si>
    <t>CCE</t>
  </si>
  <si>
    <t>Selisih</t>
  </si>
  <si>
    <t>Keuntungan</t>
  </si>
  <si>
    <t>Aturan</t>
  </si>
  <si>
    <t>Kebutuhan</t>
  </si>
  <si>
    <t>Otoritas</t>
  </si>
  <si>
    <t>Kepatuhan</t>
  </si>
  <si>
    <t>Diri sendiri</t>
  </si>
  <si>
    <t>Ayah</t>
  </si>
  <si>
    <t>Nenek</t>
  </si>
  <si>
    <t>Anak 1</t>
  </si>
  <si>
    <t>Anak 2</t>
  </si>
  <si>
    <t>Urgensi Lingkungan</t>
  </si>
  <si>
    <t>Waktu</t>
  </si>
  <si>
    <t>RMK01</t>
  </si>
  <si>
    <t>YA/ TIDAK</t>
  </si>
  <si>
    <r>
      <t>Kondisi Terkini Emosi</t>
    </r>
    <r>
      <rPr>
        <sz val="11"/>
        <color rgb="FFFF0000"/>
        <rFont val="Calibri"/>
        <family val="2"/>
        <scheme val="minor"/>
      </rPr>
      <t>*</t>
    </r>
  </si>
  <si>
    <r>
      <t>CCE</t>
    </r>
    <r>
      <rPr>
        <sz val="11"/>
        <color rgb="FFFF0000"/>
        <rFont val="Calibri"/>
        <family val="2"/>
        <scheme val="minor"/>
      </rPr>
      <t>**</t>
    </r>
  </si>
  <si>
    <r>
      <t>*</t>
    </r>
    <r>
      <rPr>
        <sz val="11"/>
        <color rgb="FFFF0000"/>
        <rFont val="Calibri"/>
        <family val="2"/>
        <scheme val="minor"/>
      </rPr>
      <t>Rekap data setiap ada perubahan pada KAL.E</t>
    </r>
  </si>
  <si>
    <t>**Total efek di KAL.E, terjadi perubahan di Total Efek setiap aktivitas berubah atau terinterupsi</t>
  </si>
  <si>
    <t xml:space="preserve">CCE dan Standar Emosi masuk dalam perhitungan di pilih </t>
  </si>
  <si>
    <t>TOTAL EF.E</t>
  </si>
  <si>
    <t>TOTAL NILAI</t>
  </si>
  <si>
    <t>OPERASI</t>
  </si>
  <si>
    <t>Rekap Data Agen Terkini</t>
  </si>
  <si>
    <t>Fisik</t>
  </si>
  <si>
    <t>Posisi Ruang</t>
  </si>
  <si>
    <t>Posisi Titik</t>
  </si>
  <si>
    <t>waktu terakhir</t>
  </si>
  <si>
    <t>copy Kal.E</t>
  </si>
  <si>
    <t>copy Kal.B</t>
  </si>
  <si>
    <t>aktivitas terakhir</t>
  </si>
  <si>
    <t>ruang apa</t>
  </si>
  <si>
    <t>duduk/tidur/berdiri dimana</t>
  </si>
  <si>
    <t>KU02</t>
  </si>
  <si>
    <t>TOTAL JADWAL</t>
  </si>
  <si>
    <t>Copy Kal.F</t>
  </si>
  <si>
    <t>Keinginan</t>
  </si>
  <si>
    <t>Informasi</t>
  </si>
  <si>
    <t>PA-I</t>
  </si>
  <si>
    <t>PA-O</t>
  </si>
  <si>
    <t>Pergi memasukan laundry</t>
  </si>
  <si>
    <t>Pergi mengambil laundry</t>
  </si>
  <si>
    <t>UA-I</t>
  </si>
  <si>
    <t>DI/MI</t>
  </si>
  <si>
    <t>MI</t>
  </si>
  <si>
    <t>DI</t>
  </si>
  <si>
    <t>Status (SL/ BM/ BS)</t>
  </si>
  <si>
    <t>Standar Fisiologis</t>
  </si>
  <si>
    <t>CCF</t>
  </si>
  <si>
    <t>Total EF.F</t>
  </si>
  <si>
    <t>Emosi</t>
  </si>
  <si>
    <t>Karakter Aktivitas</t>
  </si>
  <si>
    <t>Fisiologis</t>
  </si>
  <si>
    <t>SN</t>
  </si>
  <si>
    <t>Nilai Matriks</t>
  </si>
  <si>
    <t>SN Urgensi</t>
  </si>
  <si>
    <t>Mematikan lampu garasi di pagi hari</t>
  </si>
  <si>
    <t>Menghidupkan lampu garasi di sore hari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</si>
  <si>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</si>
  <si>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</si>
  <si>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</si>
  <si>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</si>
  <si>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</si>
  <si>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</si>
  <si>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</si>
  <si>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</si>
  <si>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</si>
  <si>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</si>
  <si>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</si>
  <si>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</si>
  <si>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A13</t>
  </si>
  <si>
    <t>A14</t>
  </si>
  <si>
    <t>A15</t>
  </si>
  <si>
    <t>A16</t>
  </si>
  <si>
    <t>A17</t>
  </si>
  <si>
    <t>A18</t>
  </si>
  <si>
    <t>A19</t>
  </si>
  <si>
    <t>A20</t>
  </si>
  <si>
    <t>A21</t>
  </si>
  <si>
    <t>A22</t>
  </si>
  <si>
    <t>A23</t>
  </si>
  <si>
    <t>A24</t>
  </si>
  <si>
    <t>A25</t>
  </si>
  <si>
    <t>A26</t>
  </si>
  <si>
    <t>PR;A13</t>
  </si>
  <si>
    <t>A27</t>
  </si>
  <si>
    <t>PR;A12</t>
  </si>
  <si>
    <t>A28</t>
  </si>
  <si>
    <t>A29</t>
  </si>
  <si>
    <t>PR;A11</t>
  </si>
  <si>
    <t>A30</t>
  </si>
  <si>
    <t>A31</t>
  </si>
  <si>
    <t>A32</t>
  </si>
  <si>
    <t>A33</t>
  </si>
  <si>
    <t>A34</t>
  </si>
  <si>
    <t>A35</t>
  </si>
  <si>
    <t>A36</t>
  </si>
  <si>
    <t>A37</t>
  </si>
  <si>
    <t>A38</t>
  </si>
  <si>
    <t>A39</t>
  </si>
  <si>
    <t>A40</t>
  </si>
  <si>
    <t>A41</t>
  </si>
  <si>
    <t>A42</t>
  </si>
  <si>
    <t>A43</t>
  </si>
  <si>
    <t>A44</t>
  </si>
  <si>
    <t>A45</t>
  </si>
  <si>
    <t>PR;A5</t>
  </si>
  <si>
    <t>A46</t>
  </si>
  <si>
    <t>A47</t>
  </si>
  <si>
    <t>A48</t>
  </si>
  <si>
    <t>A49</t>
  </si>
  <si>
    <t>A50</t>
  </si>
  <si>
    <t>A51</t>
  </si>
  <si>
    <t>A52</t>
  </si>
  <si>
    <t>A53</t>
  </si>
  <si>
    <t>A54</t>
  </si>
  <si>
    <t>A55</t>
  </si>
  <si>
    <t>A56</t>
  </si>
  <si>
    <t>A57</t>
  </si>
  <si>
    <t>A58</t>
  </si>
  <si>
    <t>A59</t>
  </si>
  <si>
    <t>A60</t>
  </si>
  <si>
    <t>A61</t>
  </si>
  <si>
    <t>A62</t>
  </si>
  <si>
    <t>A63</t>
  </si>
  <si>
    <t>A64</t>
  </si>
  <si>
    <t>A65</t>
  </si>
  <si>
    <t>A66</t>
  </si>
  <si>
    <t>A67</t>
  </si>
  <si>
    <t>A68</t>
  </si>
  <si>
    <t>A69</t>
  </si>
  <si>
    <t>A70</t>
  </si>
  <si>
    <t>A71</t>
  </si>
  <si>
    <t>A72</t>
  </si>
  <si>
    <t>A73</t>
  </si>
  <si>
    <t>A74</t>
  </si>
  <si>
    <t>A75</t>
  </si>
  <si>
    <t>A76</t>
  </si>
  <si>
    <t>A77</t>
  </si>
  <si>
    <t>A78</t>
  </si>
  <si>
    <t>A79</t>
  </si>
  <si>
    <t>Berdandan setelah mandi</t>
  </si>
  <si>
    <t>Waktu dibatalkan</t>
  </si>
  <si>
    <t>Batas Waktu Insidental</t>
  </si>
  <si>
    <t>Status Aktivitas</t>
  </si>
  <si>
    <t>H</t>
  </si>
  <si>
    <t>6/7 ; 7/7</t>
  </si>
  <si>
    <t>Pengaruh agen otoritas</t>
  </si>
  <si>
    <t>Standar Emosi</t>
  </si>
  <si>
    <t>Selisih batas waktu</t>
  </si>
  <si>
    <t>Urgensi waktu terpilih</t>
  </si>
  <si>
    <t>Sisa</t>
  </si>
  <si>
    <t>Jumlah</t>
  </si>
  <si>
    <t>KETERANGAN</t>
  </si>
  <si>
    <t>Urutan Pengali Emosi</t>
  </si>
  <si>
    <t>Total Nilai = Total Jadwal + Total EF.F + Urgensi waktu terpilih</t>
  </si>
  <si>
    <t>Data konstan dari Data Dasar Survei Agen 25 Aug</t>
  </si>
  <si>
    <t>Input data eksternal agen (tingkat fisiologis agen lain, urgensi lingkungan) dari Data Dasar Agen Dummy 25 Aug</t>
  </si>
  <si>
    <t>Data yang bisa berubah: dari CCF &amp; CCE; tingkat kotor diri sendiri; berubah karena waktu dibatalkan; status R/I; batas waktu insidental; status SL/ BM/ BS; sisa pengulangan; Pengali emosi; Urutan pengali emosi</t>
  </si>
  <si>
    <t>Kalkulasi urgensi waktu; kalkulasi selisih nilai fisiologis; kalkulasi per karakteristik aktivitas</t>
  </si>
  <si>
    <t>Aktivitas prasyarat: hanya bisa dilakukan jika didahului aktivitas tertentu (PR;KODE AKTIVITAS PENDAHULU)</t>
  </si>
  <si>
    <t>JENIS AKTIVITAS</t>
  </si>
  <si>
    <t>PRIORITAS</t>
  </si>
  <si>
    <t>outdoor</t>
  </si>
  <si>
    <t>Tidak mengubah status R ke I, aktivitas tertunda bisa terkalkulasi di proses pilih selanjutnya</t>
  </si>
  <si>
    <t>indoor</t>
  </si>
  <si>
    <t>Mengubah R ke I, aktivitas tidak terkalkulasi dalam proses pilih hingga 6 jam berikutnya</t>
  </si>
  <si>
    <t>PR</t>
  </si>
  <si>
    <t>prerequisite</t>
  </si>
  <si>
    <t>Mengubah R ke I, aktivitas tidak terkalkulasi dalam proses pilih hingga 12 jam berikutnya</t>
  </si>
  <si>
    <t>PA</t>
  </si>
  <si>
    <t>planned</t>
  </si>
  <si>
    <t>Mengubah R ke I, aktivitas tidak terkalkulasi dalam proses pilih hingga 24 jam berikutnya (hari berikutnya di jadwal yang sama)</t>
  </si>
  <si>
    <t>UA</t>
  </si>
  <si>
    <t>unplanned</t>
  </si>
  <si>
    <t>STATUS</t>
  </si>
  <si>
    <t>BM</t>
  </si>
  <si>
    <t>BS</t>
  </si>
  <si>
    <t>Selesai</t>
  </si>
  <si>
    <t>Belum mulai</t>
  </si>
  <si>
    <t>Belum selesai</t>
  </si>
  <si>
    <t>Aktivitas selesai, sisa pengulangan &gt; 0, R: bisa terkalkulasi pada proses pilih selanjutnya</t>
  </si>
  <si>
    <t>Aktivitas belum mulai, sisa pengulangan &gt; 0, R/I: bisa terkalkulasi pada proses pilih selanjutnya (jika I, hanya terkalkulasi ketika waktu terkini &gt; batas waktu I) | sisa pengulangan = 0, R/I: tidak bisa terkalkulasi pada proses pilih selanjutnya (jika I, hanya terkalkulasi pada hari/ minggu berikutnya sesuai dengan nilai prioritas 3/4)</t>
  </si>
  <si>
    <t>Aktivitas sedang berjalan/ tertunda, sisa pengulangan &gt; 0, status R ke I (prioritas 1-4): bisa terkalkulasi pada proses pilih selanjutnya (jika I, hanya terkalkulasi ketika waktu terkini &gt; batas waktu I)</t>
  </si>
  <si>
    <t>Mengubah R ke I, aktivitas tidak terkalkulasi dalam proses pilih hingga minggu berikutnya di jadwal yang sama</t>
  </si>
  <si>
    <t>PR;A7</t>
  </si>
  <si>
    <t>PR;A10</t>
  </si>
  <si>
    <t>Jenis</t>
  </si>
  <si>
    <t>Kode Pengulangan Waktu (aktivitas berjalan)</t>
  </si>
  <si>
    <t>Pengulangan (kalau batal dalam H/M)</t>
  </si>
  <si>
    <t>Prioritas (kalau batal dalam H/M)</t>
  </si>
  <si>
    <t>-</t>
  </si>
  <si>
    <t>M;2</t>
  </si>
  <si>
    <t>A</t>
  </si>
  <si>
    <r>
      <t>Kondisi Terkini Fisiologis</t>
    </r>
    <r>
      <rPr>
        <sz val="11"/>
        <color rgb="FFFF0000"/>
        <rFont val="Calibri"/>
        <family val="2"/>
        <scheme val="minor"/>
      </rPr>
      <t>*</t>
    </r>
  </si>
  <si>
    <t xml:space="preserve">CCF dan Standar Fisiologis masuk dalam perhitungan di pilih </t>
  </si>
  <si>
    <r>
      <t>*</t>
    </r>
    <r>
      <rPr>
        <sz val="11"/>
        <color rgb="FFFF0000"/>
        <rFont val="Calibri"/>
        <family val="2"/>
        <scheme val="minor"/>
      </rPr>
      <t>Rekap data setiap ada perubahan pada KAL.F</t>
    </r>
  </si>
  <si>
    <t>auto (durasi = durasi alat listrik digunakan, durasi aktivitas agen = 5 menit)</t>
  </si>
  <si>
    <t>Membereskan kasur &amp; karpet tidur di pagi hari</t>
  </si>
  <si>
    <t>PA-I;A</t>
  </si>
  <si>
    <t>Mengisi ulang daya gadget</t>
  </si>
  <si>
    <t>PR;A55</t>
  </si>
  <si>
    <t>Menyapu Ruang Kerja</t>
  </si>
  <si>
    <t>Menyapu Ruang Belakang</t>
  </si>
  <si>
    <t>Menyapu Dapur Kotor</t>
  </si>
  <si>
    <t>Menyapu Dapur Bersih</t>
  </si>
  <si>
    <t>PR;A6</t>
  </si>
  <si>
    <t>Mengepel Ruang Kerja</t>
  </si>
  <si>
    <t>PR;A9</t>
  </si>
  <si>
    <t>Mengepel Dapur Kotor</t>
  </si>
  <si>
    <t>Mengepel Dapur Bersih</t>
  </si>
  <si>
    <t>Memasak makan pagi dengan rice cooker</t>
  </si>
  <si>
    <t>Pergi membeli makan pagi di luar rumah</t>
  </si>
  <si>
    <t>Membangunkan anak di pagi hari</t>
  </si>
  <si>
    <t>PR-D;A25</t>
  </si>
  <si>
    <t>Membuat susu anak di pagi hari</t>
  </si>
  <si>
    <t>Membuang sampah</t>
  </si>
  <si>
    <t>Membakar sampah</t>
  </si>
  <si>
    <t>Memasak air untuk mandi di pagi hari</t>
  </si>
  <si>
    <t>PR-D;A29</t>
  </si>
  <si>
    <t>Memandikan anak pagi hari</t>
  </si>
  <si>
    <t>Membuat minuman herbal</t>
  </si>
  <si>
    <t>Menyuapi anak makan pagi</t>
  </si>
  <si>
    <t>Bekerja di luar rumah</t>
  </si>
  <si>
    <t>Bermain dengan anak di pagi hari</t>
  </si>
  <si>
    <t>Pergi jalan ke luar rumah di akhir pekan</t>
  </si>
  <si>
    <t>Membersihkan KM Tengah</t>
  </si>
  <si>
    <t>Membersihkan KM Dalam</t>
  </si>
  <si>
    <t>Membersihkan KM Lt. 2</t>
  </si>
  <si>
    <t>PA-I;E;A42</t>
  </si>
  <si>
    <t>PA-I;E;A41</t>
  </si>
  <si>
    <t>PR-D;A41;A42</t>
  </si>
  <si>
    <t>Menjahit</t>
  </si>
  <si>
    <t>PA-O;E;A41/A42</t>
  </si>
  <si>
    <t>Menonton TV pagi</t>
  </si>
  <si>
    <t>Memasak makan siang dengan rice cooker</t>
  </si>
  <si>
    <t>PA-O;E;A49</t>
  </si>
  <si>
    <t>Pergi membeli makan siang di luar rumah</t>
  </si>
  <si>
    <t>PA-I;E;A48</t>
  </si>
  <si>
    <t>Menyuapi anak makan siang</t>
  </si>
  <si>
    <t>Membuat susu anak di siang hari</t>
  </si>
  <si>
    <t>Pergi jalan ke luar rumah di siang hari</t>
  </si>
  <si>
    <t>PR;A43</t>
  </si>
  <si>
    <t>Memasak air untuk mandi di sore hari</t>
  </si>
  <si>
    <t>PR-D;A58</t>
  </si>
  <si>
    <t>Memandikan anak sore hari</t>
  </si>
  <si>
    <t>Memasak makan malam dengan rice cooker</t>
  </si>
  <si>
    <t>PA-O;E;A63</t>
  </si>
  <si>
    <t>Pergi membeli makan malam di luar rumah</t>
  </si>
  <si>
    <t>PA-I;E;A62</t>
  </si>
  <si>
    <t>Menyuapi anak makan malam</t>
  </si>
  <si>
    <t>PR;A56</t>
  </si>
  <si>
    <t>Bermain dengan anak di malam hari</t>
  </si>
  <si>
    <t>Membuat susu anak di malam hari</t>
  </si>
  <si>
    <t>Bekerja menggunakan komputer</t>
  </si>
  <si>
    <t>Menggunakan printer</t>
  </si>
  <si>
    <t>Menyiapkan kasur &amp; karpet tidur</t>
  </si>
  <si>
    <t>PR;A22/A47/A60</t>
  </si>
  <si>
    <t>Mematikan rice cooker</t>
  </si>
  <si>
    <t>PR-D;A35/A52/A67</t>
  </si>
  <si>
    <t>Membereskan mainan anak</t>
  </si>
  <si>
    <t>PR;A32/A50/A64</t>
  </si>
  <si>
    <t xml:space="preserve">Mencuci piring dan alat masak </t>
  </si>
  <si>
    <t>PR-D;DLA;B7</t>
  </si>
  <si>
    <t>Mengoperasikan gadget</t>
  </si>
  <si>
    <t>Menerima tamu</t>
  </si>
  <si>
    <t>M;5</t>
  </si>
  <si>
    <t>M;4</t>
  </si>
  <si>
    <t>M;3</t>
  </si>
  <si>
    <t>M;1</t>
  </si>
  <si>
    <t>1/7 s/d 5/7</t>
  </si>
  <si>
    <t>6/7 s/d 7/7</t>
  </si>
  <si>
    <t>B;3</t>
  </si>
  <si>
    <t>Obligate time (belum diperhitungkan)</t>
  </si>
  <si>
    <t>Batas Mulai (Sequence by survey)</t>
  </si>
  <si>
    <t>Bermain dengan anak di siang hari</t>
  </si>
  <si>
    <t>Pengali Emosi</t>
  </si>
  <si>
    <t>PR-D;A69</t>
  </si>
  <si>
    <t>Membersihkan KM Belakang</t>
  </si>
  <si>
    <t>A80</t>
  </si>
  <si>
    <t>Menyapu Halaman Depan</t>
  </si>
  <si>
    <t>PR;A22;E;A24</t>
  </si>
  <si>
    <t>PR;A22;E;A23</t>
  </si>
  <si>
    <t>A116</t>
  </si>
  <si>
    <t>Mencari Agen 2</t>
  </si>
  <si>
    <t>PR-D;A116</t>
  </si>
  <si>
    <t>PR-D;A26</t>
  </si>
  <si>
    <t>A115</t>
  </si>
  <si>
    <t>Mengambil sampah</t>
  </si>
  <si>
    <t>PR-D;A115</t>
  </si>
  <si>
    <t>PR-D;A27</t>
  </si>
  <si>
    <t>A120</t>
  </si>
  <si>
    <t>Menyiapkan air mandi</t>
  </si>
  <si>
    <t>PR-D;A120</t>
  </si>
  <si>
    <t>PR;A29</t>
  </si>
  <si>
    <t>PR-D;A31</t>
  </si>
  <si>
    <t>A121</t>
  </si>
  <si>
    <t>Mencari Agen 3</t>
  </si>
  <si>
    <t>PR;A23/A24</t>
  </si>
  <si>
    <t>A117</t>
  </si>
  <si>
    <t>Membawa Agen 2</t>
  </si>
  <si>
    <t>PR-D;A117</t>
  </si>
  <si>
    <t>A118</t>
  </si>
  <si>
    <t>Mengambil Makan untuk Agen 2</t>
  </si>
  <si>
    <t>PR-D;A118</t>
  </si>
  <si>
    <t>PR-D;A53</t>
  </si>
  <si>
    <t>PR;A58</t>
  </si>
  <si>
    <t>PR-D;A68</t>
  </si>
  <si>
    <t>A119</t>
  </si>
  <si>
    <t>Mengambil Makan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</si>
</sst>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0.000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b/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charset val="1"/>
      <scheme val="minor"/>
    </font>
    <font>
      <sz val="9"/>
      <color rgb="FFFF0000"/>
      <name val="Calibri"/>
      <family val="2"/>
      <scheme val="minor"/>
    </font>
    <font>
      <b/>
      <sz val="12"/>
      <color rgb="FF3F3F3F"/>
      <name val="Calibri"/>
      <family val="2"/>
      <scheme val="minor"/>
    </font>
    <font>
      <sz val="11"/>
      <name val="Calibri"/>
      <family val="2"/>
      <charset val="1"/>
      <scheme val="minor"/>
    </font>
    <font>
      <sz val="10"/>
      <color rgb="FFFF0000"/>
      <name val="Calibri"/>
      <family val="2"/>
      <scheme val="minor"/>
    </font>
    <font>
      <sz val="8"/>
      <name val="Calibri"/>
      <family val="2"/>
      <scheme val="minor"/>
    </font>
    <font>
      <b/>
      <sz val="11"/>
      <name val="Calibri"/>
      <family val="2"/>
      <charset val="1"/>
      <scheme val="minor"/>
    </font>
    <font>
      <b/>
      <sz val="11"/>
      <color theme="1"/>
      <name val="Calibri"/>
      <family val="2"/>
      <charset val="1"/>
      <scheme val="minor"/>
    </font>
    <font>
      <b/>
      <sz val="1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2F2F2"/>
      </patternFill>
    </fill>
    <fill>
      <patternFill patternType="solid">
        <fgColor rgb="FFFFCC66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14999847407452621"/>
        <bgColor indexed="64"/>
      </patternFill>
    </fill>
  </fills>
  <borders count="66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5">
    <xf numFmtId="0" fontId="0" fillId="0" borderId="0"/>
    <xf numFmtId="0" fontId="2" fillId="2" borderId="0" applyNumberFormat="0" applyBorder="0" applyAlignment="0" applyProtection="0"/>
    <xf numFmtId="0" fontId="5" fillId="0" borderId="0"/>
    <xf numFmtId="0" fontId="14" fillId="5" borderId="53" applyNumberFormat="0" applyAlignment="0" applyProtection="0"/>
    <xf numFmtId="43" fontId="1" fillId="0" borderId="0" applyFont="0" applyFill="0" applyBorder="0" applyAlignment="0" applyProtection="0"/>
  </cellStyleXfs>
  <cellXfs count="334">
    <xf numFmtId="0" fontId="0" fillId="0" borderId="0" xfId="0"/>
    <xf numFmtId="0" fontId="5" fillId="0" borderId="0" xfId="2"/>
    <xf numFmtId="0" fontId="10" fillId="0" borderId="0" xfId="2" applyFont="1"/>
    <xf numFmtId="0" fontId="10" fillId="0" borderId="0" xfId="2" applyFont="1" applyAlignment="1">
      <alignment horizontal="center"/>
    </xf>
    <xf numFmtId="0" fontId="5" fillId="0" borderId="0" xfId="2" applyAlignment="1">
      <alignment horizontal="left"/>
    </xf>
    <xf numFmtId="0" fontId="4" fillId="0" borderId="17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36" xfId="0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0" fontId="5" fillId="0" borderId="0" xfId="2" applyBorder="1"/>
    <xf numFmtId="0" fontId="0" fillId="0" borderId="0" xfId="0" applyAlignment="1">
      <alignment horizontal="center" vertical="center"/>
    </xf>
    <xf numFmtId="0" fontId="4" fillId="4" borderId="51" xfId="0" applyFont="1" applyFill="1" applyBorder="1" applyAlignment="1">
      <alignment horizontal="center" vertical="center"/>
    </xf>
    <xf numFmtId="0" fontId="4" fillId="4" borderId="36" xfId="0" applyFont="1" applyFill="1" applyBorder="1" applyAlignment="1">
      <alignment horizontal="center" vertical="center"/>
    </xf>
    <xf numFmtId="20" fontId="0" fillId="0" borderId="12" xfId="0" applyNumberFormat="1" applyBorder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0" fillId="0" borderId="1" xfId="0" applyBorder="1" applyAlignment="1">
      <alignment vertical="center"/>
    </xf>
    <xf numFmtId="0" fontId="0" fillId="0" borderId="0" xfId="0" applyBorder="1" applyAlignment="1">
      <alignment vertical="center"/>
    </xf>
    <xf numFmtId="0" fontId="0" fillId="0" borderId="8" xfId="0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2" fontId="0" fillId="4" borderId="12" xfId="0" applyNumberFormat="1" applyFill="1" applyBorder="1" applyAlignment="1">
      <alignment horizontal="center" vertical="center"/>
    </xf>
    <xf numFmtId="0" fontId="5" fillId="0" borderId="0" xfId="2" applyFill="1" applyBorder="1"/>
    <xf numFmtId="0" fontId="5" fillId="0" borderId="0" xfId="2" applyFill="1"/>
    <xf numFmtId="0" fontId="4" fillId="0" borderId="0" xfId="0" applyFont="1"/>
    <xf numFmtId="0" fontId="4" fillId="6" borderId="3" xfId="2" applyFont="1" applyFill="1" applyBorder="1" applyAlignment="1">
      <alignment horizontal="center" vertical="center"/>
    </xf>
    <xf numFmtId="0" fontId="4" fillId="0" borderId="3" xfId="2" applyFont="1" applyFill="1" applyBorder="1" applyAlignment="1">
      <alignment horizontal="center" vertical="center"/>
    </xf>
    <xf numFmtId="164" fontId="4" fillId="6" borderId="3" xfId="2" applyNumberFormat="1" applyFont="1" applyFill="1" applyBorder="1" applyAlignment="1">
      <alignment horizontal="center" vertical="center"/>
    </xf>
    <xf numFmtId="164" fontId="4" fillId="0" borderId="3" xfId="2" applyNumberFormat="1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3" xfId="0" applyBorder="1" applyAlignment="1">
      <alignment horizontal="center"/>
    </xf>
    <xf numFmtId="2" fontId="0" fillId="0" borderId="3" xfId="0" applyNumberFormat="1" applyBorder="1" applyAlignment="1">
      <alignment horizontal="center"/>
    </xf>
    <xf numFmtId="0" fontId="1" fillId="0" borderId="15" xfId="2" applyFont="1" applyFill="1" applyBorder="1" applyAlignment="1">
      <alignment horizontal="center"/>
    </xf>
    <xf numFmtId="2" fontId="0" fillId="0" borderId="3" xfId="0" applyNumberFormat="1" applyFill="1" applyBorder="1"/>
    <xf numFmtId="0" fontId="1" fillId="0" borderId="17" xfId="2" applyFont="1" applyFill="1" applyBorder="1" applyAlignment="1">
      <alignment horizontal="center"/>
    </xf>
    <xf numFmtId="0" fontId="1" fillId="0" borderId="33" xfId="2" applyFont="1" applyFill="1" applyBorder="1" applyAlignment="1">
      <alignment horizontal="center"/>
    </xf>
    <xf numFmtId="0" fontId="5" fillId="0" borderId="17" xfId="2" applyFill="1" applyBorder="1"/>
    <xf numFmtId="2" fontId="9" fillId="0" borderId="19" xfId="2" applyNumberFormat="1" applyFont="1" applyFill="1" applyBorder="1"/>
    <xf numFmtId="0" fontId="1" fillId="0" borderId="18" xfId="2" applyFont="1" applyFill="1" applyBorder="1" applyAlignment="1">
      <alignment horizontal="center"/>
    </xf>
    <xf numFmtId="0" fontId="1" fillId="0" borderId="40" xfId="2" applyFont="1" applyFill="1" applyBorder="1" applyAlignment="1">
      <alignment horizontal="center"/>
    </xf>
    <xf numFmtId="0" fontId="5" fillId="0" borderId="7" xfId="2" applyFill="1" applyBorder="1"/>
    <xf numFmtId="0" fontId="5" fillId="0" borderId="18" xfId="2" applyFill="1" applyBorder="1"/>
    <xf numFmtId="0" fontId="16" fillId="0" borderId="0" xfId="2" applyFont="1" applyFill="1" applyBorder="1" applyAlignment="1">
      <alignment horizontal="left" wrapText="1"/>
    </xf>
    <xf numFmtId="0" fontId="5" fillId="0" borderId="0" xfId="2" applyFill="1" applyBorder="1" applyAlignment="1">
      <alignment horizontal="left"/>
    </xf>
    <xf numFmtId="0" fontId="0" fillId="0" borderId="33" xfId="2" applyFont="1" applyFill="1" applyBorder="1" applyAlignment="1">
      <alignment horizontal="center"/>
    </xf>
    <xf numFmtId="2" fontId="0" fillId="0" borderId="17" xfId="0" applyNumberFormat="1" applyFill="1" applyBorder="1"/>
    <xf numFmtId="2" fontId="0" fillId="0" borderId="19" xfId="0" applyNumberFormat="1" applyFill="1" applyBorder="1"/>
    <xf numFmtId="2" fontId="0" fillId="0" borderId="38" xfId="0" applyNumberFormat="1" applyFill="1" applyBorder="1" applyAlignment="1">
      <alignment horizontal="center" vertical="center"/>
    </xf>
    <xf numFmtId="2" fontId="0" fillId="0" borderId="41" xfId="0" applyNumberFormat="1" applyFill="1" applyBorder="1" applyAlignment="1">
      <alignment horizontal="center" vertical="center"/>
    </xf>
    <xf numFmtId="2" fontId="0" fillId="0" borderId="42" xfId="0" applyNumberFormat="1" applyFill="1" applyBorder="1" applyAlignment="1">
      <alignment horizontal="center" vertical="center"/>
    </xf>
    <xf numFmtId="0" fontId="16" fillId="0" borderId="0" xfId="2" applyFont="1" applyFill="1" applyBorder="1" applyAlignment="1">
      <alignment horizontal="center" vertical="center" wrapText="1"/>
    </xf>
    <xf numFmtId="0" fontId="10" fillId="0" borderId="0" xfId="2" applyFont="1" applyAlignment="1">
      <alignment horizontal="center" vertical="center"/>
    </xf>
    <xf numFmtId="0" fontId="15" fillId="0" borderId="0" xfId="2" applyFont="1" applyFill="1"/>
    <xf numFmtId="0" fontId="15" fillId="0" borderId="33" xfId="2" applyFont="1" applyFill="1" applyBorder="1" applyAlignment="1">
      <alignment horizontal="center"/>
    </xf>
    <xf numFmtId="0" fontId="16" fillId="0" borderId="0" xfId="2" applyFont="1" applyFill="1" applyBorder="1" applyAlignment="1">
      <alignment horizontal="left"/>
    </xf>
    <xf numFmtId="2" fontId="9" fillId="0" borderId="47" xfId="2" applyNumberFormat="1" applyFont="1" applyFill="1" applyBorder="1"/>
    <xf numFmtId="0" fontId="5" fillId="0" borderId="0" xfId="2" applyFont="1" applyFill="1" applyBorder="1" applyAlignment="1">
      <alignment horizontal="center" vertical="center"/>
    </xf>
    <xf numFmtId="0" fontId="19" fillId="0" borderId="0" xfId="2" applyFont="1" applyAlignment="1">
      <alignment horizontal="center" vertical="center"/>
    </xf>
    <xf numFmtId="0" fontId="18" fillId="0" borderId="29" xfId="2" applyFont="1" applyFill="1" applyBorder="1" applyAlignment="1">
      <alignment horizontal="center" vertical="center" wrapText="1"/>
    </xf>
    <xf numFmtId="0" fontId="19" fillId="0" borderId="7" xfId="0" applyFont="1" applyFill="1" applyBorder="1" applyAlignment="1">
      <alignment horizontal="center" vertical="center"/>
    </xf>
    <xf numFmtId="0" fontId="19" fillId="0" borderId="18" xfId="0" applyFont="1" applyFill="1" applyBorder="1" applyAlignment="1">
      <alignment horizontal="center" vertical="center"/>
    </xf>
    <xf numFmtId="0" fontId="19" fillId="0" borderId="39" xfId="0" applyFont="1" applyFill="1" applyBorder="1" applyAlignment="1">
      <alignment horizontal="center" vertical="center"/>
    </xf>
    <xf numFmtId="0" fontId="18" fillId="0" borderId="36" xfId="2" applyFont="1" applyFill="1" applyBorder="1" applyAlignment="1">
      <alignment horizontal="center" vertical="center" wrapText="1"/>
    </xf>
    <xf numFmtId="0" fontId="19" fillId="0" borderId="36" xfId="0" applyFont="1" applyFill="1" applyBorder="1" applyAlignment="1">
      <alignment horizontal="center" vertical="center" wrapText="1"/>
    </xf>
    <xf numFmtId="0" fontId="19" fillId="0" borderId="23" xfId="0" applyFont="1" applyFill="1" applyBorder="1" applyAlignment="1">
      <alignment horizontal="center" vertical="center" wrapText="1"/>
    </xf>
    <xf numFmtId="0" fontId="19" fillId="0" borderId="51" xfId="0" applyFont="1" applyFill="1" applyBorder="1" applyAlignment="1">
      <alignment horizontal="center" vertical="center"/>
    </xf>
    <xf numFmtId="0" fontId="19" fillId="0" borderId="36" xfId="0" applyFont="1" applyFill="1" applyBorder="1" applyAlignment="1">
      <alignment horizontal="center" vertical="center"/>
    </xf>
    <xf numFmtId="0" fontId="19" fillId="0" borderId="23" xfId="0" applyFont="1" applyFill="1" applyBorder="1" applyAlignment="1">
      <alignment horizontal="center" vertical="center"/>
    </xf>
    <xf numFmtId="0" fontId="19" fillId="0" borderId="35" xfId="0" applyFont="1" applyFill="1" applyBorder="1" applyAlignment="1">
      <alignment horizontal="center" vertical="center"/>
    </xf>
    <xf numFmtId="0" fontId="19" fillId="0" borderId="8" xfId="2" applyFont="1" applyFill="1" applyBorder="1" applyAlignment="1">
      <alignment horizontal="center" vertical="center" wrapText="1"/>
    </xf>
    <xf numFmtId="0" fontId="12" fillId="0" borderId="0" xfId="2" applyFont="1" applyFill="1" applyAlignment="1">
      <alignment horizontal="left"/>
    </xf>
    <xf numFmtId="0" fontId="5" fillId="0" borderId="0" xfId="2" applyFill="1" applyAlignment="1">
      <alignment horizontal="left"/>
    </xf>
    <xf numFmtId="0" fontId="10" fillId="0" borderId="0" xfId="2" applyFont="1" applyFill="1" applyAlignment="1"/>
    <xf numFmtId="0" fontId="10" fillId="0" borderId="0" xfId="2" applyFont="1" applyFill="1" applyAlignment="1">
      <alignment horizontal="center"/>
    </xf>
    <xf numFmtId="0" fontId="5" fillId="0" borderId="0" xfId="2" applyFill="1" applyAlignment="1"/>
    <xf numFmtId="0" fontId="10" fillId="0" borderId="0" xfId="2" applyFont="1" applyFill="1"/>
    <xf numFmtId="0" fontId="11" fillId="0" borderId="41" xfId="1" applyFont="1" applyFill="1" applyBorder="1" applyAlignment="1">
      <alignment horizontal="center" vertical="center" wrapText="1"/>
    </xf>
    <xf numFmtId="0" fontId="18" fillId="0" borderId="38" xfId="2" applyFont="1" applyFill="1" applyBorder="1" applyAlignment="1">
      <alignment horizontal="center" vertical="center" wrapText="1"/>
    </xf>
    <xf numFmtId="2" fontId="3" fillId="0" borderId="32" xfId="2" applyNumberFormat="1" applyFont="1" applyFill="1" applyBorder="1"/>
    <xf numFmtId="2" fontId="9" fillId="0" borderId="32" xfId="2" applyNumberFormat="1" applyFont="1" applyFill="1" applyBorder="1"/>
    <xf numFmtId="2" fontId="3" fillId="0" borderId="47" xfId="2" applyNumberFormat="1" applyFont="1" applyFill="1" applyBorder="1"/>
    <xf numFmtId="2" fontId="9" fillId="0" borderId="50" xfId="2" applyNumberFormat="1" applyFont="1" applyFill="1" applyBorder="1"/>
    <xf numFmtId="2" fontId="15" fillId="0" borderId="47" xfId="2" applyNumberFormat="1" applyFont="1" applyFill="1" applyBorder="1"/>
    <xf numFmtId="0" fontId="1" fillId="0" borderId="19" xfId="2" applyFont="1" applyFill="1" applyBorder="1" applyAlignment="1">
      <alignment horizontal="center"/>
    </xf>
    <xf numFmtId="0" fontId="5" fillId="0" borderId="0" xfId="2"/>
    <xf numFmtId="0" fontId="5" fillId="0" borderId="0" xfId="2" applyFill="1"/>
    <xf numFmtId="0" fontId="5" fillId="3" borderId="0" xfId="2" applyFill="1"/>
    <xf numFmtId="0" fontId="8" fillId="0" borderId="0" xfId="2" applyFont="1"/>
    <xf numFmtId="0" fontId="5" fillId="0" borderId="3" xfId="2" applyFill="1" applyBorder="1"/>
    <xf numFmtId="20" fontId="0" fillId="0" borderId="16" xfId="2" applyNumberFormat="1" applyFont="1" applyFill="1" applyBorder="1" applyAlignment="1">
      <alignment horizontal="center"/>
    </xf>
    <xf numFmtId="20" fontId="0" fillId="0" borderId="20" xfId="2" applyNumberFormat="1" applyFont="1" applyFill="1" applyBorder="1" applyAlignment="1">
      <alignment horizontal="center"/>
    </xf>
    <xf numFmtId="20" fontId="1" fillId="0" borderId="16" xfId="2" applyNumberFormat="1" applyFont="1" applyFill="1" applyBorder="1" applyAlignment="1">
      <alignment horizontal="center"/>
    </xf>
    <xf numFmtId="0" fontId="5" fillId="4" borderId="0" xfId="2" applyFill="1"/>
    <xf numFmtId="20" fontId="1" fillId="0" borderId="20" xfId="2" applyNumberFormat="1" applyFont="1" applyFill="1" applyBorder="1" applyAlignment="1">
      <alignment horizontal="center"/>
    </xf>
    <xf numFmtId="20" fontId="0" fillId="0" borderId="45" xfId="2" applyNumberFormat="1" applyFont="1" applyFill="1" applyBorder="1" applyAlignment="1">
      <alignment horizontal="center"/>
    </xf>
    <xf numFmtId="0" fontId="21" fillId="0" borderId="0" xfId="2" applyFont="1" applyBorder="1" applyAlignment="1"/>
    <xf numFmtId="0" fontId="20" fillId="0" borderId="0" xfId="2" applyFont="1" applyBorder="1" applyAlignment="1"/>
    <xf numFmtId="20" fontId="0" fillId="0" borderId="21" xfId="2" applyNumberFormat="1" applyFont="1" applyFill="1" applyBorder="1" applyAlignment="1">
      <alignment horizontal="center"/>
    </xf>
    <xf numFmtId="20" fontId="9" fillId="0" borderId="18" xfId="2" applyNumberFormat="1" applyFont="1" applyFill="1" applyBorder="1" applyAlignment="1">
      <alignment horizontal="right" vertical="center"/>
    </xf>
    <xf numFmtId="20" fontId="0" fillId="0" borderId="26" xfId="2" applyNumberFormat="1" applyFont="1" applyFill="1" applyBorder="1" applyAlignment="1">
      <alignment horizontal="left"/>
    </xf>
    <xf numFmtId="20" fontId="0" fillId="0" borderId="17" xfId="2" applyNumberFormat="1" applyFont="1" applyFill="1" applyBorder="1" applyAlignment="1">
      <alignment horizontal="left"/>
    </xf>
    <xf numFmtId="46" fontId="3" fillId="0" borderId="23" xfId="2" applyNumberFormat="1" applyFont="1" applyFill="1" applyBorder="1"/>
    <xf numFmtId="20" fontId="0" fillId="0" borderId="18" xfId="2" applyNumberFormat="1" applyFont="1" applyFill="1" applyBorder="1" applyAlignment="1">
      <alignment horizontal="left"/>
    </xf>
    <xf numFmtId="20" fontId="1" fillId="0" borderId="21" xfId="2" applyNumberFormat="1" applyFont="1" applyFill="1" applyBorder="1" applyAlignment="1">
      <alignment horizontal="center"/>
    </xf>
    <xf numFmtId="0" fontId="5" fillId="7" borderId="0" xfId="2" applyFill="1"/>
    <xf numFmtId="0" fontId="18" fillId="7" borderId="29" xfId="2" applyFont="1" applyFill="1" applyBorder="1" applyAlignment="1">
      <alignment horizontal="center" vertical="center" wrapText="1"/>
    </xf>
    <xf numFmtId="0" fontId="18" fillId="7" borderId="36" xfId="2" applyFont="1" applyFill="1" applyBorder="1" applyAlignment="1">
      <alignment horizontal="center" vertical="center" wrapText="1"/>
    </xf>
    <xf numFmtId="0" fontId="5" fillId="8" borderId="0" xfId="2" applyFill="1"/>
    <xf numFmtId="0" fontId="11" fillId="7" borderId="37" xfId="1" applyFont="1" applyFill="1" applyBorder="1" applyAlignment="1">
      <alignment horizontal="center" vertical="center" wrapText="1"/>
    </xf>
    <xf numFmtId="0" fontId="18" fillId="7" borderId="42" xfId="2" applyFont="1" applyFill="1" applyBorder="1" applyAlignment="1">
      <alignment horizontal="center" vertical="center" wrapText="1"/>
    </xf>
    <xf numFmtId="0" fontId="5" fillId="9" borderId="0" xfId="2" applyFill="1"/>
    <xf numFmtId="0" fontId="19" fillId="9" borderId="36" xfId="0" applyFont="1" applyFill="1" applyBorder="1" applyAlignment="1">
      <alignment horizontal="center" vertical="center" wrapText="1"/>
    </xf>
    <xf numFmtId="20" fontId="18" fillId="3" borderId="26" xfId="2" applyNumberFormat="1" applyFont="1" applyFill="1" applyBorder="1" applyAlignment="1">
      <alignment horizontal="center" vertical="center" wrapText="1"/>
    </xf>
    <xf numFmtId="0" fontId="19" fillId="3" borderId="2" xfId="2" applyFont="1" applyFill="1" applyBorder="1" applyAlignment="1">
      <alignment horizontal="center" vertical="center" wrapText="1"/>
    </xf>
    <xf numFmtId="0" fontId="19" fillId="7" borderId="40" xfId="0" applyFont="1" applyFill="1" applyBorder="1" applyAlignment="1">
      <alignment horizontal="center" vertical="center"/>
    </xf>
    <xf numFmtId="0" fontId="19" fillId="7" borderId="7" xfId="0" applyFont="1" applyFill="1" applyBorder="1" applyAlignment="1">
      <alignment horizontal="center" vertical="center"/>
    </xf>
    <xf numFmtId="0" fontId="19" fillId="7" borderId="18" xfId="0" applyFont="1" applyFill="1" applyBorder="1" applyAlignment="1">
      <alignment horizontal="center" vertical="center"/>
    </xf>
    <xf numFmtId="0" fontId="19" fillId="7" borderId="57" xfId="0" applyFont="1" applyFill="1" applyBorder="1" applyAlignment="1">
      <alignment horizontal="center" vertical="center" wrapText="1"/>
    </xf>
    <xf numFmtId="0" fontId="20" fillId="0" borderId="0" xfId="2" applyFont="1" applyBorder="1" applyAlignment="1">
      <alignment horizontal="center"/>
    </xf>
    <xf numFmtId="0" fontId="10" fillId="0" borderId="0" xfId="2" applyFont="1" applyFill="1"/>
    <xf numFmtId="0" fontId="8" fillId="0" borderId="0" xfId="2" applyFont="1" applyAlignment="1">
      <alignment horizontal="center"/>
    </xf>
    <xf numFmtId="0" fontId="21" fillId="0" borderId="0" xfId="2" applyFont="1" applyBorder="1" applyAlignment="1"/>
    <xf numFmtId="0" fontId="20" fillId="0" borderId="0" xfId="2" applyFont="1" applyBorder="1" applyAlignment="1"/>
    <xf numFmtId="20" fontId="0" fillId="0" borderId="16" xfId="2" applyNumberFormat="1" applyFont="1" applyFill="1" applyBorder="1" applyAlignment="1">
      <alignment horizontal="center"/>
    </xf>
    <xf numFmtId="20" fontId="0" fillId="0" borderId="20" xfId="2" applyNumberFormat="1" applyFont="1" applyFill="1" applyBorder="1" applyAlignment="1">
      <alignment horizontal="center"/>
    </xf>
    <xf numFmtId="20" fontId="1" fillId="0" borderId="16" xfId="2" applyNumberFormat="1" applyFont="1" applyFill="1" applyBorder="1" applyAlignment="1">
      <alignment horizontal="center"/>
    </xf>
    <xf numFmtId="0" fontId="9" fillId="0" borderId="15" xfId="2" applyFont="1" applyFill="1" applyBorder="1" applyAlignment="1">
      <alignment horizontal="center" vertical="center"/>
    </xf>
    <xf numFmtId="0" fontId="15" fillId="0" borderId="19" xfId="2" applyFont="1" applyFill="1" applyBorder="1" applyAlignment="1">
      <alignment horizontal="center" vertical="center"/>
    </xf>
    <xf numFmtId="0" fontId="9" fillId="0" borderId="19" xfId="2" applyFont="1" applyFill="1" applyBorder="1" applyAlignment="1">
      <alignment horizontal="center" vertical="center"/>
    </xf>
    <xf numFmtId="0" fontId="10" fillId="0" borderId="30" xfId="2" applyFont="1" applyFill="1" applyBorder="1" applyAlignment="1">
      <alignment horizontal="center" vertical="center"/>
    </xf>
    <xf numFmtId="0" fontId="1" fillId="0" borderId="10" xfId="2" applyFont="1" applyBorder="1" applyAlignment="1">
      <alignment horizontal="center" vertical="center"/>
    </xf>
    <xf numFmtId="0" fontId="0" fillId="0" borderId="46" xfId="2" applyFont="1" applyBorder="1" applyAlignment="1">
      <alignment horizontal="center" vertical="center"/>
    </xf>
    <xf numFmtId="0" fontId="0" fillId="0" borderId="10" xfId="2" applyFont="1" applyBorder="1" applyAlignment="1">
      <alignment horizontal="center" vertical="center"/>
    </xf>
    <xf numFmtId="0" fontId="1" fillId="0" borderId="19" xfId="2" applyFont="1" applyBorder="1" applyAlignment="1">
      <alignment horizontal="center" vertical="center"/>
    </xf>
    <xf numFmtId="0" fontId="0" fillId="0" borderId="34" xfId="2" applyFont="1" applyBorder="1" applyAlignment="1">
      <alignment horizontal="center" vertical="center"/>
    </xf>
    <xf numFmtId="0" fontId="0" fillId="0" borderId="19" xfId="2" applyFont="1" applyBorder="1" applyAlignment="1">
      <alignment horizontal="center" vertical="center"/>
    </xf>
    <xf numFmtId="0" fontId="0" fillId="10" borderId="43" xfId="2" applyFont="1" applyFill="1" applyBorder="1" applyAlignment="1">
      <alignment horizontal="center" vertical="center"/>
    </xf>
    <xf numFmtId="0" fontId="0" fillId="0" borderId="43" xfId="2" applyFont="1" applyBorder="1" applyAlignment="1">
      <alignment horizontal="center" vertical="center"/>
    </xf>
    <xf numFmtId="0" fontId="0" fillId="10" borderId="34" xfId="2" applyFont="1" applyFill="1" applyBorder="1" applyAlignment="1">
      <alignment horizontal="center" vertical="center"/>
    </xf>
    <xf numFmtId="0" fontId="0" fillId="11" borderId="34" xfId="2" applyFont="1" applyFill="1" applyBorder="1" applyAlignment="1">
      <alignment horizontal="center" vertical="center"/>
    </xf>
    <xf numFmtId="0" fontId="1" fillId="0" borderId="22" xfId="2" applyFont="1" applyBorder="1" applyAlignment="1">
      <alignment horizontal="center" vertical="center"/>
    </xf>
    <xf numFmtId="0" fontId="0" fillId="0" borderId="3" xfId="2" applyFont="1" applyBorder="1" applyAlignment="1">
      <alignment horizontal="center" vertical="center"/>
    </xf>
    <xf numFmtId="0" fontId="9" fillId="0" borderId="3" xfId="2" applyFont="1" applyBorder="1" applyAlignment="1">
      <alignment horizontal="center" vertical="center" wrapText="1"/>
    </xf>
    <xf numFmtId="0" fontId="9" fillId="0" borderId="3" xfId="2" applyFont="1" applyBorder="1" applyAlignment="1">
      <alignment horizontal="center" vertical="center"/>
    </xf>
    <xf numFmtId="12" fontId="0" fillId="0" borderId="3" xfId="2" applyNumberFormat="1" applyFont="1" applyBorder="1" applyAlignment="1">
      <alignment horizontal="center" vertical="center"/>
    </xf>
    <xf numFmtId="0" fontId="9" fillId="0" borderId="7" xfId="2" applyFont="1" applyBorder="1" applyAlignment="1">
      <alignment horizontal="center" vertical="center"/>
    </xf>
    <xf numFmtId="0" fontId="9" fillId="0" borderId="17" xfId="2" applyFont="1" applyBorder="1" applyAlignment="1">
      <alignment horizontal="center" vertical="center"/>
    </xf>
    <xf numFmtId="0" fontId="5" fillId="0" borderId="31" xfId="2" applyBorder="1" applyAlignment="1">
      <alignment horizontal="center" vertical="center"/>
    </xf>
    <xf numFmtId="0" fontId="5" fillId="0" borderId="3" xfId="2" applyBorder="1" applyAlignment="1">
      <alignment horizontal="center" vertical="center"/>
    </xf>
    <xf numFmtId="0" fontId="5" fillId="0" borderId="17" xfId="2" applyBorder="1" applyAlignment="1">
      <alignment horizontal="center" vertical="center"/>
    </xf>
    <xf numFmtId="0" fontId="1" fillId="0" borderId="17" xfId="2" applyFont="1" applyBorder="1" applyAlignment="1">
      <alignment horizontal="center" vertical="center"/>
    </xf>
    <xf numFmtId="0" fontId="1" fillId="0" borderId="33" xfId="2" applyFont="1" applyBorder="1" applyAlignment="1">
      <alignment horizontal="center" vertical="center"/>
    </xf>
    <xf numFmtId="43" fontId="0" fillId="0" borderId="15" xfId="4" quotePrefix="1" applyFont="1" applyBorder="1"/>
    <xf numFmtId="2" fontId="9" fillId="0" borderId="20" xfId="2" applyNumberFormat="1" applyFont="1" applyFill="1" applyBorder="1"/>
    <xf numFmtId="0" fontId="19" fillId="7" borderId="61" xfId="0" applyFont="1" applyFill="1" applyBorder="1" applyAlignment="1">
      <alignment horizontal="center" vertical="center" wrapText="1"/>
    </xf>
    <xf numFmtId="0" fontId="19" fillId="0" borderId="61" xfId="0" applyFont="1" applyFill="1" applyBorder="1" applyAlignment="1">
      <alignment horizontal="center" vertical="center" wrapText="1"/>
    </xf>
    <xf numFmtId="2" fontId="9" fillId="0" borderId="39" xfId="2" applyNumberFormat="1" applyFont="1" applyFill="1" applyBorder="1"/>
    <xf numFmtId="2" fontId="15" fillId="0" borderId="31" xfId="2" applyNumberFormat="1" applyFont="1" applyFill="1" applyBorder="1"/>
    <xf numFmtId="2" fontId="9" fillId="0" borderId="31" xfId="2" applyNumberFormat="1" applyFont="1" applyFill="1" applyBorder="1"/>
    <xf numFmtId="2" fontId="0" fillId="0" borderId="31" xfId="0" applyNumberFormat="1" applyFill="1" applyBorder="1"/>
    <xf numFmtId="0" fontId="5" fillId="0" borderId="31" xfId="2" applyFill="1" applyBorder="1"/>
    <xf numFmtId="2" fontId="9" fillId="0" borderId="35" xfId="2" applyNumberFormat="1" applyFont="1" applyFill="1" applyBorder="1"/>
    <xf numFmtId="164" fontId="0" fillId="0" borderId="3" xfId="0" applyNumberFormat="1" applyFill="1" applyBorder="1"/>
    <xf numFmtId="164" fontId="0" fillId="0" borderId="36" xfId="0" applyNumberFormat="1" applyFill="1" applyBorder="1"/>
    <xf numFmtId="2" fontId="0" fillId="0" borderId="36" xfId="0" applyNumberFormat="1" applyFill="1" applyBorder="1"/>
    <xf numFmtId="164" fontId="0" fillId="0" borderId="7" xfId="0" applyNumberFormat="1" applyFill="1" applyBorder="1"/>
    <xf numFmtId="2" fontId="0" fillId="0" borderId="7" xfId="0" applyNumberFormat="1" applyFill="1" applyBorder="1"/>
    <xf numFmtId="164" fontId="0" fillId="0" borderId="17" xfId="0" applyNumberFormat="1" applyFill="1" applyBorder="1"/>
    <xf numFmtId="164" fontId="0" fillId="0" borderId="23" xfId="0" applyNumberFormat="1" applyFill="1" applyBorder="1"/>
    <xf numFmtId="0" fontId="19" fillId="3" borderId="62" xfId="0" applyFont="1" applyFill="1" applyBorder="1" applyAlignment="1">
      <alignment horizontal="center" vertical="center" wrapText="1"/>
    </xf>
    <xf numFmtId="164" fontId="0" fillId="0" borderId="18" xfId="0" applyNumberFormat="1" applyFill="1" applyBorder="1"/>
    <xf numFmtId="0" fontId="19" fillId="7" borderId="8" xfId="0" applyFont="1" applyFill="1" applyBorder="1" applyAlignment="1">
      <alignment horizontal="center" vertical="center"/>
    </xf>
    <xf numFmtId="164" fontId="0" fillId="0" borderId="8" xfId="0" applyNumberFormat="1" applyFill="1" applyBorder="1"/>
    <xf numFmtId="2" fontId="9" fillId="0" borderId="22" xfId="2" applyNumberFormat="1" applyFont="1" applyFill="1" applyBorder="1"/>
    <xf numFmtId="2" fontId="9" fillId="0" borderId="59" xfId="2" applyNumberFormat="1" applyFont="1" applyFill="1" applyBorder="1"/>
    <xf numFmtId="0" fontId="1" fillId="0" borderId="3" xfId="2" applyFont="1" applyFill="1" applyBorder="1" applyAlignment="1">
      <alignment horizontal="center"/>
    </xf>
    <xf numFmtId="0" fontId="19" fillId="7" borderId="29" xfId="2" applyFont="1" applyFill="1" applyBorder="1" applyAlignment="1">
      <alignment horizontal="center" vertical="center" wrapText="1"/>
    </xf>
    <xf numFmtId="0" fontId="1" fillId="0" borderId="36" xfId="2" applyFont="1" applyFill="1" applyBorder="1" applyAlignment="1">
      <alignment horizontal="center"/>
    </xf>
    <xf numFmtId="0" fontId="5" fillId="0" borderId="36" xfId="2" applyFill="1" applyBorder="1"/>
    <xf numFmtId="0" fontId="5" fillId="0" borderId="23" xfId="2" applyFill="1" applyBorder="1"/>
    <xf numFmtId="0" fontId="1" fillId="0" borderId="7" xfId="2" applyFont="1" applyFill="1" applyBorder="1" applyAlignment="1">
      <alignment horizontal="center"/>
    </xf>
    <xf numFmtId="0" fontId="19" fillId="7" borderId="36" xfId="2" applyFont="1" applyFill="1" applyBorder="1" applyAlignment="1">
      <alignment horizontal="center" vertical="center" wrapText="1"/>
    </xf>
    <xf numFmtId="0" fontId="1" fillId="0" borderId="23" xfId="2" applyFont="1" applyFill="1" applyBorder="1" applyAlignment="1">
      <alignment horizontal="center"/>
    </xf>
    <xf numFmtId="0" fontId="1" fillId="0" borderId="22" xfId="2" applyFont="1" applyFill="1" applyBorder="1" applyAlignment="1">
      <alignment horizontal="center"/>
    </xf>
    <xf numFmtId="0" fontId="1" fillId="0" borderId="51" xfId="2" applyFont="1" applyFill="1" applyBorder="1" applyAlignment="1">
      <alignment horizontal="center"/>
    </xf>
    <xf numFmtId="0" fontId="1" fillId="12" borderId="33" xfId="2" applyFont="1" applyFill="1" applyBorder="1" applyAlignment="1">
      <alignment horizontal="center"/>
    </xf>
    <xf numFmtId="0" fontId="15" fillId="12" borderId="33" xfId="2" applyFont="1" applyFill="1" applyBorder="1" applyAlignment="1">
      <alignment horizontal="center"/>
    </xf>
    <xf numFmtId="0" fontId="1" fillId="12" borderId="40" xfId="2" applyFont="1" applyFill="1" applyBorder="1" applyAlignment="1">
      <alignment horizontal="center"/>
    </xf>
    <xf numFmtId="0" fontId="0" fillId="12" borderId="33" xfId="2" applyFont="1" applyFill="1" applyBorder="1" applyAlignment="1">
      <alignment horizontal="center"/>
    </xf>
    <xf numFmtId="0" fontId="5" fillId="12" borderId="0" xfId="2" applyFill="1" applyBorder="1"/>
    <xf numFmtId="0" fontId="1" fillId="12" borderId="51" xfId="2" applyFont="1" applyFill="1" applyBorder="1" applyAlignment="1">
      <alignment horizontal="center"/>
    </xf>
    <xf numFmtId="0" fontId="0" fillId="4" borderId="34" xfId="2" applyFont="1" applyFill="1" applyBorder="1" applyAlignment="1">
      <alignment horizontal="center" vertical="center"/>
    </xf>
    <xf numFmtId="0" fontId="9" fillId="4" borderId="20" xfId="2" applyFont="1" applyFill="1" applyBorder="1" applyAlignment="1">
      <alignment vertical="center" wrapText="1"/>
    </xf>
    <xf numFmtId="0" fontId="9" fillId="0" borderId="20" xfId="2" applyFont="1" applyBorder="1" applyAlignment="1">
      <alignment vertical="center" wrapText="1"/>
    </xf>
    <xf numFmtId="0" fontId="0" fillId="4" borderId="43" xfId="2" applyFont="1" applyFill="1" applyBorder="1" applyAlignment="1">
      <alignment horizontal="center" vertical="center"/>
    </xf>
    <xf numFmtId="0" fontId="0" fillId="4" borderId="19" xfId="2" applyFont="1" applyFill="1" applyBorder="1" applyAlignment="1">
      <alignment horizontal="center" vertical="center"/>
    </xf>
    <xf numFmtId="0" fontId="0" fillId="4" borderId="3" xfId="2" applyFont="1" applyFill="1" applyBorder="1" applyAlignment="1">
      <alignment horizontal="center" vertical="center"/>
    </xf>
    <xf numFmtId="0" fontId="9" fillId="4" borderId="3" xfId="2" applyFont="1" applyFill="1" applyBorder="1" applyAlignment="1">
      <alignment horizontal="center" vertical="center" wrapText="1"/>
    </xf>
    <xf numFmtId="0" fontId="9" fillId="4" borderId="3" xfId="2" applyFont="1" applyFill="1" applyBorder="1" applyAlignment="1">
      <alignment horizontal="center" vertical="center"/>
    </xf>
    <xf numFmtId="0" fontId="9" fillId="4" borderId="7" xfId="2" applyFont="1" applyFill="1" applyBorder="1" applyAlignment="1">
      <alignment horizontal="center" vertical="center"/>
    </xf>
    <xf numFmtId="0" fontId="9" fillId="4" borderId="17" xfId="2" applyFont="1" applyFill="1" applyBorder="1" applyAlignment="1">
      <alignment horizontal="center" vertical="center"/>
    </xf>
    <xf numFmtId="20" fontId="0" fillId="4" borderId="16" xfId="2" applyNumberFormat="1" applyFont="1" applyFill="1" applyBorder="1" applyAlignment="1">
      <alignment horizontal="center"/>
    </xf>
    <xf numFmtId="0" fontId="5" fillId="4" borderId="31" xfId="2" applyFill="1" applyBorder="1" applyAlignment="1">
      <alignment horizontal="center" vertical="center"/>
    </xf>
    <xf numFmtId="0" fontId="5" fillId="4" borderId="3" xfId="2" applyFill="1" applyBorder="1" applyAlignment="1">
      <alignment horizontal="center" vertical="center"/>
    </xf>
    <xf numFmtId="0" fontId="5" fillId="4" borderId="17" xfId="2" applyFill="1" applyBorder="1" applyAlignment="1">
      <alignment horizontal="center" vertical="center"/>
    </xf>
    <xf numFmtId="0" fontId="1" fillId="4" borderId="33" xfId="2" applyFont="1" applyFill="1" applyBorder="1" applyAlignment="1">
      <alignment horizontal="center" vertical="center"/>
    </xf>
    <xf numFmtId="0" fontId="1" fillId="4" borderId="17" xfId="2" applyFont="1" applyFill="1" applyBorder="1" applyAlignment="1">
      <alignment horizontal="center" vertical="center"/>
    </xf>
    <xf numFmtId="0" fontId="0" fillId="4" borderId="34" xfId="2" applyFont="1" applyFill="1" applyBorder="1" applyAlignment="1">
      <alignment horizontal="center" vertical="center" wrapText="1"/>
    </xf>
    <xf numFmtId="0" fontId="0" fillId="0" borderId="15" xfId="2" applyFont="1" applyBorder="1" applyAlignment="1">
      <alignment horizontal="center" vertical="center"/>
    </xf>
    <xf numFmtId="0" fontId="9" fillId="0" borderId="16" xfId="2" applyFont="1" applyBorder="1" applyAlignment="1">
      <alignment vertical="center" wrapText="1"/>
    </xf>
    <xf numFmtId="0" fontId="9" fillId="4" borderId="19" xfId="2" applyFont="1" applyFill="1" applyBorder="1" applyAlignment="1">
      <alignment vertical="center" wrapText="1"/>
    </xf>
    <xf numFmtId="0" fontId="0" fillId="4" borderId="44" xfId="2" applyFont="1" applyFill="1" applyBorder="1" applyAlignment="1">
      <alignment horizontal="center" vertical="center"/>
    </xf>
    <xf numFmtId="0" fontId="0" fillId="4" borderId="22" xfId="2" applyFont="1" applyFill="1" applyBorder="1" applyAlignment="1">
      <alignment horizontal="center" vertical="center"/>
    </xf>
    <xf numFmtId="0" fontId="9" fillId="4" borderId="59" xfId="2" applyFont="1" applyFill="1" applyBorder="1" applyAlignment="1">
      <alignment vertical="center" wrapText="1"/>
    </xf>
    <xf numFmtId="0" fontId="9" fillId="0" borderId="22" xfId="2" applyFont="1" applyFill="1" applyBorder="1" applyAlignment="1">
      <alignment horizontal="center" vertical="center"/>
    </xf>
    <xf numFmtId="0" fontId="9" fillId="0" borderId="23" xfId="2" applyFont="1" applyBorder="1" applyAlignment="1">
      <alignment horizontal="center" vertical="center"/>
    </xf>
    <xf numFmtId="2" fontId="9" fillId="0" borderId="63" xfId="2" applyNumberFormat="1" applyFont="1" applyFill="1" applyBorder="1"/>
    <xf numFmtId="20" fontId="1" fillId="0" borderId="59" xfId="2" applyNumberFormat="1" applyFont="1" applyFill="1" applyBorder="1" applyAlignment="1">
      <alignment horizontal="center"/>
    </xf>
    <xf numFmtId="20" fontId="0" fillId="0" borderId="23" xfId="2" applyNumberFormat="1" applyFont="1" applyFill="1" applyBorder="1" applyAlignment="1">
      <alignment horizontal="left"/>
    </xf>
    <xf numFmtId="2" fontId="0" fillId="0" borderId="22" xfId="0" applyNumberFormat="1" applyFill="1" applyBorder="1"/>
    <xf numFmtId="2" fontId="0" fillId="0" borderId="23" xfId="0" applyNumberFormat="1" applyFill="1" applyBorder="1"/>
    <xf numFmtId="0" fontId="1" fillId="0" borderId="49" xfId="2" applyFont="1" applyBorder="1" applyAlignment="1">
      <alignment horizontal="center" vertical="center"/>
    </xf>
    <xf numFmtId="0" fontId="1" fillId="4" borderId="49" xfId="2" applyFont="1" applyFill="1" applyBorder="1" applyAlignment="1">
      <alignment horizontal="center" vertical="center"/>
    </xf>
    <xf numFmtId="0" fontId="1" fillId="0" borderId="64" xfId="2" applyFont="1" applyBorder="1" applyAlignment="1">
      <alignment horizontal="center" vertical="center"/>
    </xf>
    <xf numFmtId="0" fontId="1" fillId="4" borderId="64" xfId="2" applyFont="1" applyFill="1" applyBorder="1" applyAlignment="1">
      <alignment horizontal="center" vertical="center"/>
    </xf>
    <xf numFmtId="20" fontId="0" fillId="4" borderId="45" xfId="2" applyNumberFormat="1" applyFont="1" applyFill="1" applyBorder="1" applyAlignment="1">
      <alignment horizontal="center"/>
    </xf>
    <xf numFmtId="20" fontId="0" fillId="4" borderId="20" xfId="2" applyNumberFormat="1" applyFont="1" applyFill="1" applyBorder="1" applyAlignment="1">
      <alignment horizontal="center"/>
    </xf>
    <xf numFmtId="20" fontId="1" fillId="4" borderId="20" xfId="2" applyNumberFormat="1" applyFont="1" applyFill="1" applyBorder="1" applyAlignment="1">
      <alignment horizontal="center"/>
    </xf>
    <xf numFmtId="20" fontId="1" fillId="4" borderId="16" xfId="2" applyNumberFormat="1" applyFont="1" applyFill="1" applyBorder="1" applyAlignment="1">
      <alignment horizontal="center"/>
    </xf>
    <xf numFmtId="20" fontId="0" fillId="4" borderId="21" xfId="2" applyNumberFormat="1" applyFont="1" applyFill="1" applyBorder="1" applyAlignment="1">
      <alignment horizontal="center"/>
    </xf>
    <xf numFmtId="20" fontId="1" fillId="4" borderId="59" xfId="2" applyNumberFormat="1" applyFont="1" applyFill="1" applyBorder="1" applyAlignment="1">
      <alignment horizontal="center"/>
    </xf>
    <xf numFmtId="0" fontId="0" fillId="0" borderId="7" xfId="2" applyFont="1" applyBorder="1" applyAlignment="1">
      <alignment horizontal="center" vertical="center"/>
    </xf>
    <xf numFmtId="43" fontId="0" fillId="4" borderId="15" xfId="4" quotePrefix="1" applyFont="1" applyFill="1" applyBorder="1"/>
    <xf numFmtId="0" fontId="5" fillId="4" borderId="35" xfId="2" applyFill="1" applyBorder="1" applyAlignment="1">
      <alignment horizontal="center" vertical="center"/>
    </xf>
    <xf numFmtId="0" fontId="5" fillId="4" borderId="36" xfId="2" applyFill="1" applyBorder="1" applyAlignment="1">
      <alignment horizontal="center" vertical="center"/>
    </xf>
    <xf numFmtId="0" fontId="5" fillId="4" borderId="23" xfId="2" applyFill="1" applyBorder="1" applyAlignment="1">
      <alignment horizontal="center" vertical="center"/>
    </xf>
    <xf numFmtId="0" fontId="1" fillId="4" borderId="23" xfId="2" applyFont="1" applyFill="1" applyBorder="1" applyAlignment="1">
      <alignment horizontal="center" vertical="center"/>
    </xf>
    <xf numFmtId="43" fontId="0" fillId="4" borderId="22" xfId="4" quotePrefix="1" applyFont="1" applyFill="1" applyBorder="1"/>
    <xf numFmtId="0" fontId="1" fillId="4" borderId="65" xfId="2" applyFont="1" applyFill="1" applyBorder="1" applyAlignment="1">
      <alignment horizontal="center" vertical="center"/>
    </xf>
    <xf numFmtId="0" fontId="1" fillId="4" borderId="51" xfId="2" applyFont="1" applyFill="1" applyBorder="1" applyAlignment="1">
      <alignment horizontal="center" vertical="center"/>
    </xf>
    <xf numFmtId="0" fontId="0" fillId="4" borderId="36" xfId="2" applyFont="1" applyFill="1" applyBorder="1" applyAlignment="1">
      <alignment horizontal="center" vertical="center"/>
    </xf>
    <xf numFmtId="0" fontId="9" fillId="4" borderId="36" xfId="2" applyFont="1" applyFill="1" applyBorder="1" applyAlignment="1">
      <alignment horizontal="center" vertical="center" wrapText="1"/>
    </xf>
    <xf numFmtId="0" fontId="9" fillId="4" borderId="36" xfId="2" applyFont="1" applyFill="1" applyBorder="1" applyAlignment="1">
      <alignment horizontal="center" vertical="center"/>
    </xf>
    <xf numFmtId="0" fontId="9" fillId="4" borderId="23" xfId="2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4" fillId="0" borderId="54" xfId="0" applyFont="1" applyBorder="1" applyAlignment="1">
      <alignment horizontal="center" vertical="center"/>
    </xf>
    <xf numFmtId="0" fontId="4" fillId="0" borderId="29" xfId="0" applyFont="1" applyBorder="1" applyAlignment="1">
      <alignment horizontal="center" vertical="center"/>
    </xf>
    <xf numFmtId="0" fontId="4" fillId="0" borderId="26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13" fillId="0" borderId="49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/>
    </xf>
    <xf numFmtId="0" fontId="19" fillId="0" borderId="24" xfId="2" applyFont="1" applyBorder="1" applyAlignment="1">
      <alignment horizontal="center" vertical="center"/>
    </xf>
    <xf numFmtId="0" fontId="19" fillId="0" borderId="27" xfId="2" applyFont="1" applyBorder="1" applyAlignment="1">
      <alignment horizontal="center" vertical="center"/>
    </xf>
    <xf numFmtId="0" fontId="19" fillId="0" borderId="28" xfId="2" applyFont="1" applyBorder="1" applyAlignment="1">
      <alignment horizontal="center" vertical="center"/>
    </xf>
    <xf numFmtId="0" fontId="18" fillId="0" borderId="24" xfId="2" applyFont="1" applyFill="1" applyBorder="1" applyAlignment="1">
      <alignment horizontal="center" vertical="center" wrapText="1"/>
    </xf>
    <xf numFmtId="0" fontId="18" fillId="0" borderId="27" xfId="2" applyFont="1" applyFill="1" applyBorder="1" applyAlignment="1">
      <alignment horizontal="center" vertical="center" wrapText="1"/>
    </xf>
    <xf numFmtId="0" fontId="18" fillId="0" borderId="28" xfId="2" applyFont="1" applyFill="1" applyBorder="1" applyAlignment="1">
      <alignment horizontal="center" vertical="center" wrapText="1"/>
    </xf>
    <xf numFmtId="0" fontId="18" fillId="0" borderId="13" xfId="2" applyFont="1" applyFill="1" applyBorder="1" applyAlignment="1">
      <alignment horizontal="center" vertical="center" wrapText="1"/>
    </xf>
    <xf numFmtId="0" fontId="18" fillId="0" borderId="1" xfId="2" applyFont="1" applyFill="1" applyBorder="1" applyAlignment="1">
      <alignment horizontal="center" vertical="center" wrapText="1"/>
    </xf>
    <xf numFmtId="0" fontId="18" fillId="0" borderId="48" xfId="2" applyFont="1" applyFill="1" applyBorder="1" applyAlignment="1">
      <alignment horizontal="center" vertical="center" wrapText="1"/>
    </xf>
    <xf numFmtId="0" fontId="18" fillId="0" borderId="9" xfId="1" applyFont="1" applyFill="1" applyBorder="1" applyAlignment="1">
      <alignment horizontal="center" vertical="center" wrapText="1"/>
    </xf>
    <xf numFmtId="0" fontId="18" fillId="0" borderId="12" xfId="1" applyFont="1" applyFill="1" applyBorder="1" applyAlignment="1">
      <alignment horizontal="center" vertical="center" wrapText="1"/>
    </xf>
    <xf numFmtId="0" fontId="19" fillId="3" borderId="24" xfId="0" applyFont="1" applyFill="1" applyBorder="1" applyAlignment="1">
      <alignment horizontal="center" vertical="center" wrapText="1"/>
    </xf>
    <xf numFmtId="0" fontId="19" fillId="3" borderId="13" xfId="0" applyFont="1" applyFill="1" applyBorder="1" applyAlignment="1">
      <alignment horizontal="center" vertical="center" wrapText="1"/>
    </xf>
    <xf numFmtId="0" fontId="19" fillId="0" borderId="27" xfId="0" applyFont="1" applyFill="1" applyBorder="1" applyAlignment="1">
      <alignment horizontal="center" vertical="center" wrapText="1"/>
    </xf>
    <xf numFmtId="0" fontId="19" fillId="0" borderId="1" xfId="0" applyFont="1" applyFill="1" applyBorder="1" applyAlignment="1">
      <alignment horizontal="center" vertical="center" wrapText="1"/>
    </xf>
    <xf numFmtId="0" fontId="19" fillId="8" borderId="9" xfId="0" applyFont="1" applyFill="1" applyBorder="1" applyAlignment="1">
      <alignment horizontal="center" vertical="center" wrapText="1"/>
    </xf>
    <xf numFmtId="0" fontId="19" fillId="8" borderId="30" xfId="0" applyFont="1" applyFill="1" applyBorder="1" applyAlignment="1">
      <alignment horizontal="center" vertical="center" wrapText="1"/>
    </xf>
    <xf numFmtId="0" fontId="19" fillId="8" borderId="12" xfId="0" applyFont="1" applyFill="1" applyBorder="1" applyAlignment="1">
      <alignment horizontal="center" vertical="center" wrapText="1"/>
    </xf>
    <xf numFmtId="0" fontId="19" fillId="0" borderId="5" xfId="2" applyFont="1" applyFill="1" applyBorder="1" applyAlignment="1">
      <alignment horizontal="center" vertical="center"/>
    </xf>
    <xf numFmtId="0" fontId="19" fillId="0" borderId="6" xfId="2" applyFont="1" applyFill="1" applyBorder="1" applyAlignment="1">
      <alignment horizontal="center" vertical="center"/>
    </xf>
    <xf numFmtId="0" fontId="19" fillId="0" borderId="11" xfId="2" applyFont="1" applyFill="1" applyBorder="1" applyAlignment="1">
      <alignment horizontal="center" vertical="center"/>
    </xf>
    <xf numFmtId="0" fontId="18" fillId="0" borderId="58" xfId="2" applyFont="1" applyFill="1" applyBorder="1" applyAlignment="1">
      <alignment horizontal="center" vertical="center" wrapText="1"/>
    </xf>
    <xf numFmtId="0" fontId="18" fillId="0" borderId="2" xfId="2" applyFont="1" applyFill="1" applyBorder="1" applyAlignment="1">
      <alignment horizontal="center" vertical="center" wrapText="1"/>
    </xf>
    <xf numFmtId="0" fontId="19" fillId="0" borderId="55" xfId="2" applyFont="1" applyFill="1" applyBorder="1" applyAlignment="1">
      <alignment horizontal="center" vertical="center" wrapText="1"/>
    </xf>
    <xf numFmtId="0" fontId="19" fillId="0" borderId="37" xfId="2" applyFont="1" applyFill="1" applyBorder="1" applyAlignment="1">
      <alignment horizontal="center" vertical="center" wrapText="1"/>
    </xf>
    <xf numFmtId="0" fontId="19" fillId="0" borderId="6" xfId="0" applyFont="1" applyFill="1" applyBorder="1" applyAlignment="1">
      <alignment horizontal="center" vertical="center"/>
    </xf>
    <xf numFmtId="0" fontId="19" fillId="0" borderId="11" xfId="0" applyFont="1" applyFill="1" applyBorder="1" applyAlignment="1">
      <alignment horizontal="center" vertical="center"/>
    </xf>
    <xf numFmtId="0" fontId="11" fillId="0" borderId="45" xfId="1" applyFont="1" applyFill="1" applyBorder="1" applyAlignment="1">
      <alignment horizontal="center" vertical="center" wrapText="1"/>
    </xf>
    <xf numFmtId="0" fontId="11" fillId="0" borderId="46" xfId="1" applyFont="1" applyFill="1" applyBorder="1" applyAlignment="1">
      <alignment horizontal="center" vertical="center" wrapText="1"/>
    </xf>
    <xf numFmtId="0" fontId="18" fillId="0" borderId="56" xfId="2" applyFont="1" applyFill="1" applyBorder="1" applyAlignment="1">
      <alignment horizontal="center" vertical="center" wrapText="1"/>
    </xf>
    <xf numFmtId="0" fontId="18" fillId="0" borderId="54" xfId="2" applyFont="1" applyFill="1" applyBorder="1" applyAlignment="1">
      <alignment horizontal="center" vertical="center" wrapText="1"/>
    </xf>
    <xf numFmtId="0" fontId="18" fillId="0" borderId="5" xfId="1" applyFont="1" applyFill="1" applyBorder="1" applyAlignment="1">
      <alignment horizontal="center" vertical="center" wrapText="1"/>
    </xf>
    <xf numFmtId="0" fontId="18" fillId="0" borderId="27" xfId="1" applyFont="1" applyFill="1" applyBorder="1" applyAlignment="1">
      <alignment horizontal="center" vertical="center" wrapText="1"/>
    </xf>
    <xf numFmtId="0" fontId="18" fillId="0" borderId="28" xfId="1" applyFont="1" applyFill="1" applyBorder="1" applyAlignment="1">
      <alignment horizontal="center" vertical="center" wrapText="1"/>
    </xf>
    <xf numFmtId="0" fontId="18" fillId="0" borderId="5" xfId="1" applyFont="1" applyFill="1" applyBorder="1" applyAlignment="1">
      <alignment horizontal="center" vertical="center"/>
    </xf>
    <xf numFmtId="0" fontId="18" fillId="0" borderId="6" xfId="1" applyFont="1" applyFill="1" applyBorder="1" applyAlignment="1">
      <alignment horizontal="center" vertical="center"/>
    </xf>
    <xf numFmtId="0" fontId="18" fillId="0" borderId="11" xfId="1" applyFont="1" applyFill="1" applyBorder="1" applyAlignment="1">
      <alignment horizontal="center" vertical="center"/>
    </xf>
    <xf numFmtId="0" fontId="18" fillId="0" borderId="42" xfId="1" applyFont="1" applyFill="1" applyBorder="1" applyAlignment="1">
      <alignment horizontal="center" vertical="center" wrapText="1"/>
    </xf>
    <xf numFmtId="0" fontId="18" fillId="0" borderId="38" xfId="1" applyFont="1" applyFill="1" applyBorder="1" applyAlignment="1">
      <alignment horizontal="center" vertical="center" wrapText="1"/>
    </xf>
    <xf numFmtId="0" fontId="18" fillId="0" borderId="41" xfId="1" applyFont="1" applyFill="1" applyBorder="1" applyAlignment="1">
      <alignment horizontal="center" vertical="center" wrapText="1"/>
    </xf>
    <xf numFmtId="0" fontId="18" fillId="0" borderId="55" xfId="1" applyFont="1" applyFill="1" applyBorder="1" applyAlignment="1">
      <alignment horizontal="center" vertical="center" wrapText="1"/>
    </xf>
    <xf numFmtId="0" fontId="18" fillId="0" borderId="37" xfId="1" applyFont="1" applyFill="1" applyBorder="1" applyAlignment="1">
      <alignment horizontal="center" vertical="center" wrapText="1"/>
    </xf>
    <xf numFmtId="0" fontId="19" fillId="3" borderId="9" xfId="2" applyFont="1" applyFill="1" applyBorder="1" applyAlignment="1">
      <alignment horizontal="center" vertical="center"/>
    </xf>
    <xf numFmtId="0" fontId="19" fillId="3" borderId="12" xfId="2" applyFont="1" applyFill="1" applyBorder="1" applyAlignment="1">
      <alignment horizontal="center" vertical="center"/>
    </xf>
    <xf numFmtId="0" fontId="19" fillId="0" borderId="57" xfId="2" applyFont="1" applyFill="1" applyBorder="1" applyAlignment="1">
      <alignment horizontal="center" vertical="center" wrapText="1"/>
    </xf>
    <xf numFmtId="0" fontId="19" fillId="0" borderId="52" xfId="2" applyFont="1" applyFill="1" applyBorder="1" applyAlignment="1">
      <alignment horizontal="center" vertical="center" wrapText="1"/>
    </xf>
    <xf numFmtId="0" fontId="19" fillId="0" borderId="25" xfId="2" applyFont="1" applyFill="1" applyBorder="1" applyAlignment="1">
      <alignment horizontal="center" vertical="center" wrapText="1"/>
    </xf>
    <xf numFmtId="0" fontId="19" fillId="3" borderId="45" xfId="0" applyFont="1" applyFill="1" applyBorder="1" applyAlignment="1">
      <alignment horizontal="center" vertical="center" wrapText="1"/>
    </xf>
    <xf numFmtId="0" fontId="19" fillId="3" borderId="59" xfId="0" applyFont="1" applyFill="1" applyBorder="1" applyAlignment="1">
      <alignment horizontal="center" vertical="center" wrapText="1"/>
    </xf>
    <xf numFmtId="0" fontId="18" fillId="0" borderId="45" xfId="1" applyFont="1" applyFill="1" applyBorder="1" applyAlignment="1">
      <alignment horizontal="center" vertical="center" wrapText="1"/>
    </xf>
    <xf numFmtId="0" fontId="18" fillId="0" borderId="59" xfId="1" applyFont="1" applyFill="1" applyBorder="1" applyAlignment="1">
      <alignment horizontal="center" vertical="center" wrapText="1"/>
    </xf>
    <xf numFmtId="0" fontId="18" fillId="0" borderId="52" xfId="1" applyFont="1" applyFill="1" applyBorder="1" applyAlignment="1">
      <alignment horizontal="center" vertical="center" wrapText="1"/>
    </xf>
    <xf numFmtId="0" fontId="18" fillId="9" borderId="25" xfId="1" applyFont="1" applyFill="1" applyBorder="1" applyAlignment="1">
      <alignment horizontal="center" vertical="center" wrapText="1"/>
    </xf>
    <xf numFmtId="0" fontId="18" fillId="9" borderId="41" xfId="1" applyFont="1" applyFill="1" applyBorder="1" applyAlignment="1">
      <alignment horizontal="center" vertical="center" wrapText="1"/>
    </xf>
    <xf numFmtId="0" fontId="19" fillId="9" borderId="26" xfId="0" applyFont="1" applyFill="1" applyBorder="1" applyAlignment="1">
      <alignment horizontal="center" vertical="center" wrapText="1"/>
    </xf>
    <xf numFmtId="0" fontId="19" fillId="9" borderId="23" xfId="0" applyFont="1" applyFill="1" applyBorder="1" applyAlignment="1">
      <alignment horizontal="center" vertical="center" wrapText="1"/>
    </xf>
    <xf numFmtId="0" fontId="19" fillId="9" borderId="29" xfId="0" applyFont="1" applyFill="1" applyBorder="1" applyAlignment="1">
      <alignment horizontal="center" vertical="center" wrapText="1"/>
    </xf>
    <xf numFmtId="0" fontId="18" fillId="9" borderId="52" xfId="1" applyFont="1" applyFill="1" applyBorder="1" applyAlignment="1">
      <alignment horizontal="center" vertical="center" wrapText="1"/>
    </xf>
    <xf numFmtId="0" fontId="18" fillId="9" borderId="38" xfId="1" applyFont="1" applyFill="1" applyBorder="1" applyAlignment="1">
      <alignment horizontal="center" vertical="center" wrapText="1"/>
    </xf>
    <xf numFmtId="0" fontId="18" fillId="3" borderId="9" xfId="1" applyFont="1" applyFill="1" applyBorder="1" applyAlignment="1">
      <alignment horizontal="center" vertical="center" wrapText="1"/>
    </xf>
    <xf numFmtId="0" fontId="18" fillId="3" borderId="12" xfId="1" applyFont="1" applyFill="1" applyBorder="1" applyAlignment="1">
      <alignment horizontal="center" vertical="center" wrapText="1"/>
    </xf>
    <xf numFmtId="0" fontId="19" fillId="0" borderId="60" xfId="2" applyFont="1" applyFill="1" applyBorder="1" applyAlignment="1">
      <alignment horizontal="center" vertical="center" wrapText="1"/>
    </xf>
    <xf numFmtId="0" fontId="19" fillId="0" borderId="35" xfId="2" applyFont="1" applyFill="1" applyBorder="1" applyAlignment="1">
      <alignment horizontal="center" vertical="center" wrapText="1"/>
    </xf>
    <xf numFmtId="0" fontId="18" fillId="0" borderId="25" xfId="1" applyFont="1" applyFill="1" applyBorder="1" applyAlignment="1">
      <alignment horizontal="center" vertical="center" wrapText="1"/>
    </xf>
    <xf numFmtId="0" fontId="18" fillId="12" borderId="52" xfId="1" applyFont="1" applyFill="1" applyBorder="1" applyAlignment="1">
      <alignment horizontal="center" vertical="center" wrapText="1"/>
    </xf>
    <xf numFmtId="0" fontId="18" fillId="12" borderId="38" xfId="1" applyFont="1" applyFill="1" applyBorder="1" applyAlignment="1">
      <alignment horizontal="center" vertical="center" wrapText="1"/>
    </xf>
    <xf numFmtId="0" fontId="4" fillId="0" borderId="24" xfId="2" applyFont="1" applyBorder="1" applyAlignment="1">
      <alignment horizontal="center" vertical="center" wrapText="1"/>
    </xf>
    <xf numFmtId="0" fontId="4" fillId="0" borderId="14" xfId="2" applyFont="1" applyBorder="1" applyAlignment="1">
      <alignment horizontal="center" vertical="center" wrapText="1"/>
    </xf>
    <xf numFmtId="0" fontId="4" fillId="0" borderId="9" xfId="2" applyFont="1" applyBorder="1" applyAlignment="1">
      <alignment horizontal="center" vertical="center" wrapText="1"/>
    </xf>
    <xf numFmtId="0" fontId="4" fillId="0" borderId="30" xfId="2" applyFont="1" applyBorder="1" applyAlignment="1">
      <alignment horizontal="center" vertical="center" wrapText="1"/>
    </xf>
    <xf numFmtId="0" fontId="4" fillId="0" borderId="12" xfId="2" applyFont="1" applyBorder="1" applyAlignment="1">
      <alignment horizontal="center" vertical="center" wrapText="1"/>
    </xf>
    <xf numFmtId="0" fontId="11" fillId="0" borderId="9" xfId="2" applyFont="1" applyFill="1" applyBorder="1" applyAlignment="1">
      <alignment horizontal="center" vertical="center" wrapText="1"/>
    </xf>
    <xf numFmtId="0" fontId="11" fillId="0" borderId="30" xfId="2" applyFont="1" applyFill="1" applyBorder="1" applyAlignment="1">
      <alignment horizontal="center" vertical="center" wrapText="1"/>
    </xf>
    <xf numFmtId="0" fontId="11" fillId="0" borderId="12" xfId="2" applyFont="1" applyFill="1" applyBorder="1" applyAlignment="1">
      <alignment horizontal="center" vertical="center" wrapText="1"/>
    </xf>
    <xf numFmtId="0" fontId="18" fillId="7" borderId="9" xfId="2" applyFont="1" applyFill="1" applyBorder="1" applyAlignment="1">
      <alignment horizontal="center" vertical="center" wrapText="1"/>
    </xf>
    <xf numFmtId="0" fontId="18" fillId="7" borderId="12" xfId="2" applyFont="1" applyFill="1" applyBorder="1" applyAlignment="1">
      <alignment horizontal="center" vertical="center" wrapText="1"/>
    </xf>
  </cellXfs>
  <cellStyles count="5">
    <cellStyle name="Comma" xfId="4" builtinId="3"/>
    <cellStyle name="Good" xfId="1" builtinId="26"/>
    <cellStyle name="Normal" xfId="0" builtinId="0"/>
    <cellStyle name="Normal 2" xfId="2" xr:uid="{00000000-0005-0000-0000-000002000000}"/>
    <cellStyle name="Output 2" xfId="3" xr:uid="{00000000-0005-0000-0000-000003000000}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CC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MARIA%20PENELITIAN/ANDRI/Kalkulasi/Kalkulasi%20Emosi/Kal.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dwal Terencana"/>
      <sheetName val="Data Emosi"/>
      <sheetName val="Daftar Efek"/>
      <sheetName val="Kal.E"/>
      <sheetName val="Kal.E (2)"/>
      <sheetName val="CCE"/>
    </sheetNames>
    <sheetDataSet>
      <sheetData sheetId="0"/>
      <sheetData sheetId="1"/>
      <sheetData sheetId="2"/>
      <sheetData sheetId="3">
        <row r="7">
          <cell r="L7">
            <v>1.0617000000000001</v>
          </cell>
        </row>
      </sheetData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J9"/>
  <sheetViews>
    <sheetView zoomScale="130" zoomScaleNormal="130" workbookViewId="0">
      <selection activeCell="E4" sqref="E4"/>
    </sheetView>
  </sheetViews>
  <sheetFormatPr defaultRowHeight="15" x14ac:dyDescent="0.25"/>
  <cols>
    <col min="1" max="2" width="9.140625" style="11"/>
    <col min="3" max="3" width="7.140625" style="11" bestFit="1" customWidth="1"/>
    <col min="4" max="4" width="8.7109375" style="11" bestFit="1" customWidth="1"/>
    <col min="5" max="5" width="5.85546875" style="11" bestFit="1" customWidth="1"/>
    <col min="6" max="6" width="6.5703125" style="11" bestFit="1" customWidth="1"/>
    <col min="7" max="9" width="5.7109375" style="11" bestFit="1" customWidth="1"/>
    <col min="10" max="10" width="7.140625" style="11" bestFit="1" customWidth="1"/>
    <col min="11" max="16384" width="9.140625" style="11"/>
  </cols>
  <sheetData>
    <row r="2" spans="2:10" ht="15.75" thickBot="1" x14ac:dyDescent="0.3">
      <c r="B2" s="247" t="s">
        <v>244</v>
      </c>
      <c r="C2" s="247"/>
      <c r="D2" s="247"/>
      <c r="E2" s="247"/>
      <c r="F2" s="247"/>
      <c r="G2" s="247"/>
      <c r="H2" s="247"/>
      <c r="I2" s="247"/>
      <c r="J2" s="247"/>
    </row>
    <row r="3" spans="2:10" x14ac:dyDescent="0.25">
      <c r="B3" s="248" t="s">
        <v>62</v>
      </c>
      <c r="C3" s="251" t="s">
        <v>98</v>
      </c>
      <c r="D3" s="252"/>
      <c r="E3" s="252"/>
      <c r="F3" s="252"/>
      <c r="G3" s="252"/>
      <c r="H3" s="252"/>
      <c r="I3" s="252"/>
      <c r="J3" s="253"/>
    </row>
    <row r="4" spans="2:10" x14ac:dyDescent="0.25">
      <c r="B4" s="249"/>
      <c r="C4" s="9" t="s">
        <v>33</v>
      </c>
      <c r="D4" s="6" t="s">
        <v>34</v>
      </c>
      <c r="E4" s="6" t="s">
        <v>35</v>
      </c>
      <c r="F4" s="6" t="s">
        <v>36</v>
      </c>
      <c r="G4" s="6" t="s">
        <v>37</v>
      </c>
      <c r="H4" s="6" t="s">
        <v>38</v>
      </c>
      <c r="I4" s="6" t="s">
        <v>39</v>
      </c>
      <c r="J4" s="5" t="s">
        <v>40</v>
      </c>
    </row>
    <row r="5" spans="2:10" ht="15.75" thickBot="1" x14ac:dyDescent="0.3">
      <c r="B5" s="250"/>
      <c r="C5" s="12" t="s">
        <v>41</v>
      </c>
      <c r="D5" s="7" t="s">
        <v>42</v>
      </c>
      <c r="E5" s="13" t="s">
        <v>43</v>
      </c>
      <c r="F5" s="7" t="s">
        <v>44</v>
      </c>
      <c r="G5" s="13" t="s">
        <v>45</v>
      </c>
      <c r="H5" s="7" t="s">
        <v>46</v>
      </c>
      <c r="I5" s="13" t="s">
        <v>47</v>
      </c>
      <c r="J5" s="8" t="s">
        <v>48</v>
      </c>
    </row>
    <row r="6" spans="2:10" ht="15.75" thickBot="1" x14ac:dyDescent="0.3">
      <c r="B6" s="14">
        <v>0.31944444444444448</v>
      </c>
      <c r="C6" s="52">
        <v>6</v>
      </c>
      <c r="D6" s="50">
        <v>3</v>
      </c>
      <c r="E6" s="50">
        <v>2</v>
      </c>
      <c r="F6" s="50">
        <v>9</v>
      </c>
      <c r="G6" s="50">
        <v>4</v>
      </c>
      <c r="H6" s="50">
        <v>2</v>
      </c>
      <c r="I6" s="50">
        <v>1</v>
      </c>
      <c r="J6" s="51">
        <v>0.75</v>
      </c>
    </row>
    <row r="8" spans="2:10" x14ac:dyDescent="0.25">
      <c r="B8" s="15" t="s">
        <v>246</v>
      </c>
    </row>
    <row r="9" spans="2:10" x14ac:dyDescent="0.25">
      <c r="B9" s="16" t="s">
        <v>245</v>
      </c>
    </row>
  </sheetData>
  <mergeCells count="3">
    <mergeCell ref="B2:J2"/>
    <mergeCell ref="B3:B5"/>
    <mergeCell ref="C3:J3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J8"/>
  <sheetViews>
    <sheetView zoomScale="145" zoomScaleNormal="145" workbookViewId="0">
      <selection activeCell="E4" sqref="E4"/>
    </sheetView>
  </sheetViews>
  <sheetFormatPr defaultRowHeight="15" x14ac:dyDescent="0.25"/>
  <cols>
    <col min="1" max="2" width="9.140625" style="11"/>
    <col min="3" max="3" width="7.140625" style="11" bestFit="1" customWidth="1"/>
    <col min="4" max="4" width="8.7109375" style="11" bestFit="1" customWidth="1"/>
    <col min="5" max="5" width="5.85546875" style="11" bestFit="1" customWidth="1"/>
    <col min="6" max="6" width="6.5703125" style="11" bestFit="1" customWidth="1"/>
    <col min="7" max="9" width="5.7109375" style="11" bestFit="1" customWidth="1"/>
    <col min="10" max="10" width="7.140625" style="11" bestFit="1" customWidth="1"/>
    <col min="11" max="16384" width="9.140625" style="11"/>
  </cols>
  <sheetData>
    <row r="2" spans="2:10" ht="15.75" thickBot="1" x14ac:dyDescent="0.3">
      <c r="B2" s="17" t="s">
        <v>65</v>
      </c>
      <c r="C2" s="17"/>
      <c r="D2" s="18"/>
      <c r="E2" s="18"/>
      <c r="F2" s="18"/>
      <c r="G2" s="18"/>
      <c r="H2" s="18"/>
      <c r="I2" s="18"/>
      <c r="J2" s="18"/>
    </row>
    <row r="3" spans="2:10" ht="15.75" thickBot="1" x14ac:dyDescent="0.3">
      <c r="B3" s="19" t="s">
        <v>62</v>
      </c>
      <c r="C3" s="20" t="s">
        <v>66</v>
      </c>
      <c r="D3" s="21"/>
      <c r="E3" s="21"/>
      <c r="F3" s="21"/>
      <c r="G3" s="21"/>
      <c r="H3" s="21"/>
      <c r="I3" s="21"/>
      <c r="J3" s="21"/>
    </row>
    <row r="4" spans="2:10" ht="15.75" thickBot="1" x14ac:dyDescent="0.3">
      <c r="B4" s="14">
        <v>0.33333333333333331</v>
      </c>
      <c r="C4" s="22">
        <f>[1]Kal.E!L7</f>
        <v>1.0617000000000001</v>
      </c>
    </row>
    <row r="6" spans="2:10" x14ac:dyDescent="0.25">
      <c r="B6" s="15" t="s">
        <v>67</v>
      </c>
    </row>
    <row r="7" spans="2:10" x14ac:dyDescent="0.25">
      <c r="B7" s="16" t="s">
        <v>68</v>
      </c>
    </row>
    <row r="8" spans="2:10" x14ac:dyDescent="0.25">
      <c r="B8" s="16" t="s">
        <v>69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O7"/>
  <sheetViews>
    <sheetView zoomScale="130" zoomScaleNormal="130" workbookViewId="0">
      <selection activeCell="E4" sqref="E4:L4"/>
    </sheetView>
  </sheetViews>
  <sheetFormatPr defaultRowHeight="15" x14ac:dyDescent="0.25"/>
  <cols>
    <col min="2" max="2" width="6.85546875" customWidth="1"/>
    <col min="3" max="3" width="5" customWidth="1"/>
    <col min="4" max="4" width="4.7109375" customWidth="1"/>
    <col min="13" max="13" width="8.7109375" customWidth="1"/>
    <col min="14" max="14" width="12" bestFit="1" customWidth="1"/>
    <col min="15" max="15" width="10.42578125" bestFit="1" customWidth="1"/>
  </cols>
  <sheetData>
    <row r="1" spans="1:15" x14ac:dyDescent="0.25">
      <c r="A1" t="s">
        <v>72</v>
      </c>
    </row>
    <row r="2" spans="1:15" x14ac:dyDescent="0.25">
      <c r="B2" s="25" t="s">
        <v>73</v>
      </c>
      <c r="C2" s="25"/>
      <c r="D2" s="25"/>
    </row>
    <row r="4" spans="1:15" x14ac:dyDescent="0.25">
      <c r="B4" s="254" t="s">
        <v>62</v>
      </c>
      <c r="C4" s="254" t="s">
        <v>74</v>
      </c>
      <c r="D4" s="254" t="s">
        <v>49</v>
      </c>
      <c r="E4" s="257" t="s">
        <v>31</v>
      </c>
      <c r="F4" s="257"/>
      <c r="G4" s="257"/>
      <c r="H4" s="257"/>
      <c r="I4" s="257"/>
      <c r="J4" s="257"/>
      <c r="K4" s="257"/>
      <c r="L4" s="257"/>
      <c r="M4" s="254" t="s">
        <v>2</v>
      </c>
      <c r="N4" s="254" t="s">
        <v>75</v>
      </c>
      <c r="O4" s="254" t="s">
        <v>76</v>
      </c>
    </row>
    <row r="5" spans="1:15" x14ac:dyDescent="0.25">
      <c r="B5" s="255"/>
      <c r="C5" s="255"/>
      <c r="D5" s="255"/>
      <c r="E5" s="26" t="s">
        <v>41</v>
      </c>
      <c r="F5" s="27" t="s">
        <v>42</v>
      </c>
      <c r="G5" s="26" t="s">
        <v>43</v>
      </c>
      <c r="H5" s="27" t="s">
        <v>44</v>
      </c>
      <c r="I5" s="26" t="s">
        <v>45</v>
      </c>
      <c r="J5" s="27" t="s">
        <v>46</v>
      </c>
      <c r="K5" s="26" t="s">
        <v>47</v>
      </c>
      <c r="L5" s="27" t="s">
        <v>48</v>
      </c>
      <c r="M5" s="255"/>
      <c r="N5" s="255"/>
      <c r="O5" s="255"/>
    </row>
    <row r="6" spans="1:15" s="32" customFormat="1" x14ac:dyDescent="0.25">
      <c r="B6" s="33"/>
      <c r="C6" s="33"/>
      <c r="D6" s="34"/>
      <c r="E6" s="28">
        <f>CCF!C6</f>
        <v>6</v>
      </c>
      <c r="F6" s="29">
        <f>CCF!D6</f>
        <v>3</v>
      </c>
      <c r="G6" s="28">
        <f>CCF!E6</f>
        <v>2</v>
      </c>
      <c r="H6" s="29">
        <f>CCF!F6</f>
        <v>9</v>
      </c>
      <c r="I6" s="28">
        <f>CCF!G6</f>
        <v>4</v>
      </c>
      <c r="J6" s="29">
        <f>CCF!H6</f>
        <v>2</v>
      </c>
      <c r="K6" s="28">
        <f>CCF!I6</f>
        <v>1</v>
      </c>
      <c r="L6" s="29">
        <f>CCF!J6</f>
        <v>0.75</v>
      </c>
      <c r="M6" s="33"/>
      <c r="N6" s="33" t="s">
        <v>63</v>
      </c>
      <c r="O6" s="33" t="s">
        <v>83</v>
      </c>
    </row>
    <row r="7" spans="1:15" s="30" customFormat="1" ht="36" x14ac:dyDescent="0.25">
      <c r="B7" s="31" t="s">
        <v>77</v>
      </c>
      <c r="C7" s="31" t="s">
        <v>85</v>
      </c>
      <c r="D7" s="31" t="s">
        <v>78</v>
      </c>
      <c r="E7" s="256" t="s">
        <v>79</v>
      </c>
      <c r="F7" s="256"/>
      <c r="G7" s="256"/>
      <c r="H7" s="256"/>
      <c r="I7" s="256"/>
      <c r="J7" s="256"/>
      <c r="K7" s="256"/>
      <c r="L7" s="256"/>
      <c r="M7" s="31" t="s">
        <v>80</v>
      </c>
      <c r="N7" s="31" t="s">
        <v>81</v>
      </c>
      <c r="O7" s="31" t="s">
        <v>82</v>
      </c>
    </row>
  </sheetData>
  <mergeCells count="8">
    <mergeCell ref="O4:O5"/>
    <mergeCell ref="E7:L7"/>
    <mergeCell ref="B4:B5"/>
    <mergeCell ref="C4:C5"/>
    <mergeCell ref="D4:D5"/>
    <mergeCell ref="E4:L4"/>
    <mergeCell ref="M4:M5"/>
    <mergeCell ref="N4:N5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FFF00"/>
    <pageSetUpPr fitToPage="1"/>
  </sheetPr>
  <dimension ref="A1:CC184"/>
  <sheetViews>
    <sheetView showGridLines="0" tabSelected="1" zoomScale="85" zoomScaleNormal="85" workbookViewId="0">
      <selection activeCell="BL13" sqref="BL13"/>
    </sheetView>
  </sheetViews>
  <sheetFormatPr defaultColWidth="8.85546875" defaultRowHeight="15" x14ac:dyDescent="0.25"/>
  <cols>
    <col min="1" max="1" width="8.85546875" style="87"/>
    <col min="2" max="2" width="4" style="1" customWidth="1"/>
    <col min="3" max="3" width="14.42578125" style="1" customWidth="1"/>
    <col min="4" max="4" width="5.5703125" style="1" customWidth="1"/>
    <col min="5" max="5" width="26.5703125" style="87" customWidth="1"/>
    <col min="6" max="6" width="8.140625" style="54" customWidth="1"/>
    <col min="7" max="7" width="12.7109375" style="54" customWidth="1"/>
    <col min="8" max="12" width="8.7109375" style="2" customWidth="1"/>
    <col min="13" max="13" width="9.140625" style="1" bestFit="1" customWidth="1"/>
    <col min="14" max="14" width="8.42578125" style="2" customWidth="1"/>
    <col min="15" max="15" width="8.7109375" style="3" customWidth="1"/>
    <col min="16" max="16" width="8.7109375" style="1" customWidth="1"/>
    <col min="17" max="17" width="8.7109375" style="4" customWidth="1"/>
    <col min="18" max="19" width="10.7109375" style="1" customWidth="1"/>
    <col min="20" max="27" width="8.7109375" style="1" customWidth="1"/>
    <col min="28" max="28" width="8.85546875" style="1"/>
    <col min="29" max="43" width="8.7109375" style="1" customWidth="1"/>
    <col min="44" max="44" width="8.85546875" style="1"/>
    <col min="45" max="46" width="8.7109375" style="1" customWidth="1"/>
    <col min="47" max="48" width="8.7109375" style="24" customWidth="1"/>
    <col min="49" max="49" width="8.7109375" style="1" customWidth="1"/>
    <col min="50" max="50" width="6.7109375" style="1" customWidth="1"/>
    <col min="51" max="52" width="8.7109375" style="1" customWidth="1"/>
    <col min="53" max="58" width="8.85546875" style="1"/>
    <col min="59" max="59" width="0" style="87" hidden="1" customWidth="1"/>
    <col min="60" max="71" width="8.85546875" style="1"/>
    <col min="72" max="72" width="11.5703125" style="1" customWidth="1"/>
    <col min="73" max="16384" width="8.85546875" style="1"/>
  </cols>
  <sheetData>
    <row r="1" spans="2:81" s="10" customFormat="1" ht="18.75" x14ac:dyDescent="0.3">
      <c r="B1" s="99" t="s">
        <v>203</v>
      </c>
      <c r="C1" s="98"/>
      <c r="D1" s="23"/>
      <c r="E1" s="23"/>
      <c r="F1" s="23"/>
      <c r="G1" s="23"/>
      <c r="H1" s="125" t="s">
        <v>211</v>
      </c>
      <c r="I1" s="124"/>
      <c r="J1" s="121" t="s">
        <v>225</v>
      </c>
      <c r="K1" s="124"/>
      <c r="L1" s="124"/>
      <c r="M1" s="124"/>
      <c r="N1" s="125" t="s">
        <v>212</v>
      </c>
      <c r="P1" s="124"/>
      <c r="U1" s="23"/>
      <c r="V1" s="45"/>
      <c r="W1" s="23"/>
      <c r="X1" s="46"/>
      <c r="Y1" s="23"/>
      <c r="Z1" s="23"/>
      <c r="AA1" s="23"/>
      <c r="AB1" s="23"/>
      <c r="AC1" s="23"/>
      <c r="AD1" s="23"/>
      <c r="AE1" s="23"/>
      <c r="AF1" s="23"/>
      <c r="AG1" s="23"/>
      <c r="AH1" s="23"/>
      <c r="AI1" s="23"/>
      <c r="AJ1" s="23"/>
      <c r="AK1" s="23"/>
      <c r="AL1" s="23"/>
      <c r="AM1" s="23"/>
      <c r="AN1" s="23"/>
      <c r="AO1" s="23"/>
      <c r="AP1" s="23"/>
      <c r="AQ1" s="23"/>
      <c r="AR1" s="23"/>
      <c r="AS1" s="23"/>
      <c r="AT1" s="23"/>
      <c r="AU1" s="23"/>
      <c r="AV1" s="23"/>
      <c r="AW1" s="23"/>
      <c r="AX1" s="23"/>
      <c r="AY1" s="23"/>
      <c r="AZ1" s="23"/>
      <c r="BA1" s="23"/>
      <c r="BB1" s="23"/>
      <c r="BC1" s="23"/>
      <c r="BD1" s="23"/>
      <c r="BE1" s="23"/>
      <c r="BF1" s="23"/>
      <c r="BG1" s="23"/>
      <c r="BH1" s="23"/>
      <c r="BI1" s="23"/>
      <c r="BJ1" s="23"/>
      <c r="BK1" s="23"/>
      <c r="BL1" s="23"/>
      <c r="BM1" s="23"/>
      <c r="BN1" s="23"/>
      <c r="BO1" s="23"/>
      <c r="BP1" s="23"/>
      <c r="BQ1" s="23"/>
      <c r="BR1" s="23"/>
      <c r="BS1" s="23"/>
      <c r="BT1" s="23"/>
      <c r="BU1" s="23"/>
      <c r="BV1" s="23"/>
      <c r="BW1" s="23"/>
      <c r="BX1" s="23"/>
      <c r="BY1" s="23"/>
      <c r="BZ1" s="23"/>
      <c r="CA1" s="23"/>
      <c r="CB1" s="23"/>
      <c r="CC1" s="23"/>
    </row>
    <row r="2" spans="2:81" s="10" customFormat="1" x14ac:dyDescent="0.25">
      <c r="B2" s="95"/>
      <c r="C2" s="90" t="s">
        <v>210</v>
      </c>
      <c r="D2" s="23"/>
      <c r="E2" s="23"/>
      <c r="F2" s="23"/>
      <c r="G2" s="23"/>
      <c r="H2" s="123">
        <v>0</v>
      </c>
      <c r="I2" s="122" t="s">
        <v>213</v>
      </c>
      <c r="J2" s="123" t="s">
        <v>48</v>
      </c>
      <c r="K2" s="122" t="s">
        <v>228</v>
      </c>
      <c r="L2" s="122" t="s">
        <v>231</v>
      </c>
      <c r="M2" s="122"/>
      <c r="N2" s="123">
        <v>0</v>
      </c>
      <c r="O2" s="122" t="s">
        <v>214</v>
      </c>
      <c r="U2" s="23"/>
      <c r="V2" s="45"/>
      <c r="W2" s="23"/>
      <c r="X2" s="46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3"/>
      <c r="AP2" s="23"/>
      <c r="AQ2" s="23"/>
      <c r="AR2" s="23"/>
      <c r="AS2" s="23"/>
      <c r="AT2" s="23"/>
      <c r="AU2" s="23"/>
      <c r="AV2" s="23"/>
      <c r="AW2" s="23"/>
      <c r="AX2" s="23"/>
      <c r="AY2" s="23"/>
      <c r="AZ2" s="23"/>
      <c r="BA2" s="23"/>
      <c r="BB2" s="23"/>
      <c r="BC2" s="23"/>
      <c r="BD2" s="23"/>
      <c r="BE2" s="23"/>
      <c r="BF2" s="23"/>
      <c r="BG2" s="23"/>
      <c r="BH2" s="23"/>
      <c r="BI2" s="23"/>
      <c r="BJ2" s="23"/>
      <c r="BK2" s="23"/>
      <c r="BL2" s="23"/>
      <c r="BM2" s="23"/>
      <c r="BN2" s="23"/>
      <c r="BO2" s="23"/>
      <c r="BP2" s="23"/>
      <c r="BQ2" s="23"/>
      <c r="BR2" s="23"/>
      <c r="BS2" s="23"/>
      <c r="BT2" s="23"/>
      <c r="BU2" s="23"/>
      <c r="BV2" s="23"/>
      <c r="BW2" s="23"/>
      <c r="BX2" s="23"/>
      <c r="BY2" s="23"/>
      <c r="BZ2" s="23"/>
      <c r="CA2" s="23"/>
      <c r="CB2" s="23"/>
      <c r="CC2" s="23"/>
    </row>
    <row r="3" spans="2:81" s="10" customFormat="1" x14ac:dyDescent="0.25">
      <c r="B3" s="107"/>
      <c r="C3" s="90" t="s">
        <v>208</v>
      </c>
      <c r="D3" s="23"/>
      <c r="E3" s="23"/>
      <c r="F3" s="23"/>
      <c r="G3" s="23"/>
      <c r="H3" s="123" t="s">
        <v>9</v>
      </c>
      <c r="I3" s="122" t="s">
        <v>215</v>
      </c>
      <c r="J3" s="123" t="s">
        <v>226</v>
      </c>
      <c r="K3" s="122" t="s">
        <v>229</v>
      </c>
      <c r="L3" s="122" t="s">
        <v>232</v>
      </c>
      <c r="M3" s="122"/>
      <c r="N3" s="123">
        <v>1</v>
      </c>
      <c r="O3" s="122" t="s">
        <v>216</v>
      </c>
      <c r="U3" s="23"/>
      <c r="V3" s="45"/>
      <c r="W3" s="23"/>
      <c r="X3" s="46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</row>
    <row r="4" spans="2:81" s="10" customFormat="1" x14ac:dyDescent="0.25">
      <c r="B4" s="113"/>
      <c r="C4" s="90" t="s">
        <v>207</v>
      </c>
      <c r="D4" s="23"/>
      <c r="E4" s="23"/>
      <c r="F4" s="23"/>
      <c r="G4" s="23"/>
      <c r="H4" s="123" t="s">
        <v>217</v>
      </c>
      <c r="I4" s="122" t="s">
        <v>218</v>
      </c>
      <c r="J4" s="123" t="s">
        <v>227</v>
      </c>
      <c r="K4" s="122" t="s">
        <v>230</v>
      </c>
      <c r="L4" s="122" t="s">
        <v>233</v>
      </c>
      <c r="M4" s="122"/>
      <c r="N4" s="123">
        <v>2</v>
      </c>
      <c r="O4" s="122" t="s">
        <v>219</v>
      </c>
      <c r="U4" s="23"/>
      <c r="V4" s="45"/>
      <c r="W4" s="23"/>
      <c r="X4" s="46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  <c r="AR4" s="23"/>
      <c r="AS4" s="23"/>
      <c r="AT4" s="23"/>
      <c r="AU4" s="23"/>
      <c r="AV4" s="23"/>
      <c r="AW4" s="23"/>
      <c r="AX4" s="23"/>
      <c r="AY4" s="23"/>
      <c r="AZ4" s="23"/>
      <c r="BA4" s="23"/>
      <c r="BB4" s="23"/>
      <c r="BC4" s="23"/>
      <c r="BD4" s="23"/>
      <c r="BE4" s="23"/>
      <c r="BF4" s="23"/>
      <c r="BG4" s="23"/>
      <c r="BH4" s="23"/>
      <c r="BI4" s="23"/>
      <c r="BJ4" s="23"/>
      <c r="BK4" s="23"/>
      <c r="BL4" s="23"/>
      <c r="BM4" s="23"/>
      <c r="BN4" s="23"/>
      <c r="BO4" s="23"/>
      <c r="BP4" s="23"/>
      <c r="BQ4" s="23"/>
      <c r="BR4" s="23"/>
      <c r="BS4" s="23"/>
      <c r="BT4" s="23"/>
      <c r="BU4" s="23"/>
      <c r="BV4" s="23"/>
      <c r="BW4" s="23"/>
      <c r="BX4" s="23"/>
      <c r="BY4" s="23"/>
      <c r="BZ4" s="23"/>
      <c r="CA4" s="23"/>
      <c r="CB4" s="23"/>
      <c r="CC4" s="23"/>
    </row>
    <row r="5" spans="2:81" s="10" customFormat="1" x14ac:dyDescent="0.25">
      <c r="B5" s="110"/>
      <c r="C5" s="90" t="s">
        <v>205</v>
      </c>
      <c r="D5" s="23"/>
      <c r="E5" s="23"/>
      <c r="F5" s="23"/>
      <c r="G5" s="23"/>
      <c r="H5" s="123" t="s">
        <v>220</v>
      </c>
      <c r="I5" s="122" t="s">
        <v>221</v>
      </c>
      <c r="N5" s="123">
        <v>3</v>
      </c>
      <c r="O5" s="122" t="s">
        <v>222</v>
      </c>
      <c r="U5" s="23"/>
      <c r="V5" s="45"/>
      <c r="W5" s="23"/>
      <c r="X5" s="46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  <c r="AP5" s="23"/>
      <c r="AQ5" s="23"/>
      <c r="AR5" s="23"/>
      <c r="AS5" s="23"/>
      <c r="AT5" s="23"/>
      <c r="AU5" s="23"/>
      <c r="AV5" s="23"/>
      <c r="AW5" s="23"/>
      <c r="AX5" s="23"/>
      <c r="AY5" s="23"/>
      <c r="AZ5" s="23"/>
      <c r="BA5" s="23"/>
      <c r="BB5" s="23"/>
      <c r="BC5" s="23"/>
      <c r="BD5" s="23"/>
      <c r="BE5" s="23"/>
      <c r="BF5" s="23"/>
      <c r="BG5" s="23"/>
      <c r="BH5" s="23"/>
      <c r="BI5" s="23"/>
      <c r="BJ5" s="23"/>
      <c r="BK5" s="23"/>
      <c r="BL5" s="23"/>
      <c r="BM5" s="23"/>
      <c r="BN5" s="23"/>
      <c r="BO5" s="23"/>
      <c r="BP5" s="23"/>
      <c r="BQ5" s="23"/>
      <c r="BR5" s="23"/>
      <c r="BS5" s="23"/>
      <c r="BT5" s="23"/>
      <c r="BU5" s="23"/>
      <c r="BV5" s="23"/>
      <c r="BW5" s="23"/>
      <c r="BX5" s="23"/>
      <c r="BY5" s="23"/>
      <c r="BZ5" s="23"/>
      <c r="CA5" s="23"/>
      <c r="CB5" s="23"/>
      <c r="CC5" s="23"/>
    </row>
    <row r="6" spans="2:81" s="10" customFormat="1" x14ac:dyDescent="0.25">
      <c r="B6" s="89"/>
      <c r="C6" s="90" t="s">
        <v>209</v>
      </c>
      <c r="D6" s="23"/>
      <c r="E6" s="23"/>
      <c r="F6" s="23"/>
      <c r="G6" s="23"/>
      <c r="H6" s="123" t="s">
        <v>223</v>
      </c>
      <c r="I6" s="122" t="s">
        <v>224</v>
      </c>
      <c r="N6" s="123">
        <v>4</v>
      </c>
      <c r="O6" s="122" t="s">
        <v>234</v>
      </c>
      <c r="U6" s="23"/>
      <c r="V6" s="45"/>
      <c r="W6" s="23"/>
      <c r="X6" s="46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23"/>
      <c r="AP6" s="23"/>
      <c r="AQ6" s="23"/>
      <c r="AR6" s="23"/>
      <c r="AS6" s="23"/>
      <c r="AT6" s="23"/>
      <c r="AU6" s="23"/>
      <c r="AV6" s="23"/>
      <c r="AW6" s="23"/>
      <c r="AX6" s="23"/>
      <c r="AY6" s="23"/>
      <c r="AZ6" s="23"/>
      <c r="BA6" s="23"/>
      <c r="BB6" s="23"/>
      <c r="BC6" s="23"/>
      <c r="BD6" s="23"/>
      <c r="BE6" s="23"/>
      <c r="BF6" s="23"/>
      <c r="BG6" s="23"/>
      <c r="BH6" s="23"/>
      <c r="BI6" s="23"/>
      <c r="BJ6" s="23"/>
      <c r="BK6" s="23"/>
      <c r="BL6" s="23"/>
      <c r="BM6" s="23"/>
      <c r="BN6" s="23"/>
      <c r="BO6" s="23"/>
      <c r="BP6" s="23"/>
      <c r="BQ6" s="23"/>
      <c r="BR6" s="23"/>
      <c r="BS6" s="23"/>
      <c r="BT6" s="23"/>
      <c r="BU6" s="23"/>
      <c r="BV6" s="23"/>
      <c r="BW6" s="23"/>
      <c r="BX6" s="23"/>
      <c r="BY6" s="23"/>
      <c r="BZ6" s="23"/>
      <c r="CA6" s="23"/>
      <c r="CB6" s="23"/>
      <c r="CC6" s="23"/>
    </row>
    <row r="7" spans="2:81" s="10" customFormat="1" x14ac:dyDescent="0.25">
      <c r="B7" s="91"/>
      <c r="C7" s="90" t="s">
        <v>206</v>
      </c>
      <c r="D7" s="23"/>
      <c r="E7" s="23"/>
      <c r="F7" s="23"/>
      <c r="G7" s="23"/>
      <c r="H7" s="123" t="s">
        <v>243</v>
      </c>
      <c r="I7" s="122" t="s">
        <v>247</v>
      </c>
      <c r="J7" s="57"/>
      <c r="K7" s="57"/>
      <c r="L7" s="57"/>
      <c r="M7" s="57"/>
      <c r="N7" s="45"/>
      <c r="O7" s="46"/>
      <c r="U7" s="23"/>
      <c r="V7" s="45"/>
      <c r="W7" s="23"/>
      <c r="X7" s="46"/>
      <c r="Y7" s="23"/>
      <c r="Z7" s="23"/>
      <c r="AA7" s="23"/>
      <c r="AB7" s="23"/>
      <c r="AC7" s="23"/>
      <c r="AD7" s="23"/>
      <c r="AE7" s="23"/>
      <c r="AF7" s="23"/>
      <c r="AG7" s="23"/>
      <c r="AH7" s="23"/>
      <c r="AI7" s="23"/>
      <c r="AJ7" s="23"/>
      <c r="AK7" s="23"/>
      <c r="AL7" s="23"/>
      <c r="AM7" s="23"/>
      <c r="AN7" s="23"/>
      <c r="AO7" s="23"/>
      <c r="AP7" s="23"/>
      <c r="AQ7" s="23"/>
      <c r="AR7" s="23"/>
      <c r="AS7" s="23"/>
      <c r="AT7" s="23"/>
      <c r="AU7" s="23"/>
      <c r="AV7" s="23"/>
      <c r="AW7" s="23"/>
      <c r="AX7" s="23"/>
      <c r="AY7" s="23"/>
      <c r="AZ7" s="23"/>
      <c r="BA7" s="23"/>
      <c r="BB7" s="23"/>
      <c r="BC7" s="23"/>
      <c r="BD7" s="23"/>
      <c r="BE7" s="23"/>
      <c r="BF7" s="23"/>
      <c r="BG7" s="23"/>
      <c r="BH7" s="23"/>
      <c r="BI7" s="23"/>
      <c r="BJ7" s="23"/>
      <c r="BK7" s="23"/>
      <c r="BL7" s="23"/>
      <c r="BM7" s="23"/>
      <c r="BN7" s="23"/>
      <c r="BO7" s="23"/>
      <c r="BP7" s="23"/>
      <c r="BQ7" s="23"/>
      <c r="BR7" s="23"/>
      <c r="BS7" s="23"/>
      <c r="BT7" s="23"/>
      <c r="BU7" s="23"/>
      <c r="BV7" s="23"/>
      <c r="BW7" s="23"/>
      <c r="BX7" s="23"/>
      <c r="BY7" s="23"/>
      <c r="BZ7" s="23"/>
      <c r="CA7" s="23"/>
      <c r="CB7" s="23"/>
      <c r="CC7" s="23"/>
    </row>
    <row r="8" spans="2:81" s="10" customFormat="1" ht="15.75" thickBot="1" x14ac:dyDescent="0.3">
      <c r="B8" s="23"/>
      <c r="C8" s="87"/>
      <c r="D8" s="23"/>
      <c r="E8" s="23"/>
      <c r="F8" s="23"/>
      <c r="G8" s="23"/>
      <c r="H8" s="53"/>
      <c r="I8" s="53"/>
      <c r="J8" s="57"/>
      <c r="K8" s="57"/>
      <c r="L8" s="57"/>
      <c r="M8" s="57"/>
      <c r="N8" s="57"/>
      <c r="O8" s="57"/>
      <c r="P8" s="57"/>
      <c r="Q8" s="45"/>
      <c r="R8" s="45"/>
      <c r="S8" s="45"/>
      <c r="T8" s="46"/>
      <c r="U8" s="23"/>
      <c r="V8" s="45"/>
      <c r="W8" s="23"/>
      <c r="X8" s="46"/>
      <c r="Y8" s="23"/>
      <c r="Z8" s="23"/>
      <c r="AA8" s="23"/>
      <c r="AB8" s="23"/>
      <c r="AC8" s="23"/>
      <c r="AD8" s="23"/>
      <c r="AE8" s="23"/>
      <c r="AF8" s="23"/>
      <c r="AG8" s="23"/>
      <c r="AH8" s="23"/>
      <c r="AI8" s="23"/>
      <c r="AJ8" s="23"/>
      <c r="AK8" s="23"/>
      <c r="AL8" s="23"/>
      <c r="AM8" s="23"/>
      <c r="AN8" s="23"/>
      <c r="AO8" s="23"/>
      <c r="AP8" s="23"/>
      <c r="AQ8" s="23"/>
      <c r="AR8" s="23"/>
      <c r="AS8" s="23"/>
      <c r="AT8" s="23"/>
      <c r="AU8" s="23"/>
      <c r="AV8" s="23"/>
      <c r="AW8" s="23"/>
      <c r="AX8" s="23"/>
      <c r="AY8" s="23"/>
      <c r="AZ8" s="23"/>
      <c r="BA8" s="23"/>
      <c r="BB8" s="23"/>
      <c r="BC8" s="23"/>
      <c r="BD8" s="23"/>
      <c r="BE8" s="23"/>
      <c r="BF8" s="23"/>
      <c r="BG8" s="23"/>
      <c r="BH8" s="23"/>
      <c r="BI8" s="23"/>
      <c r="BJ8" s="23"/>
      <c r="BK8" s="23"/>
      <c r="BL8" s="23"/>
      <c r="BM8" s="23"/>
      <c r="BN8" s="23"/>
      <c r="BO8" s="23"/>
      <c r="BP8" s="23"/>
      <c r="BQ8" s="23"/>
      <c r="BR8" s="23"/>
      <c r="BS8" s="23"/>
      <c r="BT8" s="23"/>
      <c r="BU8" s="23"/>
      <c r="BV8" s="23"/>
      <c r="BW8" s="23"/>
      <c r="BX8" s="23"/>
      <c r="BY8" s="23"/>
      <c r="BZ8" s="23"/>
      <c r="CA8" s="23"/>
      <c r="CB8" s="23"/>
      <c r="CC8" s="23"/>
    </row>
    <row r="9" spans="2:81" s="59" customFormat="1" ht="15.75" customHeight="1" thickBot="1" x14ac:dyDescent="0.3">
      <c r="B9" s="324" t="s">
        <v>1</v>
      </c>
      <c r="C9" s="326" t="s">
        <v>237</v>
      </c>
      <c r="D9" s="326" t="s">
        <v>0</v>
      </c>
      <c r="E9" s="329" t="s">
        <v>2</v>
      </c>
      <c r="F9" s="261" t="s">
        <v>87</v>
      </c>
      <c r="G9" s="262"/>
      <c r="H9" s="262"/>
      <c r="I9" s="262"/>
      <c r="J9" s="262"/>
      <c r="K9" s="262"/>
      <c r="L9" s="262"/>
      <c r="M9" s="263"/>
      <c r="N9" s="273" t="s">
        <v>71</v>
      </c>
      <c r="O9" s="271" t="s">
        <v>62</v>
      </c>
      <c r="P9" s="271"/>
      <c r="Q9" s="271"/>
      <c r="R9" s="271"/>
      <c r="S9" s="271"/>
      <c r="T9" s="276" t="s">
        <v>102</v>
      </c>
      <c r="U9" s="277"/>
      <c r="V9" s="277"/>
      <c r="W9" s="277"/>
      <c r="X9" s="277"/>
      <c r="Y9" s="277"/>
      <c r="Z9" s="277"/>
      <c r="AA9" s="277"/>
      <c r="AB9" s="277"/>
      <c r="AC9" s="277"/>
      <c r="AD9" s="277"/>
      <c r="AE9" s="277"/>
      <c r="AF9" s="277"/>
      <c r="AG9" s="277"/>
      <c r="AH9" s="277"/>
      <c r="AI9" s="277"/>
      <c r="AJ9" s="277"/>
      <c r="AK9" s="277"/>
      <c r="AL9" s="277"/>
      <c r="AM9" s="277"/>
      <c r="AN9" s="277"/>
      <c r="AO9" s="277"/>
      <c r="AP9" s="277"/>
      <c r="AQ9" s="277"/>
      <c r="AR9" s="278"/>
      <c r="AS9" s="276" t="s">
        <v>101</v>
      </c>
      <c r="AT9" s="277"/>
      <c r="AU9" s="277"/>
      <c r="AV9" s="277"/>
      <c r="AW9" s="277"/>
      <c r="AX9" s="277"/>
      <c r="AY9" s="277"/>
      <c r="AZ9" s="277"/>
      <c r="BA9" s="277"/>
      <c r="BB9" s="277"/>
      <c r="BC9" s="277"/>
      <c r="BD9" s="277"/>
      <c r="BE9" s="277"/>
      <c r="BF9" s="277"/>
      <c r="BG9" s="277"/>
      <c r="BH9" s="277"/>
      <c r="BI9" s="277"/>
      <c r="BJ9" s="277"/>
      <c r="BK9" s="277"/>
      <c r="BL9" s="277"/>
      <c r="BM9" s="277"/>
      <c r="BN9" s="277"/>
      <c r="BO9" s="277"/>
      <c r="BP9" s="277"/>
      <c r="BQ9" s="277"/>
      <c r="BR9" s="277"/>
      <c r="BS9" s="277"/>
      <c r="BT9" s="277"/>
      <c r="BU9" s="277"/>
      <c r="BV9" s="278"/>
    </row>
    <row r="10" spans="2:81" s="59" customFormat="1" ht="15.75" customHeight="1" thickBot="1" x14ac:dyDescent="0.3">
      <c r="B10" s="325"/>
      <c r="C10" s="327"/>
      <c r="D10" s="327"/>
      <c r="E10" s="330"/>
      <c r="F10" s="264"/>
      <c r="G10" s="265"/>
      <c r="H10" s="265"/>
      <c r="I10" s="265"/>
      <c r="J10" s="265"/>
      <c r="K10" s="265"/>
      <c r="L10" s="265"/>
      <c r="M10" s="266"/>
      <c r="N10" s="274"/>
      <c r="O10" s="272"/>
      <c r="P10" s="272"/>
      <c r="Q10" s="272"/>
      <c r="R10" s="272"/>
      <c r="S10" s="272"/>
      <c r="T10" s="273" t="s">
        <v>99</v>
      </c>
      <c r="U10" s="283" t="s">
        <v>50</v>
      </c>
      <c r="V10" s="283"/>
      <c r="W10" s="283"/>
      <c r="X10" s="283"/>
      <c r="Y10" s="283"/>
      <c r="Z10" s="283"/>
      <c r="AA10" s="283"/>
      <c r="AB10" s="284"/>
      <c r="AC10" s="283" t="s">
        <v>98</v>
      </c>
      <c r="AD10" s="283"/>
      <c r="AE10" s="283"/>
      <c r="AF10" s="283"/>
      <c r="AG10" s="283"/>
      <c r="AH10" s="283"/>
      <c r="AI10" s="283"/>
      <c r="AJ10" s="284"/>
      <c r="AK10" s="276" t="s">
        <v>97</v>
      </c>
      <c r="AL10" s="277"/>
      <c r="AM10" s="277"/>
      <c r="AN10" s="277"/>
      <c r="AO10" s="277"/>
      <c r="AP10" s="277"/>
      <c r="AQ10" s="277"/>
      <c r="AR10" s="278"/>
      <c r="AS10" s="273" t="s">
        <v>84</v>
      </c>
      <c r="AT10" s="302" t="s">
        <v>86</v>
      </c>
      <c r="AU10" s="303"/>
      <c r="AV10" s="303"/>
      <c r="AW10" s="303"/>
      <c r="AX10" s="303"/>
      <c r="AY10" s="303"/>
      <c r="AZ10" s="303"/>
      <c r="BA10" s="304"/>
      <c r="BB10" s="295" t="s">
        <v>51</v>
      </c>
      <c r="BC10" s="296"/>
      <c r="BD10" s="297"/>
      <c r="BE10" s="292" t="s">
        <v>52</v>
      </c>
      <c r="BF10" s="293"/>
      <c r="BG10" s="293"/>
      <c r="BH10" s="293"/>
      <c r="BI10" s="294"/>
      <c r="BJ10" s="289" t="s">
        <v>53</v>
      </c>
      <c r="BK10" s="290"/>
      <c r="BL10" s="290"/>
      <c r="BM10" s="290"/>
      <c r="BN10" s="290"/>
      <c r="BO10" s="290"/>
      <c r="BP10" s="290"/>
      <c r="BQ10" s="290"/>
      <c r="BR10" s="290"/>
      <c r="BS10" s="290"/>
      <c r="BT10" s="290"/>
      <c r="BU10" s="290"/>
      <c r="BV10" s="291"/>
    </row>
    <row r="11" spans="2:81" s="60" customFormat="1" ht="30.75" customHeight="1" thickBot="1" x14ac:dyDescent="0.3">
      <c r="B11" s="325"/>
      <c r="C11" s="327"/>
      <c r="D11" s="327"/>
      <c r="E11" s="330"/>
      <c r="F11" s="332" t="s">
        <v>96</v>
      </c>
      <c r="G11" s="281" t="s">
        <v>238</v>
      </c>
      <c r="H11" s="61" t="s">
        <v>194</v>
      </c>
      <c r="I11" s="108" t="s">
        <v>194</v>
      </c>
      <c r="J11" s="287" t="s">
        <v>239</v>
      </c>
      <c r="K11" s="288"/>
      <c r="L11" s="279" t="s">
        <v>240</v>
      </c>
      <c r="M11" s="263"/>
      <c r="N11" s="274"/>
      <c r="O11" s="269" t="s">
        <v>200</v>
      </c>
      <c r="P11" s="115">
        <v>0.31944444444444448</v>
      </c>
      <c r="Q11" s="267" t="s">
        <v>324</v>
      </c>
      <c r="R11" s="285" t="s">
        <v>3</v>
      </c>
      <c r="S11" s="286"/>
      <c r="T11" s="274"/>
      <c r="U11" s="64" t="s">
        <v>33</v>
      </c>
      <c r="V11" s="62" t="s">
        <v>34</v>
      </c>
      <c r="W11" s="62" t="s">
        <v>35</v>
      </c>
      <c r="X11" s="62" t="s">
        <v>36</v>
      </c>
      <c r="Y11" s="62" t="s">
        <v>37</v>
      </c>
      <c r="Z11" s="62" t="s">
        <v>38</v>
      </c>
      <c r="AA11" s="62" t="s">
        <v>39</v>
      </c>
      <c r="AB11" s="63" t="s">
        <v>40</v>
      </c>
      <c r="AC11" s="117" t="s">
        <v>33</v>
      </c>
      <c r="AD11" s="118" t="s">
        <v>34</v>
      </c>
      <c r="AE11" s="118" t="s">
        <v>35</v>
      </c>
      <c r="AF11" s="118" t="s">
        <v>36</v>
      </c>
      <c r="AG11" s="118" t="s">
        <v>37</v>
      </c>
      <c r="AH11" s="118" t="s">
        <v>38</v>
      </c>
      <c r="AI11" s="118" t="s">
        <v>39</v>
      </c>
      <c r="AJ11" s="119" t="s">
        <v>40</v>
      </c>
      <c r="AK11" s="64" t="s">
        <v>33</v>
      </c>
      <c r="AL11" s="62" t="s">
        <v>34</v>
      </c>
      <c r="AM11" s="62" t="s">
        <v>35</v>
      </c>
      <c r="AN11" s="62" t="s">
        <v>36</v>
      </c>
      <c r="AO11" s="62" t="s">
        <v>37</v>
      </c>
      <c r="AP11" s="62" t="s">
        <v>38</v>
      </c>
      <c r="AQ11" s="62" t="s">
        <v>39</v>
      </c>
      <c r="AR11" s="63" t="s">
        <v>40</v>
      </c>
      <c r="AS11" s="274"/>
      <c r="AT11" s="305" t="s">
        <v>32</v>
      </c>
      <c r="AU11" s="307" t="s">
        <v>103</v>
      </c>
      <c r="AV11" s="258" t="s">
        <v>100</v>
      </c>
      <c r="AW11" s="259"/>
      <c r="AX11" s="259"/>
      <c r="AY11" s="259"/>
      <c r="AZ11" s="259"/>
      <c r="BA11" s="260"/>
      <c r="BB11" s="300" t="s">
        <v>32</v>
      </c>
      <c r="BC11" s="298" t="s">
        <v>103</v>
      </c>
      <c r="BD11" s="310" t="s">
        <v>104</v>
      </c>
      <c r="BE11" s="317" t="s">
        <v>32</v>
      </c>
      <c r="BF11" s="315" t="s">
        <v>197</v>
      </c>
      <c r="BG11" s="322" t="s">
        <v>323</v>
      </c>
      <c r="BH11" s="309" t="s">
        <v>54</v>
      </c>
      <c r="BI11" s="321" t="s">
        <v>55</v>
      </c>
      <c r="BJ11" s="317" t="s">
        <v>32</v>
      </c>
      <c r="BK11" s="319" t="s">
        <v>105</v>
      </c>
      <c r="BL11" s="179" t="s">
        <v>56</v>
      </c>
      <c r="BM11" s="314" t="s">
        <v>57</v>
      </c>
      <c r="BN11" s="314"/>
      <c r="BO11" s="314" t="s">
        <v>58</v>
      </c>
      <c r="BP11" s="314"/>
      <c r="BQ11" s="314" t="s">
        <v>59</v>
      </c>
      <c r="BR11" s="314"/>
      <c r="BS11" s="314" t="s">
        <v>60</v>
      </c>
      <c r="BT11" s="314"/>
      <c r="BU11" s="314"/>
      <c r="BV11" s="312" t="s">
        <v>61</v>
      </c>
    </row>
    <row r="12" spans="2:81" s="60" customFormat="1" ht="45.75" thickBot="1" x14ac:dyDescent="0.3">
      <c r="B12" s="325"/>
      <c r="C12" s="328"/>
      <c r="D12" s="328"/>
      <c r="E12" s="331"/>
      <c r="F12" s="333"/>
      <c r="G12" s="282"/>
      <c r="H12" s="65" t="s">
        <v>93</v>
      </c>
      <c r="I12" s="109" t="s">
        <v>4</v>
      </c>
      <c r="J12" s="80" t="s">
        <v>202</v>
      </c>
      <c r="K12" s="112" t="s">
        <v>201</v>
      </c>
      <c r="L12" s="280"/>
      <c r="M12" s="266"/>
      <c r="N12" s="275"/>
      <c r="O12" s="270"/>
      <c r="P12" s="116" t="s">
        <v>199</v>
      </c>
      <c r="Q12" s="268"/>
      <c r="R12" s="111" t="s">
        <v>192</v>
      </c>
      <c r="S12" s="79" t="s">
        <v>193</v>
      </c>
      <c r="T12" s="275"/>
      <c r="U12" s="66" t="s">
        <v>41</v>
      </c>
      <c r="V12" s="66" t="s">
        <v>42</v>
      </c>
      <c r="W12" s="66" t="s">
        <v>43</v>
      </c>
      <c r="X12" s="66" t="s">
        <v>44</v>
      </c>
      <c r="Y12" s="66" t="s">
        <v>45</v>
      </c>
      <c r="Z12" s="66" t="s">
        <v>46</v>
      </c>
      <c r="AA12" s="66" t="s">
        <v>47</v>
      </c>
      <c r="AB12" s="67" t="s">
        <v>48</v>
      </c>
      <c r="AC12" s="68" t="s">
        <v>41</v>
      </c>
      <c r="AD12" s="69" t="s">
        <v>42</v>
      </c>
      <c r="AE12" s="69" t="s">
        <v>43</v>
      </c>
      <c r="AF12" s="69" t="s">
        <v>44</v>
      </c>
      <c r="AG12" s="69" t="s">
        <v>45</v>
      </c>
      <c r="AH12" s="69" t="s">
        <v>46</v>
      </c>
      <c r="AI12" s="69" t="s">
        <v>47</v>
      </c>
      <c r="AJ12" s="70" t="s">
        <v>48</v>
      </c>
      <c r="AK12" s="71" t="s">
        <v>41</v>
      </c>
      <c r="AL12" s="69" t="s">
        <v>42</v>
      </c>
      <c r="AM12" s="69" t="s">
        <v>43</v>
      </c>
      <c r="AN12" s="69" t="s">
        <v>44</v>
      </c>
      <c r="AO12" s="69" t="s">
        <v>45</v>
      </c>
      <c r="AP12" s="69" t="s">
        <v>46</v>
      </c>
      <c r="AQ12" s="69" t="s">
        <v>47</v>
      </c>
      <c r="AR12" s="70" t="s">
        <v>48</v>
      </c>
      <c r="AS12" s="275"/>
      <c r="AT12" s="306"/>
      <c r="AU12" s="308"/>
      <c r="AV12" s="120" t="s">
        <v>326</v>
      </c>
      <c r="AW12" s="157" t="s">
        <v>204</v>
      </c>
      <c r="AX12" s="158" t="s">
        <v>64</v>
      </c>
      <c r="AY12" s="172" t="s">
        <v>70</v>
      </c>
      <c r="AZ12" s="174" t="s">
        <v>49</v>
      </c>
      <c r="BA12" s="72" t="s">
        <v>198</v>
      </c>
      <c r="BB12" s="301"/>
      <c r="BC12" s="299"/>
      <c r="BD12" s="311"/>
      <c r="BE12" s="318"/>
      <c r="BF12" s="316"/>
      <c r="BG12" s="323"/>
      <c r="BH12" s="296"/>
      <c r="BI12" s="297"/>
      <c r="BJ12" s="318"/>
      <c r="BK12" s="320"/>
      <c r="BL12" s="184" t="s">
        <v>35</v>
      </c>
      <c r="BM12" s="114" t="s">
        <v>37</v>
      </c>
      <c r="BN12" s="114" t="s">
        <v>38</v>
      </c>
      <c r="BO12" s="114" t="s">
        <v>37</v>
      </c>
      <c r="BP12" s="114" t="s">
        <v>38</v>
      </c>
      <c r="BQ12" s="114" t="s">
        <v>37</v>
      </c>
      <c r="BR12" s="114" t="s">
        <v>38</v>
      </c>
      <c r="BS12" s="114" t="s">
        <v>37</v>
      </c>
      <c r="BT12" s="114" t="s">
        <v>38</v>
      </c>
      <c r="BU12" s="114" t="s">
        <v>35</v>
      </c>
      <c r="BV12" s="313"/>
    </row>
    <row r="13" spans="2:81" ht="30.75" thickBot="1" x14ac:dyDescent="0.3">
      <c r="B13" s="133">
        <v>1</v>
      </c>
      <c r="C13" s="134" t="s">
        <v>88</v>
      </c>
      <c r="D13" s="135" t="s">
        <v>108</v>
      </c>
      <c r="E13" s="196" t="s">
        <v>248</v>
      </c>
      <c r="F13" s="129"/>
      <c r="G13" s="144" t="s">
        <v>195</v>
      </c>
      <c r="H13" s="145" t="s">
        <v>95</v>
      </c>
      <c r="I13" s="146" t="str">
        <f t="shared" ref="I13:I77" si="0">IF(W13&gt;0,IF(X13-W13&gt;0,"I","R"),"R")</f>
        <v>R</v>
      </c>
      <c r="J13" s="148">
        <v>2</v>
      </c>
      <c r="K13" s="149"/>
      <c r="L13" s="149">
        <v>0</v>
      </c>
      <c r="M13" s="101">
        <v>0.25</v>
      </c>
      <c r="N13" s="40">
        <f t="shared" ref="N13:N77" si="1">IF(I13="I",0,IF(AX13="YA",O13+T13+AS13,0))</f>
        <v>13.864583333333332</v>
      </c>
      <c r="O13" s="58">
        <f>IF(P13="-",5,IF(10-(P13/60)&gt;10,10+(P13/60*10),10-(P13/60)))</f>
        <v>7.333333333333333</v>
      </c>
      <c r="P13" s="58">
        <f>IF(Q13="-","-",IF((Q13-$P$11)*1440&gt;1,(Q13-$P$11)*1440,-1*(Q13-$P$11)*1440))</f>
        <v>160.00000000000003</v>
      </c>
      <c r="Q13" s="228">
        <v>0.20833333333333334</v>
      </c>
      <c r="R13" s="97"/>
      <c r="S13" s="102">
        <f t="shared" ref="S13:S77" si="2">IF(L13=0,0,IF(L13=1,R13+$M$13,IF(L13=2,R13+$M$14,IF(L13=3,R13+$M$15,IF(L13=4,R13+$M$16,0)))))</f>
        <v>0</v>
      </c>
      <c r="T13" s="49">
        <f>SUM(U13:AB13)/8</f>
        <v>4.03125</v>
      </c>
      <c r="U13" s="36">
        <f>AK13-$AC$13</f>
        <v>3</v>
      </c>
      <c r="V13" s="36">
        <f>AL13-$AD$13</f>
        <v>5</v>
      </c>
      <c r="W13" s="36">
        <f>AM13-$AE$13</f>
        <v>7</v>
      </c>
      <c r="X13" s="36">
        <f>$AF$13-AN13</f>
        <v>2</v>
      </c>
      <c r="Y13" s="36">
        <f>AO13-$AG$13</f>
        <v>5</v>
      </c>
      <c r="Z13" s="36">
        <f t="shared" ref="Z13:AA13" si="3">AP13-$AH$13</f>
        <v>7</v>
      </c>
      <c r="AA13" s="36">
        <f t="shared" si="3"/>
        <v>1</v>
      </c>
      <c r="AB13" s="48">
        <f>AR13-$AJ$13</f>
        <v>2.25</v>
      </c>
      <c r="AC13" s="52">
        <v>6</v>
      </c>
      <c r="AD13" s="50">
        <v>3</v>
      </c>
      <c r="AE13" s="50">
        <v>2</v>
      </c>
      <c r="AF13" s="50">
        <v>9</v>
      </c>
      <c r="AG13" s="50">
        <v>4</v>
      </c>
      <c r="AH13" s="50">
        <v>2</v>
      </c>
      <c r="AI13" s="50">
        <v>1</v>
      </c>
      <c r="AJ13" s="51">
        <v>0.75</v>
      </c>
      <c r="AK13" s="150">
        <v>9</v>
      </c>
      <c r="AL13" s="151">
        <v>8</v>
      </c>
      <c r="AM13" s="151">
        <v>9</v>
      </c>
      <c r="AN13" s="151">
        <v>7</v>
      </c>
      <c r="AO13" s="151">
        <v>9</v>
      </c>
      <c r="AP13" s="151">
        <v>9</v>
      </c>
      <c r="AQ13" s="151">
        <v>3</v>
      </c>
      <c r="AR13" s="152">
        <v>3</v>
      </c>
      <c r="AS13" s="40">
        <f t="shared" ref="AS13:AS77" si="4">(AT13+BB13+BE13+BJ13)/4</f>
        <v>2.5</v>
      </c>
      <c r="AT13" s="156">
        <f>AU13*AV13</f>
        <v>0</v>
      </c>
      <c r="AU13" s="153">
        <v>3</v>
      </c>
      <c r="AV13" s="159">
        <f>IF(AW13=1,1,IF(AW13=2,0.9,IF(AW13=3,0.8,IF(AW13=4,0.7,IF(AW13=5,0.6,IF(AW13=6,0.5,IF(AW13=7,0.4,IF(AW13=8,0.3,IF(AW13=9,0.2,IF(AW13=10,0.1,IF(AW13=0,0,0)))))))))))</f>
        <v>0</v>
      </c>
      <c r="AW13" s="168"/>
      <c r="AX13" s="169" t="str">
        <f>IF($AZ$13&gt;=BA13,"YA","TIDAK")</f>
        <v>YA</v>
      </c>
      <c r="AY13" s="173">
        <f>IF($AZ$13-BA13&gt;0,$AZ$13-BA13,"0")</f>
        <v>0.26</v>
      </c>
      <c r="AZ13" s="175">
        <v>1.01</v>
      </c>
      <c r="BA13" s="155">
        <v>0.75</v>
      </c>
      <c r="BB13" s="86">
        <f>BC13+BD13</f>
        <v>5</v>
      </c>
      <c r="BC13" s="224">
        <v>5</v>
      </c>
      <c r="BD13" s="37"/>
      <c r="BE13" s="86">
        <f t="shared" ref="BE13:BE77" si="5">BF13*BH13*BI13</f>
        <v>0</v>
      </c>
      <c r="BF13" s="38"/>
      <c r="BG13" s="188"/>
      <c r="BH13" s="154"/>
      <c r="BI13" s="153"/>
      <c r="BJ13" s="86">
        <f>SUM(BK13:BV13)</f>
        <v>5</v>
      </c>
      <c r="BK13" s="226">
        <v>5</v>
      </c>
      <c r="BL13" s="183"/>
      <c r="BM13" s="43"/>
      <c r="BN13" s="43"/>
      <c r="BO13" s="43"/>
      <c r="BP13" s="43"/>
      <c r="BQ13" s="43"/>
      <c r="BR13" s="43"/>
      <c r="BS13" s="43"/>
      <c r="BT13" s="43"/>
      <c r="BU13" s="43"/>
      <c r="BV13" s="44"/>
    </row>
    <row r="14" spans="2:81" x14ac:dyDescent="0.25">
      <c r="B14" s="136">
        <v>2</v>
      </c>
      <c r="C14" s="137" t="s">
        <v>249</v>
      </c>
      <c r="D14" s="138" t="s">
        <v>109</v>
      </c>
      <c r="E14" s="196" t="s">
        <v>250</v>
      </c>
      <c r="F14" s="130"/>
      <c r="G14" s="144" t="s">
        <v>195</v>
      </c>
      <c r="H14" s="145" t="s">
        <v>95</v>
      </c>
      <c r="I14" s="146" t="str">
        <f t="shared" si="0"/>
        <v>R</v>
      </c>
      <c r="J14" s="148">
        <v>3</v>
      </c>
      <c r="K14" s="149"/>
      <c r="L14" s="149">
        <v>0</v>
      </c>
      <c r="M14" s="101">
        <v>0.5</v>
      </c>
      <c r="N14" s="40">
        <f t="shared" si="1"/>
        <v>15.697916666666666</v>
      </c>
      <c r="O14" s="58">
        <f t="shared" ref="O14:O77" si="6">IF(P14="-",5,IF(10-(P14/60)&gt;10,10+(P14/60*10),10-(P14/60)))</f>
        <v>7.4166666666666661</v>
      </c>
      <c r="P14" s="85">
        <f t="shared" ref="P14:P77" si="7">IF(Q14="-","-",IF((Q14-$P$11)*1440&gt;1,(Q14-$P$11)*1440,-1*(Q14-$P$11)*1440))</f>
        <v>155.00000000000006</v>
      </c>
      <c r="Q14" s="204">
        <v>0.21180555555555555</v>
      </c>
      <c r="R14" s="92"/>
      <c r="S14" s="105">
        <f t="shared" si="2"/>
        <v>0</v>
      </c>
      <c r="T14" s="49">
        <f t="shared" ref="T14:T77" si="8">SUM(U14:AB14)/8</f>
        <v>4.53125</v>
      </c>
      <c r="U14" s="36">
        <f t="shared" ref="U14:U77" si="9">AK14-$AC$13</f>
        <v>3</v>
      </c>
      <c r="V14" s="36">
        <f t="shared" ref="V14:V77" si="10">AL14-$AD$13</f>
        <v>5</v>
      </c>
      <c r="W14" s="36">
        <f t="shared" ref="W14:W77" si="11">AM14-$AE$13</f>
        <v>7</v>
      </c>
      <c r="X14" s="36">
        <f t="shared" ref="X14:X77" si="12">$AF$13-AN14</f>
        <v>2</v>
      </c>
      <c r="Y14" s="36">
        <f t="shared" ref="Y14:Y77" si="13">AO14-$AG$13</f>
        <v>5</v>
      </c>
      <c r="Z14" s="36">
        <f t="shared" ref="Z14:Z77" si="14">AP14-$AH$13</f>
        <v>7</v>
      </c>
      <c r="AA14" s="36">
        <f t="shared" ref="AA14:AA77" si="15">AQ14-$AH$13</f>
        <v>3</v>
      </c>
      <c r="AB14" s="48">
        <f t="shared" ref="AB14:AB77" si="16">AR14-$AJ$13</f>
        <v>4.25</v>
      </c>
      <c r="AC14" s="55"/>
      <c r="AD14" s="55"/>
      <c r="AE14" s="55"/>
      <c r="AF14" s="55"/>
      <c r="AG14" s="55"/>
      <c r="AH14" s="55"/>
      <c r="AI14" s="55"/>
      <c r="AJ14" s="55"/>
      <c r="AK14" s="150">
        <v>9</v>
      </c>
      <c r="AL14" s="151">
        <v>8</v>
      </c>
      <c r="AM14" s="151">
        <v>9</v>
      </c>
      <c r="AN14" s="151">
        <v>7</v>
      </c>
      <c r="AO14" s="151">
        <v>9</v>
      </c>
      <c r="AP14" s="151">
        <v>9</v>
      </c>
      <c r="AQ14" s="151">
        <v>5</v>
      </c>
      <c r="AR14" s="152">
        <v>5</v>
      </c>
      <c r="AS14" s="40">
        <f t="shared" ref="AS14:AS77" si="17">(AT14+BB14+BE14+BJ14)/4</f>
        <v>3.75</v>
      </c>
      <c r="AT14" s="156">
        <f t="shared" ref="AT14:AT77" si="18">AU14*AV14</f>
        <v>0</v>
      </c>
      <c r="AU14" s="153">
        <v>5</v>
      </c>
      <c r="AV14" s="160">
        <f t="shared" ref="AV14:AV77" si="19">IF(AW14=1,1,IF(AW14=2,0.9,IF(AW14=3,0.8,IF(AW14=4,0.7,IF(AW14=5,0.6,IF(AW14=6,0.5,IF(AW14=7,0.4,IF(AW14=8,0.3,IF(AW14=9,0.2,IF(AW14=10,0.1,IF(AW14=0,0,0)))))))))))</f>
        <v>0</v>
      </c>
      <c r="AW14" s="165"/>
      <c r="AX14" s="36" t="str">
        <f t="shared" ref="AX14:AX77" si="20">IF($AZ$13&gt;=BA14,"YA","TIDAK")</f>
        <v>YA</v>
      </c>
      <c r="AY14" s="170">
        <f t="shared" ref="AY14:AY77" si="21">IF($AZ$13-BA14&gt;0,$AZ$13-BA14,"0")</f>
        <v>0.76</v>
      </c>
      <c r="AZ14" s="10"/>
      <c r="BA14" s="155">
        <v>0.25</v>
      </c>
      <c r="BB14" s="86">
        <f t="shared" ref="BB14:BB77" si="22">BC14+BD14</f>
        <v>8</v>
      </c>
      <c r="BC14" s="224">
        <v>8</v>
      </c>
      <c r="BD14" s="37"/>
      <c r="BE14" s="86">
        <f t="shared" si="5"/>
        <v>0</v>
      </c>
      <c r="BF14" s="56"/>
      <c r="BG14" s="189"/>
      <c r="BH14" s="154"/>
      <c r="BI14" s="153"/>
      <c r="BJ14" s="86">
        <f t="shared" ref="BJ14:BJ77" si="23">SUM(BK14:BV14)</f>
        <v>7</v>
      </c>
      <c r="BK14" s="226">
        <v>7</v>
      </c>
      <c r="BL14" s="178"/>
      <c r="BM14" s="91"/>
      <c r="BN14" s="91"/>
      <c r="BO14" s="91"/>
      <c r="BP14" s="91"/>
      <c r="BQ14" s="91"/>
      <c r="BR14" s="91"/>
      <c r="BS14" s="91"/>
      <c r="BT14" s="91"/>
      <c r="BU14" s="91"/>
      <c r="BV14" s="39"/>
    </row>
    <row r="15" spans="2:81" ht="30" x14ac:dyDescent="0.25">
      <c r="B15" s="136">
        <v>3</v>
      </c>
      <c r="C15" s="139" t="s">
        <v>251</v>
      </c>
      <c r="D15" s="138" t="s">
        <v>110</v>
      </c>
      <c r="E15" s="196" t="s">
        <v>106</v>
      </c>
      <c r="F15" s="129"/>
      <c r="G15" s="144" t="s">
        <v>195</v>
      </c>
      <c r="H15" s="145" t="s">
        <v>95</v>
      </c>
      <c r="I15" s="146" t="str">
        <f t="shared" si="0"/>
        <v>R</v>
      </c>
      <c r="J15" s="148">
        <v>3</v>
      </c>
      <c r="K15" s="149"/>
      <c r="L15" s="149">
        <v>0</v>
      </c>
      <c r="M15" s="101">
        <v>0.99930555555555556</v>
      </c>
      <c r="N15" s="40">
        <f t="shared" si="1"/>
        <v>15.747916666666667</v>
      </c>
      <c r="O15" s="58">
        <f t="shared" si="6"/>
        <v>7.4666666666666668</v>
      </c>
      <c r="P15" s="58">
        <f t="shared" si="7"/>
        <v>152.00000000000003</v>
      </c>
      <c r="Q15" s="204">
        <v>0.21388888888888891</v>
      </c>
      <c r="R15" s="92"/>
      <c r="S15" s="103">
        <f t="shared" si="2"/>
        <v>0</v>
      </c>
      <c r="T15" s="49">
        <f t="shared" si="8"/>
        <v>4.53125</v>
      </c>
      <c r="U15" s="36">
        <f t="shared" si="9"/>
        <v>3</v>
      </c>
      <c r="V15" s="36">
        <f t="shared" si="10"/>
        <v>5</v>
      </c>
      <c r="W15" s="36">
        <f t="shared" si="11"/>
        <v>7</v>
      </c>
      <c r="X15" s="36">
        <f t="shared" si="12"/>
        <v>2</v>
      </c>
      <c r="Y15" s="36">
        <f t="shared" si="13"/>
        <v>5</v>
      </c>
      <c r="Z15" s="36">
        <f t="shared" si="14"/>
        <v>7</v>
      </c>
      <c r="AA15" s="36">
        <f t="shared" si="15"/>
        <v>3</v>
      </c>
      <c r="AB15" s="48">
        <f t="shared" si="16"/>
        <v>4.25</v>
      </c>
      <c r="AK15" s="150">
        <v>9</v>
      </c>
      <c r="AL15" s="151">
        <v>8</v>
      </c>
      <c r="AM15" s="151">
        <v>9</v>
      </c>
      <c r="AN15" s="151">
        <v>7</v>
      </c>
      <c r="AO15" s="151">
        <v>9</v>
      </c>
      <c r="AP15" s="151">
        <v>9</v>
      </c>
      <c r="AQ15" s="151">
        <v>5</v>
      </c>
      <c r="AR15" s="152">
        <v>5</v>
      </c>
      <c r="AS15" s="40">
        <f t="shared" si="17"/>
        <v>3.75</v>
      </c>
      <c r="AT15" s="156">
        <f t="shared" si="18"/>
        <v>0</v>
      </c>
      <c r="AU15" s="153">
        <v>5</v>
      </c>
      <c r="AV15" s="161">
        <f t="shared" si="19"/>
        <v>0</v>
      </c>
      <c r="AW15" s="165"/>
      <c r="AX15" s="36" t="str">
        <f t="shared" si="20"/>
        <v>YA</v>
      </c>
      <c r="AY15" s="170">
        <f t="shared" si="21"/>
        <v>0.76</v>
      </c>
      <c r="AZ15" s="10"/>
      <c r="BA15" s="155">
        <v>0.25</v>
      </c>
      <c r="BB15" s="86">
        <f t="shared" si="22"/>
        <v>8</v>
      </c>
      <c r="BC15" s="224">
        <v>8</v>
      </c>
      <c r="BD15" s="37"/>
      <c r="BE15" s="86">
        <f t="shared" si="5"/>
        <v>0</v>
      </c>
      <c r="BF15" s="38"/>
      <c r="BG15" s="188"/>
      <c r="BH15" s="154">
        <v>1</v>
      </c>
      <c r="BI15" s="153">
        <v>8</v>
      </c>
      <c r="BJ15" s="86">
        <f t="shared" si="23"/>
        <v>7</v>
      </c>
      <c r="BK15" s="226">
        <v>7</v>
      </c>
      <c r="BL15" s="178"/>
      <c r="BM15" s="91"/>
      <c r="BN15" s="91"/>
      <c r="BO15" s="91"/>
      <c r="BP15" s="91"/>
      <c r="BQ15" s="91"/>
      <c r="BR15" s="91"/>
      <c r="BS15" s="91"/>
      <c r="BT15" s="91"/>
      <c r="BU15" s="91"/>
      <c r="BV15" s="39"/>
    </row>
    <row r="16" spans="2:81" ht="15.75" thickBot="1" x14ac:dyDescent="0.3">
      <c r="B16" s="136">
        <v>4</v>
      </c>
      <c r="C16" s="140" t="s">
        <v>89</v>
      </c>
      <c r="D16" s="138" t="s">
        <v>111</v>
      </c>
      <c r="E16" s="196" t="s">
        <v>13</v>
      </c>
      <c r="F16" s="129"/>
      <c r="G16" s="144" t="s">
        <v>316</v>
      </c>
      <c r="H16" s="145" t="s">
        <v>93</v>
      </c>
      <c r="I16" s="146" t="str">
        <f t="shared" si="0"/>
        <v>R</v>
      </c>
      <c r="J16" s="148">
        <v>-1</v>
      </c>
      <c r="K16" s="149"/>
      <c r="L16" s="149">
        <v>3</v>
      </c>
      <c r="M16" s="104">
        <v>7</v>
      </c>
      <c r="N16" s="40">
        <f t="shared" si="1"/>
        <v>14.489583333333332</v>
      </c>
      <c r="O16" s="58">
        <f t="shared" si="6"/>
        <v>7.8333333333333321</v>
      </c>
      <c r="P16" s="58">
        <f t="shared" si="7"/>
        <v>130.00000000000006</v>
      </c>
      <c r="Q16" s="204">
        <v>0.22916666666666666</v>
      </c>
      <c r="R16" s="92"/>
      <c r="S16" s="103">
        <f t="shared" si="2"/>
        <v>0.99930555555555556</v>
      </c>
      <c r="T16" s="49">
        <f t="shared" si="8"/>
        <v>2.65625</v>
      </c>
      <c r="U16" s="36">
        <f t="shared" si="9"/>
        <v>2</v>
      </c>
      <c r="V16" s="36">
        <f t="shared" si="10"/>
        <v>5</v>
      </c>
      <c r="W16" s="36">
        <f t="shared" si="11"/>
        <v>6</v>
      </c>
      <c r="X16" s="36">
        <f t="shared" si="12"/>
        <v>5</v>
      </c>
      <c r="Y16" s="36">
        <f t="shared" si="13"/>
        <v>1</v>
      </c>
      <c r="Z16" s="36">
        <f t="shared" si="14"/>
        <v>0</v>
      </c>
      <c r="AA16" s="36">
        <f t="shared" si="15"/>
        <v>0</v>
      </c>
      <c r="AB16" s="48">
        <f t="shared" si="16"/>
        <v>2.25</v>
      </c>
      <c r="AK16" s="150">
        <v>8</v>
      </c>
      <c r="AL16" s="151">
        <v>8</v>
      </c>
      <c r="AM16" s="151">
        <v>8</v>
      </c>
      <c r="AN16" s="151">
        <v>4</v>
      </c>
      <c r="AO16" s="151">
        <v>5</v>
      </c>
      <c r="AP16" s="151">
        <v>2</v>
      </c>
      <c r="AQ16" s="151">
        <v>2</v>
      </c>
      <c r="AR16" s="152">
        <v>3</v>
      </c>
      <c r="AS16" s="40">
        <f t="shared" si="17"/>
        <v>4</v>
      </c>
      <c r="AT16" s="156">
        <f t="shared" si="18"/>
        <v>0</v>
      </c>
      <c r="AU16" s="153">
        <v>5</v>
      </c>
      <c r="AV16" s="161">
        <f t="shared" si="19"/>
        <v>0</v>
      </c>
      <c r="AW16" s="165"/>
      <c r="AX16" s="36" t="str">
        <f t="shared" si="20"/>
        <v>YA</v>
      </c>
      <c r="AY16" s="170">
        <f t="shared" si="21"/>
        <v>1.0000000000000009E-2</v>
      </c>
      <c r="AZ16" s="10"/>
      <c r="BA16" s="155">
        <v>1</v>
      </c>
      <c r="BB16" s="35">
        <f t="shared" si="22"/>
        <v>8</v>
      </c>
      <c r="BC16" s="224">
        <v>8</v>
      </c>
      <c r="BD16" s="41"/>
      <c r="BE16" s="86">
        <f t="shared" si="5"/>
        <v>0</v>
      </c>
      <c r="BF16" s="42"/>
      <c r="BG16" s="190"/>
      <c r="BH16" s="154"/>
      <c r="BI16" s="153"/>
      <c r="BJ16" s="86">
        <f t="shared" si="23"/>
        <v>8</v>
      </c>
      <c r="BK16" s="226">
        <v>8</v>
      </c>
      <c r="BL16" s="178"/>
      <c r="BM16" s="91"/>
      <c r="BN16" s="91"/>
      <c r="BO16" s="91"/>
      <c r="BP16" s="91"/>
      <c r="BQ16" s="91"/>
      <c r="BR16" s="91"/>
      <c r="BS16" s="91"/>
      <c r="BT16" s="91"/>
      <c r="BU16" s="91"/>
      <c r="BV16" s="39"/>
    </row>
    <row r="17" spans="1:74" ht="30" x14ac:dyDescent="0.25">
      <c r="B17" s="136">
        <v>5</v>
      </c>
      <c r="C17" s="140" t="s">
        <v>88</v>
      </c>
      <c r="D17" s="138" t="s">
        <v>112</v>
      </c>
      <c r="E17" s="196" t="s">
        <v>20</v>
      </c>
      <c r="F17" s="129"/>
      <c r="G17" s="144" t="s">
        <v>195</v>
      </c>
      <c r="H17" s="145" t="s">
        <v>93</v>
      </c>
      <c r="I17" s="146" t="str">
        <f t="shared" si="0"/>
        <v>R</v>
      </c>
      <c r="J17" s="148">
        <v>3</v>
      </c>
      <c r="K17" s="149"/>
      <c r="L17" s="149">
        <v>0</v>
      </c>
      <c r="M17" s="88"/>
      <c r="N17" s="40">
        <f t="shared" si="1"/>
        <v>15.739583333333332</v>
      </c>
      <c r="O17" s="58">
        <f t="shared" si="6"/>
        <v>7.8333333333333321</v>
      </c>
      <c r="P17" s="58">
        <f t="shared" si="7"/>
        <v>130.00000000000006</v>
      </c>
      <c r="Q17" s="204">
        <v>0.22916666666666666</v>
      </c>
      <c r="R17" s="92"/>
      <c r="S17" s="103">
        <f t="shared" si="2"/>
        <v>0</v>
      </c>
      <c r="T17" s="49">
        <f t="shared" si="8"/>
        <v>4.65625</v>
      </c>
      <c r="U17" s="36">
        <f t="shared" si="9"/>
        <v>3</v>
      </c>
      <c r="V17" s="36">
        <f t="shared" si="10"/>
        <v>5</v>
      </c>
      <c r="W17" s="36">
        <f t="shared" si="11"/>
        <v>7</v>
      </c>
      <c r="X17" s="36">
        <f t="shared" si="12"/>
        <v>3</v>
      </c>
      <c r="Y17" s="36">
        <f t="shared" si="13"/>
        <v>5</v>
      </c>
      <c r="Z17" s="36">
        <f t="shared" si="14"/>
        <v>7</v>
      </c>
      <c r="AA17" s="36">
        <f t="shared" si="15"/>
        <v>1</v>
      </c>
      <c r="AB17" s="48">
        <f t="shared" si="16"/>
        <v>6.25</v>
      </c>
      <c r="AK17" s="150">
        <v>9</v>
      </c>
      <c r="AL17" s="151">
        <v>8</v>
      </c>
      <c r="AM17" s="151">
        <v>9</v>
      </c>
      <c r="AN17" s="151">
        <v>6</v>
      </c>
      <c r="AO17" s="151">
        <v>9</v>
      </c>
      <c r="AP17" s="151">
        <v>9</v>
      </c>
      <c r="AQ17" s="151">
        <v>3</v>
      </c>
      <c r="AR17" s="152">
        <v>7</v>
      </c>
      <c r="AS17" s="40">
        <f t="shared" si="17"/>
        <v>3.25</v>
      </c>
      <c r="AT17" s="156">
        <f t="shared" si="18"/>
        <v>0</v>
      </c>
      <c r="AU17" s="153">
        <v>2</v>
      </c>
      <c r="AV17" s="161">
        <f t="shared" si="19"/>
        <v>0</v>
      </c>
      <c r="AW17" s="165"/>
      <c r="AX17" s="36" t="str">
        <f t="shared" si="20"/>
        <v>YA</v>
      </c>
      <c r="AY17" s="170">
        <f t="shared" si="21"/>
        <v>0.26</v>
      </c>
      <c r="AZ17" s="10"/>
      <c r="BA17" s="155">
        <v>0.75</v>
      </c>
      <c r="BB17" s="86">
        <f t="shared" si="22"/>
        <v>10</v>
      </c>
      <c r="BC17" s="224">
        <v>10</v>
      </c>
      <c r="BD17" s="37"/>
      <c r="BE17" s="86">
        <f t="shared" si="5"/>
        <v>0</v>
      </c>
      <c r="BF17" s="38"/>
      <c r="BG17" s="188"/>
      <c r="BH17" s="154">
        <v>1</v>
      </c>
      <c r="BI17" s="153">
        <v>5</v>
      </c>
      <c r="BJ17" s="86">
        <f t="shared" si="23"/>
        <v>3</v>
      </c>
      <c r="BK17" s="226">
        <v>3</v>
      </c>
      <c r="BL17" s="178"/>
      <c r="BM17" s="91"/>
      <c r="BN17" s="91"/>
      <c r="BO17" s="91"/>
      <c r="BP17" s="91"/>
      <c r="BQ17" s="91"/>
      <c r="BR17" s="91"/>
      <c r="BS17" s="91"/>
      <c r="BT17" s="91"/>
      <c r="BU17" s="91"/>
      <c r="BV17" s="39"/>
    </row>
    <row r="18" spans="1:74" ht="30" x14ac:dyDescent="0.25">
      <c r="B18" s="136">
        <v>6</v>
      </c>
      <c r="C18" s="140" t="s">
        <v>88</v>
      </c>
      <c r="D18" s="138" t="s">
        <v>113</v>
      </c>
      <c r="E18" s="196" t="s">
        <v>21</v>
      </c>
      <c r="F18" s="131"/>
      <c r="G18" s="144" t="s">
        <v>195</v>
      </c>
      <c r="H18" s="145" t="s">
        <v>93</v>
      </c>
      <c r="I18" s="146" t="str">
        <f t="shared" si="0"/>
        <v>R</v>
      </c>
      <c r="J18" s="148">
        <v>3</v>
      </c>
      <c r="K18" s="149"/>
      <c r="L18" s="149">
        <v>0</v>
      </c>
      <c r="M18" s="88"/>
      <c r="N18" s="40">
        <f t="shared" si="1"/>
        <v>15.806249999999999</v>
      </c>
      <c r="O18" s="58">
        <f t="shared" si="6"/>
        <v>7.8999999999999986</v>
      </c>
      <c r="P18" s="82">
        <f t="shared" si="7"/>
        <v>126.00000000000007</v>
      </c>
      <c r="Q18" s="204">
        <v>0.23194444444444443</v>
      </c>
      <c r="R18" s="92"/>
      <c r="S18" s="103">
        <f t="shared" si="2"/>
        <v>0</v>
      </c>
      <c r="T18" s="49">
        <f t="shared" si="8"/>
        <v>4.65625</v>
      </c>
      <c r="U18" s="36">
        <f t="shared" si="9"/>
        <v>3</v>
      </c>
      <c r="V18" s="36">
        <f t="shared" si="10"/>
        <v>5</v>
      </c>
      <c r="W18" s="36">
        <f t="shared" si="11"/>
        <v>7</v>
      </c>
      <c r="X18" s="36">
        <f t="shared" si="12"/>
        <v>3</v>
      </c>
      <c r="Y18" s="36">
        <f t="shared" si="13"/>
        <v>5</v>
      </c>
      <c r="Z18" s="36">
        <f t="shared" si="14"/>
        <v>7</v>
      </c>
      <c r="AA18" s="36">
        <f t="shared" si="15"/>
        <v>1</v>
      </c>
      <c r="AB18" s="48">
        <f t="shared" si="16"/>
        <v>6.25</v>
      </c>
      <c r="AK18" s="150">
        <v>9</v>
      </c>
      <c r="AL18" s="151">
        <v>8</v>
      </c>
      <c r="AM18" s="151">
        <v>9</v>
      </c>
      <c r="AN18" s="151">
        <v>6</v>
      </c>
      <c r="AO18" s="151">
        <v>9</v>
      </c>
      <c r="AP18" s="151">
        <v>9</v>
      </c>
      <c r="AQ18" s="151">
        <v>3</v>
      </c>
      <c r="AR18" s="152">
        <v>7</v>
      </c>
      <c r="AS18" s="40">
        <f t="shared" si="17"/>
        <v>3.25</v>
      </c>
      <c r="AT18" s="156">
        <f t="shared" si="18"/>
        <v>0</v>
      </c>
      <c r="AU18" s="153">
        <v>2</v>
      </c>
      <c r="AV18" s="161">
        <f t="shared" si="19"/>
        <v>0</v>
      </c>
      <c r="AW18" s="165"/>
      <c r="AX18" s="36" t="str">
        <f t="shared" si="20"/>
        <v>YA</v>
      </c>
      <c r="AY18" s="170">
        <f t="shared" si="21"/>
        <v>0.26</v>
      </c>
      <c r="AZ18" s="10"/>
      <c r="BA18" s="155">
        <v>0.75</v>
      </c>
      <c r="BB18" s="86">
        <f t="shared" si="22"/>
        <v>10</v>
      </c>
      <c r="BC18" s="224">
        <v>10</v>
      </c>
      <c r="BD18" s="37"/>
      <c r="BE18" s="86">
        <f t="shared" si="5"/>
        <v>0</v>
      </c>
      <c r="BF18" s="38"/>
      <c r="BG18" s="188"/>
      <c r="BH18" s="154">
        <v>1</v>
      </c>
      <c r="BI18" s="153">
        <v>5</v>
      </c>
      <c r="BJ18" s="86">
        <f t="shared" si="23"/>
        <v>3</v>
      </c>
      <c r="BK18" s="226">
        <v>3</v>
      </c>
      <c r="BL18" s="178"/>
      <c r="BM18" s="91"/>
      <c r="BN18" s="91"/>
      <c r="BO18" s="91"/>
      <c r="BP18" s="91"/>
      <c r="BQ18" s="91"/>
      <c r="BR18" s="91"/>
      <c r="BS18" s="91"/>
      <c r="BT18" s="91"/>
      <c r="BU18" s="91"/>
      <c r="BV18" s="39"/>
    </row>
    <row r="19" spans="1:74" x14ac:dyDescent="0.25">
      <c r="B19" s="136">
        <v>7</v>
      </c>
      <c r="C19" s="140" t="s">
        <v>88</v>
      </c>
      <c r="D19" s="138" t="s">
        <v>114</v>
      </c>
      <c r="E19" s="196" t="s">
        <v>252</v>
      </c>
      <c r="F19" s="129"/>
      <c r="G19" s="144" t="s">
        <v>195</v>
      </c>
      <c r="H19" s="145" t="s">
        <v>93</v>
      </c>
      <c r="I19" s="146" t="str">
        <f t="shared" si="0"/>
        <v>R</v>
      </c>
      <c r="J19" s="148">
        <v>3</v>
      </c>
      <c r="K19" s="149"/>
      <c r="L19" s="149">
        <v>0</v>
      </c>
      <c r="M19" s="88"/>
      <c r="N19" s="40">
        <f t="shared" si="1"/>
        <v>15.889583333333333</v>
      </c>
      <c r="O19" s="58">
        <f t="shared" si="6"/>
        <v>7.9833333333333325</v>
      </c>
      <c r="P19" s="58">
        <f t="shared" si="7"/>
        <v>121.00000000000009</v>
      </c>
      <c r="Q19" s="204">
        <v>0.23541666666666664</v>
      </c>
      <c r="R19" s="92"/>
      <c r="S19" s="103">
        <f t="shared" si="2"/>
        <v>0</v>
      </c>
      <c r="T19" s="49">
        <f t="shared" si="8"/>
        <v>4.65625</v>
      </c>
      <c r="U19" s="36">
        <f t="shared" si="9"/>
        <v>3</v>
      </c>
      <c r="V19" s="36">
        <f t="shared" si="10"/>
        <v>5</v>
      </c>
      <c r="W19" s="36">
        <f t="shared" si="11"/>
        <v>7</v>
      </c>
      <c r="X19" s="36">
        <f t="shared" si="12"/>
        <v>3</v>
      </c>
      <c r="Y19" s="36">
        <f t="shared" si="13"/>
        <v>5</v>
      </c>
      <c r="Z19" s="36">
        <f t="shared" si="14"/>
        <v>7</v>
      </c>
      <c r="AA19" s="36">
        <f t="shared" si="15"/>
        <v>1</v>
      </c>
      <c r="AB19" s="48">
        <f t="shared" si="16"/>
        <v>6.25</v>
      </c>
      <c r="AK19" s="150">
        <v>9</v>
      </c>
      <c r="AL19" s="151">
        <v>8</v>
      </c>
      <c r="AM19" s="151">
        <v>9</v>
      </c>
      <c r="AN19" s="151">
        <v>6</v>
      </c>
      <c r="AO19" s="151">
        <v>9</v>
      </c>
      <c r="AP19" s="151">
        <v>9</v>
      </c>
      <c r="AQ19" s="151">
        <v>3</v>
      </c>
      <c r="AR19" s="152">
        <v>7</v>
      </c>
      <c r="AS19" s="40">
        <f t="shared" si="17"/>
        <v>3.25</v>
      </c>
      <c r="AT19" s="156">
        <f t="shared" si="18"/>
        <v>0</v>
      </c>
      <c r="AU19" s="153">
        <v>2</v>
      </c>
      <c r="AV19" s="161">
        <f t="shared" si="19"/>
        <v>0</v>
      </c>
      <c r="AW19" s="165"/>
      <c r="AX19" s="36" t="str">
        <f t="shared" si="20"/>
        <v>YA</v>
      </c>
      <c r="AY19" s="170">
        <f t="shared" si="21"/>
        <v>0.26</v>
      </c>
      <c r="AZ19" s="10"/>
      <c r="BA19" s="155">
        <v>0.75</v>
      </c>
      <c r="BB19" s="86">
        <f t="shared" si="22"/>
        <v>10</v>
      </c>
      <c r="BC19" s="224">
        <v>10</v>
      </c>
      <c r="BD19" s="37"/>
      <c r="BE19" s="86">
        <f t="shared" si="5"/>
        <v>0</v>
      </c>
      <c r="BF19" s="38"/>
      <c r="BG19" s="188"/>
      <c r="BH19" s="154">
        <v>1</v>
      </c>
      <c r="BI19" s="153">
        <v>5</v>
      </c>
      <c r="BJ19" s="86">
        <f t="shared" si="23"/>
        <v>3</v>
      </c>
      <c r="BK19" s="226">
        <v>3</v>
      </c>
      <c r="BL19" s="178"/>
      <c r="BM19" s="91"/>
      <c r="BN19" s="91"/>
      <c r="BO19" s="91"/>
      <c r="BP19" s="91"/>
      <c r="BQ19" s="91"/>
      <c r="BR19" s="91"/>
      <c r="BS19" s="91"/>
      <c r="BT19" s="91"/>
      <c r="BU19" s="91"/>
      <c r="BV19" s="39"/>
    </row>
    <row r="20" spans="1:74" x14ac:dyDescent="0.25">
      <c r="B20" s="136">
        <v>8</v>
      </c>
      <c r="C20" s="140" t="s">
        <v>88</v>
      </c>
      <c r="D20" s="138" t="s">
        <v>115</v>
      </c>
      <c r="E20" s="196" t="s">
        <v>253</v>
      </c>
      <c r="F20" s="129"/>
      <c r="G20" s="144" t="s">
        <v>195</v>
      </c>
      <c r="H20" s="145" t="s">
        <v>93</v>
      </c>
      <c r="I20" s="146" t="str">
        <f t="shared" si="0"/>
        <v>R</v>
      </c>
      <c r="J20" s="148">
        <v>3</v>
      </c>
      <c r="K20" s="149"/>
      <c r="L20" s="149">
        <v>0</v>
      </c>
      <c r="M20" s="88"/>
      <c r="N20" s="40">
        <f t="shared" si="1"/>
        <v>16.006249999999998</v>
      </c>
      <c r="O20" s="58">
        <f t="shared" si="6"/>
        <v>8.0999999999999979</v>
      </c>
      <c r="P20" s="58">
        <f t="shared" si="7"/>
        <v>114.00000000000007</v>
      </c>
      <c r="Q20" s="204">
        <v>0.24027777777777776</v>
      </c>
      <c r="R20" s="92"/>
      <c r="S20" s="103">
        <f t="shared" si="2"/>
        <v>0</v>
      </c>
      <c r="T20" s="49">
        <f t="shared" si="8"/>
        <v>4.65625</v>
      </c>
      <c r="U20" s="36">
        <f t="shared" si="9"/>
        <v>3</v>
      </c>
      <c r="V20" s="36">
        <f t="shared" si="10"/>
        <v>5</v>
      </c>
      <c r="W20" s="36">
        <f t="shared" si="11"/>
        <v>7</v>
      </c>
      <c r="X20" s="36">
        <f t="shared" si="12"/>
        <v>3</v>
      </c>
      <c r="Y20" s="36">
        <f t="shared" si="13"/>
        <v>5</v>
      </c>
      <c r="Z20" s="36">
        <f t="shared" si="14"/>
        <v>7</v>
      </c>
      <c r="AA20" s="36">
        <f t="shared" si="15"/>
        <v>1</v>
      </c>
      <c r="AB20" s="48">
        <f t="shared" si="16"/>
        <v>6.25</v>
      </c>
      <c r="AK20" s="150">
        <v>9</v>
      </c>
      <c r="AL20" s="151">
        <v>8</v>
      </c>
      <c r="AM20" s="151">
        <v>9</v>
      </c>
      <c r="AN20" s="151">
        <v>6</v>
      </c>
      <c r="AO20" s="151">
        <v>9</v>
      </c>
      <c r="AP20" s="151">
        <v>9</v>
      </c>
      <c r="AQ20" s="151">
        <v>3</v>
      </c>
      <c r="AR20" s="152">
        <v>7</v>
      </c>
      <c r="AS20" s="40">
        <f t="shared" si="17"/>
        <v>3.25</v>
      </c>
      <c r="AT20" s="156">
        <f t="shared" si="18"/>
        <v>0</v>
      </c>
      <c r="AU20" s="153">
        <v>2</v>
      </c>
      <c r="AV20" s="161">
        <f t="shared" si="19"/>
        <v>0</v>
      </c>
      <c r="AW20" s="165"/>
      <c r="AX20" s="36" t="str">
        <f t="shared" si="20"/>
        <v>YA</v>
      </c>
      <c r="AY20" s="170">
        <f t="shared" si="21"/>
        <v>0.26</v>
      </c>
      <c r="AZ20" s="10"/>
      <c r="BA20" s="155">
        <v>0.75</v>
      </c>
      <c r="BB20" s="86">
        <f t="shared" si="22"/>
        <v>10</v>
      </c>
      <c r="BC20" s="224">
        <v>10</v>
      </c>
      <c r="BD20" s="37"/>
      <c r="BE20" s="86">
        <f t="shared" si="5"/>
        <v>0</v>
      </c>
      <c r="BF20" s="47"/>
      <c r="BG20" s="191"/>
      <c r="BH20" s="154">
        <v>1</v>
      </c>
      <c r="BI20" s="153">
        <v>5</v>
      </c>
      <c r="BJ20" s="86">
        <f t="shared" si="23"/>
        <v>3</v>
      </c>
      <c r="BK20" s="226">
        <v>3</v>
      </c>
      <c r="BL20" s="178"/>
      <c r="BM20" s="91"/>
      <c r="BN20" s="91"/>
      <c r="BO20" s="91"/>
      <c r="BP20" s="91"/>
      <c r="BQ20" s="91"/>
      <c r="BR20" s="91"/>
      <c r="BS20" s="91"/>
      <c r="BT20" s="91"/>
      <c r="BU20" s="91"/>
      <c r="BV20" s="39"/>
    </row>
    <row r="21" spans="1:74" x14ac:dyDescent="0.25">
      <c r="B21" s="136">
        <v>9</v>
      </c>
      <c r="C21" s="140" t="s">
        <v>88</v>
      </c>
      <c r="D21" s="138" t="s">
        <v>116</v>
      </c>
      <c r="E21" s="196" t="s">
        <v>254</v>
      </c>
      <c r="F21" s="129"/>
      <c r="G21" s="144" t="s">
        <v>195</v>
      </c>
      <c r="H21" s="145" t="s">
        <v>93</v>
      </c>
      <c r="I21" s="146" t="str">
        <f t="shared" si="0"/>
        <v>R</v>
      </c>
      <c r="J21" s="148">
        <v>3</v>
      </c>
      <c r="K21" s="149"/>
      <c r="L21" s="149">
        <v>0</v>
      </c>
      <c r="M21" s="88"/>
      <c r="N21" s="40">
        <f t="shared" si="1"/>
        <v>16.039583333333333</v>
      </c>
      <c r="O21" s="58">
        <f t="shared" si="6"/>
        <v>8.1333333333333329</v>
      </c>
      <c r="P21" s="58">
        <f t="shared" si="7"/>
        <v>112.00000000000009</v>
      </c>
      <c r="Q21" s="204">
        <v>0.24166666666666664</v>
      </c>
      <c r="R21" s="92"/>
      <c r="S21" s="105">
        <f t="shared" si="2"/>
        <v>0</v>
      </c>
      <c r="T21" s="49">
        <f t="shared" si="8"/>
        <v>4.65625</v>
      </c>
      <c r="U21" s="36">
        <f t="shared" si="9"/>
        <v>3</v>
      </c>
      <c r="V21" s="36">
        <f t="shared" si="10"/>
        <v>5</v>
      </c>
      <c r="W21" s="36">
        <f t="shared" si="11"/>
        <v>7</v>
      </c>
      <c r="X21" s="36">
        <f t="shared" si="12"/>
        <v>3</v>
      </c>
      <c r="Y21" s="36">
        <f t="shared" si="13"/>
        <v>5</v>
      </c>
      <c r="Z21" s="36">
        <f t="shared" si="14"/>
        <v>7</v>
      </c>
      <c r="AA21" s="36">
        <f t="shared" si="15"/>
        <v>1</v>
      </c>
      <c r="AB21" s="48">
        <f t="shared" si="16"/>
        <v>6.25</v>
      </c>
      <c r="AK21" s="150">
        <v>9</v>
      </c>
      <c r="AL21" s="151">
        <v>8</v>
      </c>
      <c r="AM21" s="151">
        <v>9</v>
      </c>
      <c r="AN21" s="151">
        <v>6</v>
      </c>
      <c r="AO21" s="151">
        <v>9</v>
      </c>
      <c r="AP21" s="151">
        <v>9</v>
      </c>
      <c r="AQ21" s="151">
        <v>3</v>
      </c>
      <c r="AR21" s="152">
        <v>7</v>
      </c>
      <c r="AS21" s="40">
        <f t="shared" si="17"/>
        <v>3.25</v>
      </c>
      <c r="AT21" s="156">
        <f t="shared" si="18"/>
        <v>0</v>
      </c>
      <c r="AU21" s="153">
        <v>2</v>
      </c>
      <c r="AV21" s="162">
        <f t="shared" si="19"/>
        <v>0</v>
      </c>
      <c r="AW21" s="165"/>
      <c r="AX21" s="36" t="str">
        <f t="shared" si="20"/>
        <v>YA</v>
      </c>
      <c r="AY21" s="170">
        <f t="shared" si="21"/>
        <v>0.26</v>
      </c>
      <c r="AZ21" s="10"/>
      <c r="BA21" s="155">
        <v>0.75</v>
      </c>
      <c r="BB21" s="86">
        <f t="shared" si="22"/>
        <v>10</v>
      </c>
      <c r="BC21" s="224">
        <v>10</v>
      </c>
      <c r="BD21" s="37"/>
      <c r="BE21" s="86">
        <f t="shared" si="5"/>
        <v>0</v>
      </c>
      <c r="BF21" s="42"/>
      <c r="BG21" s="190"/>
      <c r="BH21" s="154">
        <v>1</v>
      </c>
      <c r="BI21" s="153">
        <v>5</v>
      </c>
      <c r="BJ21" s="86">
        <f t="shared" si="23"/>
        <v>3</v>
      </c>
      <c r="BK21" s="226">
        <v>3</v>
      </c>
      <c r="BL21" s="178"/>
      <c r="BM21" s="91"/>
      <c r="BN21" s="91"/>
      <c r="BO21" s="91"/>
      <c r="BP21" s="91"/>
      <c r="BQ21" s="91"/>
      <c r="BR21" s="91"/>
      <c r="BS21" s="91"/>
      <c r="BT21" s="91"/>
      <c r="BU21" s="91"/>
      <c r="BV21" s="39"/>
    </row>
    <row r="22" spans="1:74" x14ac:dyDescent="0.25">
      <c r="B22" s="136">
        <v>10</v>
      </c>
      <c r="C22" s="140" t="s">
        <v>88</v>
      </c>
      <c r="D22" s="138" t="s">
        <v>117</v>
      </c>
      <c r="E22" s="196" t="s">
        <v>255</v>
      </c>
      <c r="F22" s="131"/>
      <c r="G22" s="144" t="s">
        <v>195</v>
      </c>
      <c r="H22" s="145" t="s">
        <v>93</v>
      </c>
      <c r="I22" s="146" t="str">
        <f t="shared" si="0"/>
        <v>R</v>
      </c>
      <c r="J22" s="148">
        <v>3</v>
      </c>
      <c r="K22" s="149"/>
      <c r="L22" s="149">
        <v>0</v>
      </c>
      <c r="M22" s="88"/>
      <c r="N22" s="40">
        <f t="shared" si="1"/>
        <v>16.139583333333334</v>
      </c>
      <c r="O22" s="58">
        <f t="shared" si="6"/>
        <v>8.2333333333333325</v>
      </c>
      <c r="P22" s="58">
        <f t="shared" si="7"/>
        <v>106.00000000000006</v>
      </c>
      <c r="Q22" s="204">
        <v>0.24583333333333332</v>
      </c>
      <c r="R22" s="92"/>
      <c r="S22" s="103">
        <f t="shared" si="2"/>
        <v>0</v>
      </c>
      <c r="T22" s="49">
        <f t="shared" si="8"/>
        <v>4.65625</v>
      </c>
      <c r="U22" s="36">
        <f t="shared" si="9"/>
        <v>3</v>
      </c>
      <c r="V22" s="36">
        <f t="shared" si="10"/>
        <v>5</v>
      </c>
      <c r="W22" s="36">
        <f t="shared" si="11"/>
        <v>7</v>
      </c>
      <c r="X22" s="36">
        <f t="shared" si="12"/>
        <v>3</v>
      </c>
      <c r="Y22" s="36">
        <f t="shared" si="13"/>
        <v>5</v>
      </c>
      <c r="Z22" s="36">
        <f t="shared" si="14"/>
        <v>7</v>
      </c>
      <c r="AA22" s="36">
        <f t="shared" si="15"/>
        <v>1</v>
      </c>
      <c r="AB22" s="48">
        <f t="shared" si="16"/>
        <v>6.25</v>
      </c>
      <c r="AK22" s="150">
        <v>9</v>
      </c>
      <c r="AL22" s="151">
        <v>8</v>
      </c>
      <c r="AM22" s="151">
        <v>9</v>
      </c>
      <c r="AN22" s="151">
        <v>6</v>
      </c>
      <c r="AO22" s="151">
        <v>9</v>
      </c>
      <c r="AP22" s="151">
        <v>9</v>
      </c>
      <c r="AQ22" s="151">
        <v>3</v>
      </c>
      <c r="AR22" s="152">
        <v>7</v>
      </c>
      <c r="AS22" s="40">
        <f t="shared" si="17"/>
        <v>3.25</v>
      </c>
      <c r="AT22" s="156">
        <f t="shared" si="18"/>
        <v>0</v>
      </c>
      <c r="AU22" s="153">
        <v>2</v>
      </c>
      <c r="AV22" s="161">
        <f t="shared" si="19"/>
        <v>0</v>
      </c>
      <c r="AW22" s="165"/>
      <c r="AX22" s="36" t="str">
        <f t="shared" si="20"/>
        <v>YA</v>
      </c>
      <c r="AY22" s="170">
        <f t="shared" si="21"/>
        <v>0.26</v>
      </c>
      <c r="AZ22" s="10"/>
      <c r="BA22" s="155">
        <v>0.75</v>
      </c>
      <c r="BB22" s="86">
        <f t="shared" si="22"/>
        <v>10</v>
      </c>
      <c r="BC22" s="224">
        <v>10</v>
      </c>
      <c r="BD22" s="37"/>
      <c r="BE22" s="86">
        <f t="shared" si="5"/>
        <v>0</v>
      </c>
      <c r="BF22" s="38"/>
      <c r="BG22" s="188"/>
      <c r="BH22" s="154">
        <v>1</v>
      </c>
      <c r="BI22" s="153">
        <v>5</v>
      </c>
      <c r="BJ22" s="86">
        <f t="shared" si="23"/>
        <v>3</v>
      </c>
      <c r="BK22" s="226">
        <v>3</v>
      </c>
      <c r="BL22" s="178"/>
      <c r="BM22" s="91"/>
      <c r="BN22" s="91"/>
      <c r="BO22" s="91"/>
      <c r="BP22" s="91"/>
      <c r="BQ22" s="91"/>
      <c r="BR22" s="91"/>
      <c r="BS22" s="91"/>
      <c r="BT22" s="91"/>
      <c r="BU22" s="91"/>
      <c r="BV22" s="39"/>
    </row>
    <row r="23" spans="1:74" s="24" customFormat="1" x14ac:dyDescent="0.25">
      <c r="A23" s="88"/>
      <c r="B23" s="136">
        <v>11</v>
      </c>
      <c r="C23" s="140" t="s">
        <v>88</v>
      </c>
      <c r="D23" s="138" t="s">
        <v>118</v>
      </c>
      <c r="E23" s="196" t="s">
        <v>5</v>
      </c>
      <c r="F23" s="131"/>
      <c r="G23" s="144" t="s">
        <v>195</v>
      </c>
      <c r="H23" s="145" t="s">
        <v>93</v>
      </c>
      <c r="I23" s="146" t="str">
        <f t="shared" si="0"/>
        <v>R</v>
      </c>
      <c r="J23" s="148">
        <v>3</v>
      </c>
      <c r="K23" s="149"/>
      <c r="L23" s="149">
        <v>0</v>
      </c>
      <c r="M23" s="88"/>
      <c r="N23" s="40">
        <f t="shared" si="1"/>
        <v>16.189583333333331</v>
      </c>
      <c r="O23" s="58">
        <f t="shared" si="6"/>
        <v>8.2833333333333314</v>
      </c>
      <c r="P23" s="58">
        <f t="shared" si="7"/>
        <v>103.00000000000007</v>
      </c>
      <c r="Q23" s="204">
        <v>0.24791666666666665</v>
      </c>
      <c r="R23" s="92"/>
      <c r="S23" s="103">
        <f t="shared" si="2"/>
        <v>0</v>
      </c>
      <c r="T23" s="49">
        <f t="shared" si="8"/>
        <v>4.65625</v>
      </c>
      <c r="U23" s="36">
        <f t="shared" si="9"/>
        <v>3</v>
      </c>
      <c r="V23" s="36">
        <f t="shared" si="10"/>
        <v>5</v>
      </c>
      <c r="W23" s="36">
        <f t="shared" si="11"/>
        <v>7</v>
      </c>
      <c r="X23" s="36">
        <f t="shared" si="12"/>
        <v>3</v>
      </c>
      <c r="Y23" s="36">
        <f t="shared" si="13"/>
        <v>5</v>
      </c>
      <c r="Z23" s="36">
        <f t="shared" si="14"/>
        <v>7</v>
      </c>
      <c r="AA23" s="36">
        <f t="shared" si="15"/>
        <v>1</v>
      </c>
      <c r="AB23" s="48">
        <f t="shared" si="16"/>
        <v>6.25</v>
      </c>
      <c r="AC23" s="1"/>
      <c r="AD23" s="1"/>
      <c r="AE23" s="1"/>
      <c r="AF23" s="1"/>
      <c r="AG23" s="1"/>
      <c r="AH23" s="1"/>
      <c r="AI23" s="1"/>
      <c r="AJ23" s="1"/>
      <c r="AK23" s="150">
        <v>9</v>
      </c>
      <c r="AL23" s="151">
        <v>8</v>
      </c>
      <c r="AM23" s="151">
        <v>9</v>
      </c>
      <c r="AN23" s="151">
        <v>6</v>
      </c>
      <c r="AO23" s="151">
        <v>9</v>
      </c>
      <c r="AP23" s="151">
        <v>9</v>
      </c>
      <c r="AQ23" s="151">
        <v>3</v>
      </c>
      <c r="AR23" s="152">
        <v>7</v>
      </c>
      <c r="AS23" s="40">
        <f t="shared" si="17"/>
        <v>3.25</v>
      </c>
      <c r="AT23" s="156">
        <f t="shared" si="18"/>
        <v>0</v>
      </c>
      <c r="AU23" s="153">
        <v>2</v>
      </c>
      <c r="AV23" s="161">
        <f t="shared" si="19"/>
        <v>0</v>
      </c>
      <c r="AW23" s="165"/>
      <c r="AX23" s="36" t="str">
        <f t="shared" si="20"/>
        <v>YA</v>
      </c>
      <c r="AY23" s="170">
        <f t="shared" si="21"/>
        <v>0.26</v>
      </c>
      <c r="AZ23" s="10"/>
      <c r="BA23" s="155">
        <v>0.75</v>
      </c>
      <c r="BB23" s="86">
        <f t="shared" si="22"/>
        <v>10</v>
      </c>
      <c r="BC23" s="224">
        <v>10</v>
      </c>
      <c r="BD23" s="37"/>
      <c r="BE23" s="86">
        <f t="shared" si="5"/>
        <v>0</v>
      </c>
      <c r="BF23" s="38"/>
      <c r="BG23" s="188"/>
      <c r="BH23" s="154">
        <v>1</v>
      </c>
      <c r="BI23" s="153">
        <v>5</v>
      </c>
      <c r="BJ23" s="86">
        <f t="shared" si="23"/>
        <v>3</v>
      </c>
      <c r="BK23" s="226">
        <v>3</v>
      </c>
      <c r="BL23" s="178"/>
      <c r="BM23" s="91"/>
      <c r="BN23" s="91"/>
      <c r="BO23" s="91"/>
      <c r="BP23" s="91"/>
      <c r="BQ23" s="91"/>
      <c r="BR23" s="91"/>
      <c r="BS23" s="91"/>
      <c r="BT23" s="91"/>
      <c r="BU23" s="91"/>
      <c r="BV23" s="39"/>
    </row>
    <row r="24" spans="1:74" s="24" customFormat="1" x14ac:dyDescent="0.25">
      <c r="A24" s="88"/>
      <c r="B24" s="136">
        <v>12</v>
      </c>
      <c r="C24" s="140" t="s">
        <v>88</v>
      </c>
      <c r="D24" s="138" t="s">
        <v>119</v>
      </c>
      <c r="E24" s="196" t="s">
        <v>6</v>
      </c>
      <c r="F24" s="131"/>
      <c r="G24" s="144" t="s">
        <v>195</v>
      </c>
      <c r="H24" s="145" t="s">
        <v>93</v>
      </c>
      <c r="I24" s="146" t="str">
        <f t="shared" si="0"/>
        <v>R</v>
      </c>
      <c r="J24" s="148">
        <v>3</v>
      </c>
      <c r="K24" s="149"/>
      <c r="L24" s="149">
        <v>0</v>
      </c>
      <c r="M24" s="88"/>
      <c r="N24" s="40">
        <f t="shared" si="1"/>
        <v>16.322916666666664</v>
      </c>
      <c r="O24" s="58">
        <f t="shared" si="6"/>
        <v>8.4166666666666661</v>
      </c>
      <c r="P24" s="58">
        <f t="shared" si="7"/>
        <v>95.000000000000057</v>
      </c>
      <c r="Q24" s="204">
        <v>0.25347222222222221</v>
      </c>
      <c r="R24" s="92"/>
      <c r="S24" s="103">
        <f t="shared" si="2"/>
        <v>0</v>
      </c>
      <c r="T24" s="49">
        <f t="shared" si="8"/>
        <v>4.65625</v>
      </c>
      <c r="U24" s="36">
        <f t="shared" si="9"/>
        <v>3</v>
      </c>
      <c r="V24" s="36">
        <f t="shared" si="10"/>
        <v>5</v>
      </c>
      <c r="W24" s="36">
        <f t="shared" si="11"/>
        <v>7</v>
      </c>
      <c r="X24" s="36">
        <f t="shared" si="12"/>
        <v>3</v>
      </c>
      <c r="Y24" s="36">
        <f t="shared" si="13"/>
        <v>5</v>
      </c>
      <c r="Z24" s="36">
        <f t="shared" si="14"/>
        <v>7</v>
      </c>
      <c r="AA24" s="36">
        <f t="shared" si="15"/>
        <v>1</v>
      </c>
      <c r="AB24" s="48">
        <f t="shared" si="16"/>
        <v>6.25</v>
      </c>
      <c r="AC24" s="1"/>
      <c r="AD24" s="1"/>
      <c r="AE24" s="1"/>
      <c r="AF24" s="1"/>
      <c r="AG24" s="1"/>
      <c r="AH24" s="1"/>
      <c r="AI24" s="1"/>
      <c r="AJ24" s="1"/>
      <c r="AK24" s="150">
        <v>9</v>
      </c>
      <c r="AL24" s="151">
        <v>8</v>
      </c>
      <c r="AM24" s="151">
        <v>9</v>
      </c>
      <c r="AN24" s="151">
        <v>6</v>
      </c>
      <c r="AO24" s="151">
        <v>9</v>
      </c>
      <c r="AP24" s="151">
        <v>9</v>
      </c>
      <c r="AQ24" s="151">
        <v>3</v>
      </c>
      <c r="AR24" s="152">
        <v>7</v>
      </c>
      <c r="AS24" s="40">
        <f t="shared" si="17"/>
        <v>3.25</v>
      </c>
      <c r="AT24" s="156">
        <f t="shared" si="18"/>
        <v>0</v>
      </c>
      <c r="AU24" s="153">
        <v>2</v>
      </c>
      <c r="AV24" s="161">
        <f t="shared" si="19"/>
        <v>0</v>
      </c>
      <c r="AW24" s="165"/>
      <c r="AX24" s="36" t="str">
        <f t="shared" si="20"/>
        <v>YA</v>
      </c>
      <c r="AY24" s="170">
        <f t="shared" si="21"/>
        <v>0.26</v>
      </c>
      <c r="AZ24" s="10"/>
      <c r="BA24" s="155">
        <v>0.75</v>
      </c>
      <c r="BB24" s="86">
        <f t="shared" si="22"/>
        <v>10</v>
      </c>
      <c r="BC24" s="224">
        <v>10</v>
      </c>
      <c r="BD24" s="37"/>
      <c r="BE24" s="86">
        <f t="shared" si="5"/>
        <v>0</v>
      </c>
      <c r="BF24" s="38"/>
      <c r="BG24" s="188"/>
      <c r="BH24" s="154">
        <v>1</v>
      </c>
      <c r="BI24" s="153">
        <v>5</v>
      </c>
      <c r="BJ24" s="86">
        <f t="shared" si="23"/>
        <v>3</v>
      </c>
      <c r="BK24" s="226">
        <v>3</v>
      </c>
      <c r="BL24" s="178"/>
      <c r="BM24" s="91"/>
      <c r="BN24" s="91"/>
      <c r="BO24" s="91"/>
      <c r="BP24" s="91"/>
      <c r="BQ24" s="91"/>
      <c r="BR24" s="91"/>
      <c r="BS24" s="91"/>
      <c r="BT24" s="91"/>
      <c r="BU24" s="91"/>
      <c r="BV24" s="39"/>
    </row>
    <row r="25" spans="1:74" x14ac:dyDescent="0.25">
      <c r="B25" s="136">
        <v>13</v>
      </c>
      <c r="C25" s="140" t="s">
        <v>88</v>
      </c>
      <c r="D25" s="138" t="s">
        <v>120</v>
      </c>
      <c r="E25" s="196" t="s">
        <v>7</v>
      </c>
      <c r="F25" s="131"/>
      <c r="G25" s="144" t="s">
        <v>195</v>
      </c>
      <c r="H25" s="145" t="s">
        <v>93</v>
      </c>
      <c r="I25" s="146" t="str">
        <f t="shared" si="0"/>
        <v>R</v>
      </c>
      <c r="J25" s="148">
        <v>3</v>
      </c>
      <c r="K25" s="149"/>
      <c r="L25" s="149">
        <v>0</v>
      </c>
      <c r="M25" s="88"/>
      <c r="N25" s="40">
        <f t="shared" si="1"/>
        <v>16.422916666666666</v>
      </c>
      <c r="O25" s="58">
        <f t="shared" si="6"/>
        <v>8.5166666666666657</v>
      </c>
      <c r="P25" s="58">
        <f t="shared" si="7"/>
        <v>89.000000000000085</v>
      </c>
      <c r="Q25" s="204">
        <v>0.25763888888888886</v>
      </c>
      <c r="R25" s="92"/>
      <c r="S25" s="103">
        <f t="shared" si="2"/>
        <v>0</v>
      </c>
      <c r="T25" s="49">
        <f t="shared" si="8"/>
        <v>4.65625</v>
      </c>
      <c r="U25" s="36">
        <f t="shared" si="9"/>
        <v>3</v>
      </c>
      <c r="V25" s="36">
        <f t="shared" si="10"/>
        <v>5</v>
      </c>
      <c r="W25" s="36">
        <f t="shared" si="11"/>
        <v>7</v>
      </c>
      <c r="X25" s="36">
        <f t="shared" si="12"/>
        <v>3</v>
      </c>
      <c r="Y25" s="36">
        <f t="shared" si="13"/>
        <v>5</v>
      </c>
      <c r="Z25" s="36">
        <f t="shared" si="14"/>
        <v>7</v>
      </c>
      <c r="AA25" s="36">
        <f t="shared" si="15"/>
        <v>1</v>
      </c>
      <c r="AB25" s="48">
        <f t="shared" si="16"/>
        <v>6.25</v>
      </c>
      <c r="AK25" s="150">
        <v>9</v>
      </c>
      <c r="AL25" s="151">
        <v>8</v>
      </c>
      <c r="AM25" s="151">
        <v>9</v>
      </c>
      <c r="AN25" s="151">
        <v>6</v>
      </c>
      <c r="AO25" s="151">
        <v>9</v>
      </c>
      <c r="AP25" s="151">
        <v>9</v>
      </c>
      <c r="AQ25" s="151">
        <v>3</v>
      </c>
      <c r="AR25" s="152">
        <v>7</v>
      </c>
      <c r="AS25" s="40">
        <f t="shared" si="17"/>
        <v>3.25</v>
      </c>
      <c r="AT25" s="156">
        <f t="shared" si="18"/>
        <v>0</v>
      </c>
      <c r="AU25" s="153">
        <v>2</v>
      </c>
      <c r="AV25" s="161">
        <f t="shared" si="19"/>
        <v>0</v>
      </c>
      <c r="AW25" s="165"/>
      <c r="AX25" s="36" t="str">
        <f t="shared" si="20"/>
        <v>YA</v>
      </c>
      <c r="AY25" s="170">
        <f t="shared" si="21"/>
        <v>0.26</v>
      </c>
      <c r="AZ25" s="10"/>
      <c r="BA25" s="155">
        <v>0.75</v>
      </c>
      <c r="BB25" s="86">
        <f t="shared" si="22"/>
        <v>10</v>
      </c>
      <c r="BC25" s="224">
        <v>10</v>
      </c>
      <c r="BD25" s="37"/>
      <c r="BE25" s="86">
        <f t="shared" si="5"/>
        <v>0</v>
      </c>
      <c r="BF25" s="38"/>
      <c r="BG25" s="188"/>
      <c r="BH25" s="154">
        <v>1</v>
      </c>
      <c r="BI25" s="153">
        <v>5</v>
      </c>
      <c r="BJ25" s="86">
        <f t="shared" si="23"/>
        <v>3</v>
      </c>
      <c r="BK25" s="226">
        <v>3</v>
      </c>
      <c r="BL25" s="178"/>
      <c r="BM25" s="91"/>
      <c r="BN25" s="91"/>
      <c r="BO25" s="91"/>
      <c r="BP25" s="91"/>
      <c r="BQ25" s="91"/>
      <c r="BR25" s="91"/>
      <c r="BS25" s="91"/>
      <c r="BT25" s="91"/>
      <c r="BU25" s="91"/>
      <c r="BV25" s="39"/>
    </row>
    <row r="26" spans="1:74" s="87" customFormat="1" x14ac:dyDescent="0.25">
      <c r="B26" s="136">
        <v>14</v>
      </c>
      <c r="C26" s="140" t="s">
        <v>88</v>
      </c>
      <c r="D26" s="138" t="s">
        <v>329</v>
      </c>
      <c r="E26" s="196" t="s">
        <v>330</v>
      </c>
      <c r="F26" s="131"/>
      <c r="G26" s="144" t="s">
        <v>195</v>
      </c>
      <c r="H26" s="145" t="s">
        <v>93</v>
      </c>
      <c r="I26" s="146" t="str">
        <f t="shared" si="0"/>
        <v>R</v>
      </c>
      <c r="J26" s="148">
        <v>3</v>
      </c>
      <c r="K26" s="149"/>
      <c r="L26" s="149">
        <v>0</v>
      </c>
      <c r="M26" s="88"/>
      <c r="N26" s="40">
        <f t="shared" si="1"/>
        <v>16.467916666666667</v>
      </c>
      <c r="O26" s="58">
        <f t="shared" si="6"/>
        <v>8.5616666666666656</v>
      </c>
      <c r="P26" s="58">
        <f t="shared" si="7"/>
        <v>86.300000000000068</v>
      </c>
      <c r="Q26" s="204">
        <v>0.25951388888888888</v>
      </c>
      <c r="R26" s="126"/>
      <c r="S26" s="103">
        <f t="shared" si="2"/>
        <v>0</v>
      </c>
      <c r="T26" s="49">
        <f t="shared" si="8"/>
        <v>4.65625</v>
      </c>
      <c r="U26" s="36">
        <f t="shared" si="9"/>
        <v>3</v>
      </c>
      <c r="V26" s="36">
        <f t="shared" si="10"/>
        <v>5</v>
      </c>
      <c r="W26" s="36">
        <f t="shared" si="11"/>
        <v>7</v>
      </c>
      <c r="X26" s="36">
        <f t="shared" si="12"/>
        <v>3</v>
      </c>
      <c r="Y26" s="36">
        <f t="shared" si="13"/>
        <v>5</v>
      </c>
      <c r="Z26" s="36">
        <f t="shared" si="14"/>
        <v>7</v>
      </c>
      <c r="AA26" s="36">
        <f t="shared" si="15"/>
        <v>1</v>
      </c>
      <c r="AB26" s="48">
        <f t="shared" si="16"/>
        <v>6.25</v>
      </c>
      <c r="AK26" s="150">
        <v>9</v>
      </c>
      <c r="AL26" s="151">
        <v>8</v>
      </c>
      <c r="AM26" s="151">
        <v>9</v>
      </c>
      <c r="AN26" s="151">
        <v>6</v>
      </c>
      <c r="AO26" s="151">
        <v>9</v>
      </c>
      <c r="AP26" s="151">
        <v>9</v>
      </c>
      <c r="AQ26" s="151">
        <v>3</v>
      </c>
      <c r="AR26" s="152">
        <v>7</v>
      </c>
      <c r="AS26" s="40">
        <f t="shared" si="17"/>
        <v>3.25</v>
      </c>
      <c r="AT26" s="156">
        <f t="shared" si="18"/>
        <v>0</v>
      </c>
      <c r="AU26" s="153">
        <v>2</v>
      </c>
      <c r="AV26" s="161">
        <f t="shared" si="19"/>
        <v>0</v>
      </c>
      <c r="AW26" s="165"/>
      <c r="AX26" s="36" t="str">
        <f t="shared" si="20"/>
        <v>YA</v>
      </c>
      <c r="AY26" s="170">
        <f t="shared" si="21"/>
        <v>0.26</v>
      </c>
      <c r="AZ26" s="10"/>
      <c r="BA26" s="155">
        <v>0.75</v>
      </c>
      <c r="BB26" s="86">
        <f t="shared" si="22"/>
        <v>10</v>
      </c>
      <c r="BC26" s="224">
        <v>10</v>
      </c>
      <c r="BD26" s="37"/>
      <c r="BE26" s="86">
        <f t="shared" si="5"/>
        <v>0</v>
      </c>
      <c r="BF26" s="38"/>
      <c r="BG26" s="188"/>
      <c r="BH26" s="154">
        <v>1</v>
      </c>
      <c r="BI26" s="153">
        <v>5</v>
      </c>
      <c r="BJ26" s="86">
        <f t="shared" si="23"/>
        <v>3</v>
      </c>
      <c r="BK26" s="226">
        <v>3</v>
      </c>
      <c r="BL26" s="178"/>
      <c r="BM26" s="91"/>
      <c r="BN26" s="91"/>
      <c r="BO26" s="91"/>
      <c r="BP26" s="91"/>
      <c r="BQ26" s="91"/>
      <c r="BR26" s="91"/>
      <c r="BS26" s="91"/>
      <c r="BT26" s="91"/>
      <c r="BU26" s="91"/>
      <c r="BV26" s="39"/>
    </row>
    <row r="27" spans="1:74" ht="30" x14ac:dyDescent="0.25">
      <c r="B27" s="136">
        <v>15</v>
      </c>
      <c r="C27" s="141" t="s">
        <v>156</v>
      </c>
      <c r="D27" s="138" t="s">
        <v>121</v>
      </c>
      <c r="E27" s="196" t="s">
        <v>22</v>
      </c>
      <c r="F27" s="131"/>
      <c r="G27" s="144" t="s">
        <v>195</v>
      </c>
      <c r="H27" s="145" t="s">
        <v>94</v>
      </c>
      <c r="I27" s="146" t="str">
        <f t="shared" si="0"/>
        <v>R</v>
      </c>
      <c r="J27" s="148">
        <v>2</v>
      </c>
      <c r="K27" s="149"/>
      <c r="L27" s="149">
        <v>0</v>
      </c>
      <c r="M27" s="88"/>
      <c r="N27" s="40">
        <f t="shared" si="1"/>
        <v>17.134583333333332</v>
      </c>
      <c r="O27" s="58">
        <f t="shared" si="6"/>
        <v>8.7283333333333317</v>
      </c>
      <c r="P27" s="58">
        <f t="shared" si="7"/>
        <v>76.300000000000097</v>
      </c>
      <c r="Q27" s="204">
        <v>0.2664583333333333</v>
      </c>
      <c r="R27" s="92"/>
      <c r="S27" s="103">
        <f t="shared" si="2"/>
        <v>0</v>
      </c>
      <c r="T27" s="49">
        <f t="shared" si="8"/>
        <v>4.65625</v>
      </c>
      <c r="U27" s="36">
        <f t="shared" si="9"/>
        <v>3</v>
      </c>
      <c r="V27" s="36">
        <f t="shared" si="10"/>
        <v>5</v>
      </c>
      <c r="W27" s="36">
        <f t="shared" si="11"/>
        <v>7</v>
      </c>
      <c r="X27" s="36">
        <f t="shared" si="12"/>
        <v>3</v>
      </c>
      <c r="Y27" s="36">
        <f t="shared" si="13"/>
        <v>5</v>
      </c>
      <c r="Z27" s="36">
        <f t="shared" si="14"/>
        <v>7</v>
      </c>
      <c r="AA27" s="36">
        <f t="shared" si="15"/>
        <v>1</v>
      </c>
      <c r="AB27" s="48">
        <f t="shared" si="16"/>
        <v>6.25</v>
      </c>
      <c r="AK27" s="150">
        <v>9</v>
      </c>
      <c r="AL27" s="151">
        <v>8</v>
      </c>
      <c r="AM27" s="151">
        <v>9</v>
      </c>
      <c r="AN27" s="151">
        <v>6</v>
      </c>
      <c r="AO27" s="151">
        <v>9</v>
      </c>
      <c r="AP27" s="151">
        <v>9</v>
      </c>
      <c r="AQ27" s="151">
        <v>3</v>
      </c>
      <c r="AR27" s="152">
        <v>7</v>
      </c>
      <c r="AS27" s="40">
        <f t="shared" si="17"/>
        <v>3.75</v>
      </c>
      <c r="AT27" s="156">
        <f t="shared" si="18"/>
        <v>0</v>
      </c>
      <c r="AU27" s="153">
        <v>4</v>
      </c>
      <c r="AV27" s="161">
        <f t="shared" si="19"/>
        <v>0</v>
      </c>
      <c r="AW27" s="165"/>
      <c r="AX27" s="36" t="str">
        <f t="shared" si="20"/>
        <v>YA</v>
      </c>
      <c r="AY27" s="170">
        <f t="shared" si="21"/>
        <v>0.26</v>
      </c>
      <c r="AZ27" s="10"/>
      <c r="BA27" s="155">
        <v>0.75</v>
      </c>
      <c r="BB27" s="86">
        <f t="shared" si="22"/>
        <v>10</v>
      </c>
      <c r="BC27" s="224">
        <v>10</v>
      </c>
      <c r="BD27" s="37"/>
      <c r="BE27" s="86">
        <f t="shared" si="5"/>
        <v>0</v>
      </c>
      <c r="BF27" s="38"/>
      <c r="BG27" s="188"/>
      <c r="BH27" s="154">
        <v>1</v>
      </c>
      <c r="BI27" s="153">
        <v>5</v>
      </c>
      <c r="BJ27" s="86">
        <f t="shared" si="23"/>
        <v>5</v>
      </c>
      <c r="BK27" s="226">
        <v>5</v>
      </c>
      <c r="BL27" s="178"/>
      <c r="BM27" s="91"/>
      <c r="BN27" s="91"/>
      <c r="BO27" s="91"/>
      <c r="BP27" s="91"/>
      <c r="BQ27" s="91"/>
      <c r="BR27" s="91"/>
      <c r="BS27" s="91"/>
      <c r="BT27" s="91"/>
      <c r="BU27" s="91"/>
      <c r="BV27" s="39"/>
    </row>
    <row r="28" spans="1:74" ht="30" x14ac:dyDescent="0.25">
      <c r="B28" s="136">
        <v>16</v>
      </c>
      <c r="C28" s="141" t="s">
        <v>256</v>
      </c>
      <c r="D28" s="138" t="s">
        <v>122</v>
      </c>
      <c r="E28" s="196" t="s">
        <v>23</v>
      </c>
      <c r="F28" s="131"/>
      <c r="G28" s="144" t="s">
        <v>195</v>
      </c>
      <c r="H28" s="145" t="s">
        <v>94</v>
      </c>
      <c r="I28" s="146" t="str">
        <f t="shared" si="0"/>
        <v>R</v>
      </c>
      <c r="J28" s="148">
        <v>2</v>
      </c>
      <c r="K28" s="149"/>
      <c r="L28" s="149">
        <v>0</v>
      </c>
      <c r="M28" s="88"/>
      <c r="N28" s="40">
        <f t="shared" si="1"/>
        <v>17.201249999999998</v>
      </c>
      <c r="O28" s="58">
        <f t="shared" si="6"/>
        <v>8.7949999999999982</v>
      </c>
      <c r="P28" s="58">
        <f t="shared" si="7"/>
        <v>72.300000000000111</v>
      </c>
      <c r="Q28" s="204">
        <v>0.26923611111111106</v>
      </c>
      <c r="R28" s="92"/>
      <c r="S28" s="103">
        <f t="shared" si="2"/>
        <v>0</v>
      </c>
      <c r="T28" s="49">
        <f t="shared" si="8"/>
        <v>4.65625</v>
      </c>
      <c r="U28" s="36">
        <f t="shared" si="9"/>
        <v>3</v>
      </c>
      <c r="V28" s="36">
        <f t="shared" si="10"/>
        <v>5</v>
      </c>
      <c r="W28" s="36">
        <f t="shared" si="11"/>
        <v>7</v>
      </c>
      <c r="X28" s="36">
        <f t="shared" si="12"/>
        <v>3</v>
      </c>
      <c r="Y28" s="36">
        <f t="shared" si="13"/>
        <v>5</v>
      </c>
      <c r="Z28" s="36">
        <f t="shared" si="14"/>
        <v>7</v>
      </c>
      <c r="AA28" s="36">
        <f t="shared" si="15"/>
        <v>1</v>
      </c>
      <c r="AB28" s="48">
        <f t="shared" si="16"/>
        <v>6.25</v>
      </c>
      <c r="AK28" s="150">
        <v>9</v>
      </c>
      <c r="AL28" s="151">
        <v>8</v>
      </c>
      <c r="AM28" s="151">
        <v>9</v>
      </c>
      <c r="AN28" s="151">
        <v>6</v>
      </c>
      <c r="AO28" s="151">
        <v>9</v>
      </c>
      <c r="AP28" s="151">
        <v>9</v>
      </c>
      <c r="AQ28" s="151">
        <v>3</v>
      </c>
      <c r="AR28" s="152">
        <v>7</v>
      </c>
      <c r="AS28" s="40">
        <f t="shared" si="17"/>
        <v>3.75</v>
      </c>
      <c r="AT28" s="156">
        <f t="shared" si="18"/>
        <v>0</v>
      </c>
      <c r="AU28" s="153">
        <v>4</v>
      </c>
      <c r="AV28" s="161">
        <f t="shared" si="19"/>
        <v>0</v>
      </c>
      <c r="AW28" s="165"/>
      <c r="AX28" s="36" t="str">
        <f t="shared" si="20"/>
        <v>YA</v>
      </c>
      <c r="AY28" s="170">
        <f t="shared" si="21"/>
        <v>0.26</v>
      </c>
      <c r="AZ28" s="10"/>
      <c r="BA28" s="155">
        <v>0.75</v>
      </c>
      <c r="BB28" s="86">
        <f t="shared" si="22"/>
        <v>10</v>
      </c>
      <c r="BC28" s="224">
        <v>10</v>
      </c>
      <c r="BD28" s="37"/>
      <c r="BE28" s="86">
        <f t="shared" si="5"/>
        <v>0</v>
      </c>
      <c r="BF28" s="38"/>
      <c r="BG28" s="188"/>
      <c r="BH28" s="154">
        <v>1</v>
      </c>
      <c r="BI28" s="153">
        <v>5</v>
      </c>
      <c r="BJ28" s="86">
        <f t="shared" si="23"/>
        <v>5</v>
      </c>
      <c r="BK28" s="226">
        <v>5</v>
      </c>
      <c r="BL28" s="178"/>
      <c r="BM28" s="91"/>
      <c r="BN28" s="91"/>
      <c r="BO28" s="91"/>
      <c r="BP28" s="91"/>
      <c r="BQ28" s="91"/>
      <c r="BR28" s="91"/>
      <c r="BS28" s="91"/>
      <c r="BT28" s="91"/>
      <c r="BU28" s="91"/>
      <c r="BV28" s="39"/>
    </row>
    <row r="29" spans="1:74" x14ac:dyDescent="0.25">
      <c r="B29" s="136">
        <v>17</v>
      </c>
      <c r="C29" s="141" t="s">
        <v>235</v>
      </c>
      <c r="D29" s="138" t="s">
        <v>123</v>
      </c>
      <c r="E29" s="196" t="s">
        <v>257</v>
      </c>
      <c r="F29" s="131"/>
      <c r="G29" s="144" t="s">
        <v>195</v>
      </c>
      <c r="H29" s="145" t="s">
        <v>94</v>
      </c>
      <c r="I29" s="146" t="str">
        <f t="shared" si="0"/>
        <v>R</v>
      </c>
      <c r="J29" s="148">
        <v>2</v>
      </c>
      <c r="K29" s="149"/>
      <c r="L29" s="149">
        <v>0</v>
      </c>
      <c r="M29" s="88"/>
      <c r="N29" s="40">
        <f t="shared" si="1"/>
        <v>16.267916666666665</v>
      </c>
      <c r="O29" s="58">
        <f t="shared" si="6"/>
        <v>8.8616666666666646</v>
      </c>
      <c r="P29" s="58">
        <f t="shared" si="7"/>
        <v>68.300000000000125</v>
      </c>
      <c r="Q29" s="204">
        <v>0.27201388888888883</v>
      </c>
      <c r="R29" s="92"/>
      <c r="S29" s="103">
        <f t="shared" si="2"/>
        <v>0</v>
      </c>
      <c r="T29" s="49">
        <f t="shared" si="8"/>
        <v>4.65625</v>
      </c>
      <c r="U29" s="36">
        <f t="shared" si="9"/>
        <v>3</v>
      </c>
      <c r="V29" s="36">
        <f t="shared" si="10"/>
        <v>5</v>
      </c>
      <c r="W29" s="36">
        <f t="shared" si="11"/>
        <v>7</v>
      </c>
      <c r="X29" s="36">
        <f t="shared" si="12"/>
        <v>3</v>
      </c>
      <c r="Y29" s="36">
        <f t="shared" si="13"/>
        <v>5</v>
      </c>
      <c r="Z29" s="36">
        <f t="shared" si="14"/>
        <v>7</v>
      </c>
      <c r="AA29" s="36">
        <f t="shared" si="15"/>
        <v>1</v>
      </c>
      <c r="AB29" s="48">
        <f t="shared" si="16"/>
        <v>6.25</v>
      </c>
      <c r="AK29" s="150">
        <v>9</v>
      </c>
      <c r="AL29" s="151">
        <v>8</v>
      </c>
      <c r="AM29" s="151">
        <v>9</v>
      </c>
      <c r="AN29" s="151">
        <v>6</v>
      </c>
      <c r="AO29" s="151">
        <v>9</v>
      </c>
      <c r="AP29" s="151">
        <v>9</v>
      </c>
      <c r="AQ29" s="151">
        <v>3</v>
      </c>
      <c r="AR29" s="152">
        <v>7</v>
      </c>
      <c r="AS29" s="40">
        <f t="shared" si="17"/>
        <v>2.75</v>
      </c>
      <c r="AT29" s="156">
        <f t="shared" si="18"/>
        <v>0</v>
      </c>
      <c r="AU29" s="153">
        <v>4</v>
      </c>
      <c r="AV29" s="161">
        <f t="shared" si="19"/>
        <v>0</v>
      </c>
      <c r="AW29" s="165"/>
      <c r="AX29" s="36" t="str">
        <f t="shared" si="20"/>
        <v>YA</v>
      </c>
      <c r="AY29" s="170">
        <f t="shared" si="21"/>
        <v>0.26</v>
      </c>
      <c r="AZ29" s="10"/>
      <c r="BA29" s="155">
        <v>0.75</v>
      </c>
      <c r="BB29" s="86">
        <f t="shared" si="22"/>
        <v>6</v>
      </c>
      <c r="BC29" s="224">
        <v>6</v>
      </c>
      <c r="BD29" s="37"/>
      <c r="BE29" s="86">
        <f t="shared" si="5"/>
        <v>0</v>
      </c>
      <c r="BF29" s="38"/>
      <c r="BG29" s="188"/>
      <c r="BH29" s="154">
        <v>1</v>
      </c>
      <c r="BI29" s="153">
        <v>5</v>
      </c>
      <c r="BJ29" s="86">
        <f t="shared" si="23"/>
        <v>5</v>
      </c>
      <c r="BK29" s="226">
        <v>5</v>
      </c>
      <c r="BL29" s="178"/>
      <c r="BM29" s="91"/>
      <c r="BN29" s="91"/>
      <c r="BO29" s="91"/>
      <c r="BP29" s="91"/>
      <c r="BQ29" s="91"/>
      <c r="BR29" s="91"/>
      <c r="BS29" s="91"/>
      <c r="BT29" s="91"/>
      <c r="BU29" s="91"/>
      <c r="BV29" s="39"/>
    </row>
    <row r="30" spans="1:74" x14ac:dyDescent="0.25">
      <c r="B30" s="136">
        <v>18</v>
      </c>
      <c r="C30" s="139" t="s">
        <v>258</v>
      </c>
      <c r="D30" s="138" t="s">
        <v>124</v>
      </c>
      <c r="E30" s="196" t="s">
        <v>259</v>
      </c>
      <c r="F30" s="131"/>
      <c r="G30" s="144" t="s">
        <v>195</v>
      </c>
      <c r="H30" s="145" t="s">
        <v>94</v>
      </c>
      <c r="I30" s="146" t="str">
        <f t="shared" si="0"/>
        <v>R</v>
      </c>
      <c r="J30" s="148">
        <v>2</v>
      </c>
      <c r="K30" s="149"/>
      <c r="L30" s="149">
        <v>0</v>
      </c>
      <c r="M30" s="88"/>
      <c r="N30" s="40">
        <f t="shared" si="1"/>
        <v>17.351249999999997</v>
      </c>
      <c r="O30" s="58">
        <f t="shared" si="6"/>
        <v>8.9449999999999967</v>
      </c>
      <c r="P30" s="58">
        <f t="shared" si="7"/>
        <v>63.300000000000139</v>
      </c>
      <c r="Q30" s="204">
        <v>0.27548611111111104</v>
      </c>
      <c r="R30" s="92"/>
      <c r="S30" s="103">
        <f t="shared" si="2"/>
        <v>0</v>
      </c>
      <c r="T30" s="49">
        <f t="shared" si="8"/>
        <v>4.65625</v>
      </c>
      <c r="U30" s="36">
        <f t="shared" si="9"/>
        <v>3</v>
      </c>
      <c r="V30" s="36">
        <f t="shared" si="10"/>
        <v>5</v>
      </c>
      <c r="W30" s="36">
        <f t="shared" si="11"/>
        <v>7</v>
      </c>
      <c r="X30" s="36">
        <f t="shared" si="12"/>
        <v>3</v>
      </c>
      <c r="Y30" s="36">
        <f t="shared" si="13"/>
        <v>5</v>
      </c>
      <c r="Z30" s="36">
        <f t="shared" si="14"/>
        <v>7</v>
      </c>
      <c r="AA30" s="36">
        <f t="shared" si="15"/>
        <v>1</v>
      </c>
      <c r="AB30" s="48">
        <f t="shared" si="16"/>
        <v>6.25</v>
      </c>
      <c r="AK30" s="150">
        <v>9</v>
      </c>
      <c r="AL30" s="151">
        <v>8</v>
      </c>
      <c r="AM30" s="151">
        <v>9</v>
      </c>
      <c r="AN30" s="151">
        <v>6</v>
      </c>
      <c r="AO30" s="151">
        <v>9</v>
      </c>
      <c r="AP30" s="151">
        <v>9</v>
      </c>
      <c r="AQ30" s="151">
        <v>3</v>
      </c>
      <c r="AR30" s="152">
        <v>7</v>
      </c>
      <c r="AS30" s="40">
        <f t="shared" si="17"/>
        <v>3.75</v>
      </c>
      <c r="AT30" s="156">
        <f t="shared" si="18"/>
        <v>0</v>
      </c>
      <c r="AU30" s="153">
        <v>4</v>
      </c>
      <c r="AV30" s="161">
        <f t="shared" si="19"/>
        <v>0</v>
      </c>
      <c r="AW30" s="165"/>
      <c r="AX30" s="36" t="str">
        <f t="shared" si="20"/>
        <v>YA</v>
      </c>
      <c r="AY30" s="170">
        <f t="shared" si="21"/>
        <v>0.26</v>
      </c>
      <c r="AZ30" s="10"/>
      <c r="BA30" s="155">
        <v>0.75</v>
      </c>
      <c r="BB30" s="86">
        <f t="shared" si="22"/>
        <v>10</v>
      </c>
      <c r="BC30" s="224">
        <v>10</v>
      </c>
      <c r="BD30" s="37"/>
      <c r="BE30" s="86">
        <f t="shared" si="5"/>
        <v>0</v>
      </c>
      <c r="BF30" s="38"/>
      <c r="BG30" s="188"/>
      <c r="BH30" s="154">
        <v>1</v>
      </c>
      <c r="BI30" s="153">
        <v>5</v>
      </c>
      <c r="BJ30" s="86">
        <f t="shared" si="23"/>
        <v>5</v>
      </c>
      <c r="BK30" s="226">
        <v>5</v>
      </c>
      <c r="BL30" s="178"/>
      <c r="BM30" s="91"/>
      <c r="BN30" s="91"/>
      <c r="BO30" s="91"/>
      <c r="BP30" s="91"/>
      <c r="BQ30" s="91"/>
      <c r="BR30" s="91"/>
      <c r="BS30" s="91"/>
      <c r="BT30" s="91"/>
      <c r="BU30" s="91"/>
      <c r="BV30" s="39"/>
    </row>
    <row r="31" spans="1:74" x14ac:dyDescent="0.25">
      <c r="B31" s="136">
        <v>19</v>
      </c>
      <c r="C31" s="139" t="s">
        <v>236</v>
      </c>
      <c r="D31" s="138" t="s">
        <v>125</v>
      </c>
      <c r="E31" s="196" t="s">
        <v>260</v>
      </c>
      <c r="F31" s="131"/>
      <c r="G31" s="144" t="s">
        <v>195</v>
      </c>
      <c r="H31" s="145" t="s">
        <v>94</v>
      </c>
      <c r="I31" s="146" t="str">
        <f t="shared" si="0"/>
        <v>R</v>
      </c>
      <c r="J31" s="148">
        <v>2</v>
      </c>
      <c r="K31" s="149"/>
      <c r="L31" s="149">
        <v>0</v>
      </c>
      <c r="M31" s="88"/>
      <c r="N31" s="40">
        <f t="shared" si="1"/>
        <v>16.951249999999995</v>
      </c>
      <c r="O31" s="58">
        <f t="shared" si="6"/>
        <v>9.0449999999999964</v>
      </c>
      <c r="P31" s="58">
        <f t="shared" si="7"/>
        <v>57.300000000000168</v>
      </c>
      <c r="Q31" s="204">
        <v>0.27965277777777769</v>
      </c>
      <c r="R31" s="92"/>
      <c r="S31" s="103">
        <f t="shared" si="2"/>
        <v>0</v>
      </c>
      <c r="T31" s="49">
        <f t="shared" si="8"/>
        <v>4.65625</v>
      </c>
      <c r="U31" s="36">
        <f t="shared" si="9"/>
        <v>3</v>
      </c>
      <c r="V31" s="36">
        <f t="shared" si="10"/>
        <v>5</v>
      </c>
      <c r="W31" s="36">
        <f t="shared" si="11"/>
        <v>7</v>
      </c>
      <c r="X31" s="36">
        <f t="shared" si="12"/>
        <v>3</v>
      </c>
      <c r="Y31" s="36">
        <f t="shared" si="13"/>
        <v>5</v>
      </c>
      <c r="Z31" s="36">
        <f t="shared" si="14"/>
        <v>7</v>
      </c>
      <c r="AA31" s="36">
        <f t="shared" si="15"/>
        <v>1</v>
      </c>
      <c r="AB31" s="48">
        <f t="shared" si="16"/>
        <v>6.25</v>
      </c>
      <c r="AK31" s="150">
        <v>9</v>
      </c>
      <c r="AL31" s="151">
        <v>8</v>
      </c>
      <c r="AM31" s="151">
        <v>9</v>
      </c>
      <c r="AN31" s="151">
        <v>6</v>
      </c>
      <c r="AO31" s="151">
        <v>9</v>
      </c>
      <c r="AP31" s="151">
        <v>9</v>
      </c>
      <c r="AQ31" s="151">
        <v>3</v>
      </c>
      <c r="AR31" s="152">
        <v>7</v>
      </c>
      <c r="AS31" s="40">
        <f t="shared" si="17"/>
        <v>3.25</v>
      </c>
      <c r="AT31" s="156">
        <f t="shared" si="18"/>
        <v>0</v>
      </c>
      <c r="AU31" s="153">
        <v>4</v>
      </c>
      <c r="AV31" s="161">
        <f t="shared" si="19"/>
        <v>0</v>
      </c>
      <c r="AW31" s="165"/>
      <c r="AX31" s="36" t="str">
        <f t="shared" si="20"/>
        <v>YA</v>
      </c>
      <c r="AY31" s="170">
        <f t="shared" si="21"/>
        <v>0.26</v>
      </c>
      <c r="AZ31" s="10"/>
      <c r="BA31" s="155">
        <v>0.75</v>
      </c>
      <c r="BB31" s="86">
        <f t="shared" si="22"/>
        <v>8</v>
      </c>
      <c r="BC31" s="224">
        <v>8</v>
      </c>
      <c r="BD31" s="37"/>
      <c r="BE31" s="86">
        <f t="shared" si="5"/>
        <v>0</v>
      </c>
      <c r="BF31" s="38"/>
      <c r="BG31" s="188"/>
      <c r="BH31" s="154">
        <v>1</v>
      </c>
      <c r="BI31" s="153">
        <v>5</v>
      </c>
      <c r="BJ31" s="86">
        <f t="shared" si="23"/>
        <v>5</v>
      </c>
      <c r="BK31" s="226">
        <v>5</v>
      </c>
      <c r="BL31" s="178"/>
      <c r="BM31" s="91"/>
      <c r="BN31" s="91"/>
      <c r="BO31" s="91"/>
      <c r="BP31" s="91"/>
      <c r="BQ31" s="91"/>
      <c r="BR31" s="91"/>
      <c r="BS31" s="91"/>
      <c r="BT31" s="91"/>
      <c r="BU31" s="91"/>
      <c r="BV31" s="39"/>
    </row>
    <row r="32" spans="1:74" x14ac:dyDescent="0.25">
      <c r="B32" s="136">
        <v>20</v>
      </c>
      <c r="C32" s="139" t="s">
        <v>139</v>
      </c>
      <c r="D32" s="138" t="s">
        <v>126</v>
      </c>
      <c r="E32" s="196" t="s">
        <v>10</v>
      </c>
      <c r="F32" s="131"/>
      <c r="G32" s="144" t="s">
        <v>195</v>
      </c>
      <c r="H32" s="145" t="s">
        <v>94</v>
      </c>
      <c r="I32" s="146" t="str">
        <f t="shared" si="0"/>
        <v>R</v>
      </c>
      <c r="J32" s="148">
        <v>2</v>
      </c>
      <c r="K32" s="149"/>
      <c r="L32" s="149">
        <v>0</v>
      </c>
      <c r="M32" s="88"/>
      <c r="N32" s="40">
        <f t="shared" si="1"/>
        <v>17.001249999999999</v>
      </c>
      <c r="O32" s="58">
        <f t="shared" si="6"/>
        <v>9.0949999999999971</v>
      </c>
      <c r="P32" s="58">
        <f t="shared" si="7"/>
        <v>54.300000000000175</v>
      </c>
      <c r="Q32" s="204">
        <v>0.28173611111111102</v>
      </c>
      <c r="R32" s="92"/>
      <c r="S32" s="103">
        <f t="shared" si="2"/>
        <v>0</v>
      </c>
      <c r="T32" s="49">
        <f t="shared" si="8"/>
        <v>4.65625</v>
      </c>
      <c r="U32" s="36">
        <f t="shared" si="9"/>
        <v>3</v>
      </c>
      <c r="V32" s="36">
        <f t="shared" si="10"/>
        <v>5</v>
      </c>
      <c r="W32" s="36">
        <f t="shared" si="11"/>
        <v>7</v>
      </c>
      <c r="X32" s="36">
        <f t="shared" si="12"/>
        <v>3</v>
      </c>
      <c r="Y32" s="36">
        <f t="shared" si="13"/>
        <v>5</v>
      </c>
      <c r="Z32" s="36">
        <f t="shared" si="14"/>
        <v>7</v>
      </c>
      <c r="AA32" s="36">
        <f t="shared" si="15"/>
        <v>1</v>
      </c>
      <c r="AB32" s="48">
        <f t="shared" si="16"/>
        <v>6.25</v>
      </c>
      <c r="AK32" s="150">
        <v>9</v>
      </c>
      <c r="AL32" s="151">
        <v>8</v>
      </c>
      <c r="AM32" s="151">
        <v>9</v>
      </c>
      <c r="AN32" s="151">
        <v>6</v>
      </c>
      <c r="AO32" s="151">
        <v>9</v>
      </c>
      <c r="AP32" s="151">
        <v>9</v>
      </c>
      <c r="AQ32" s="151">
        <v>3</v>
      </c>
      <c r="AR32" s="152">
        <v>7</v>
      </c>
      <c r="AS32" s="40">
        <f t="shared" si="17"/>
        <v>3.25</v>
      </c>
      <c r="AT32" s="156">
        <f t="shared" si="18"/>
        <v>0</v>
      </c>
      <c r="AU32" s="153">
        <v>4</v>
      </c>
      <c r="AV32" s="161">
        <f t="shared" si="19"/>
        <v>0</v>
      </c>
      <c r="AW32" s="165"/>
      <c r="AX32" s="36" t="str">
        <f t="shared" si="20"/>
        <v>YA</v>
      </c>
      <c r="AY32" s="170">
        <f t="shared" si="21"/>
        <v>0.26</v>
      </c>
      <c r="AZ32" s="10"/>
      <c r="BA32" s="155">
        <v>0.75</v>
      </c>
      <c r="BB32" s="86">
        <f t="shared" si="22"/>
        <v>8</v>
      </c>
      <c r="BC32" s="224">
        <v>8</v>
      </c>
      <c r="BD32" s="37"/>
      <c r="BE32" s="86">
        <f t="shared" si="5"/>
        <v>0</v>
      </c>
      <c r="BF32" s="38"/>
      <c r="BG32" s="188"/>
      <c r="BH32" s="154">
        <v>1</v>
      </c>
      <c r="BI32" s="153">
        <v>5</v>
      </c>
      <c r="BJ32" s="86">
        <f t="shared" si="23"/>
        <v>5</v>
      </c>
      <c r="BK32" s="226">
        <v>5</v>
      </c>
      <c r="BL32" s="178"/>
      <c r="BM32" s="91"/>
      <c r="BN32" s="91"/>
      <c r="BO32" s="91"/>
      <c r="BP32" s="91"/>
      <c r="BQ32" s="91"/>
      <c r="BR32" s="91"/>
      <c r="BS32" s="91"/>
      <c r="BT32" s="91"/>
      <c r="BU32" s="91"/>
      <c r="BV32" s="39"/>
    </row>
    <row r="33" spans="2:74" x14ac:dyDescent="0.25">
      <c r="B33" s="136">
        <v>21</v>
      </c>
      <c r="C33" s="139" t="s">
        <v>136</v>
      </c>
      <c r="D33" s="138" t="s">
        <v>127</v>
      </c>
      <c r="E33" s="196" t="s">
        <v>8</v>
      </c>
      <c r="F33" s="131"/>
      <c r="G33" s="144"/>
      <c r="H33" s="145"/>
      <c r="I33" s="146" t="str">
        <f t="shared" si="0"/>
        <v>R</v>
      </c>
      <c r="J33" s="148"/>
      <c r="K33" s="149"/>
      <c r="L33" s="149"/>
      <c r="M33" s="88"/>
      <c r="N33" s="40">
        <f t="shared" si="1"/>
        <v>13.88458333333333</v>
      </c>
      <c r="O33" s="58">
        <f t="shared" si="6"/>
        <v>9.2283333333333299</v>
      </c>
      <c r="P33" s="58">
        <f t="shared" si="7"/>
        <v>46.300000000000203</v>
      </c>
      <c r="Q33" s="204">
        <v>0.28729166666666656</v>
      </c>
      <c r="R33" s="92"/>
      <c r="S33" s="103">
        <f t="shared" si="2"/>
        <v>0</v>
      </c>
      <c r="T33" s="49">
        <f t="shared" si="8"/>
        <v>4.65625</v>
      </c>
      <c r="U33" s="36">
        <f t="shared" si="9"/>
        <v>3</v>
      </c>
      <c r="V33" s="36">
        <f t="shared" si="10"/>
        <v>5</v>
      </c>
      <c r="W33" s="36">
        <f t="shared" si="11"/>
        <v>7</v>
      </c>
      <c r="X33" s="36">
        <f t="shared" si="12"/>
        <v>3</v>
      </c>
      <c r="Y33" s="36">
        <f t="shared" si="13"/>
        <v>5</v>
      </c>
      <c r="Z33" s="36">
        <f t="shared" si="14"/>
        <v>7</v>
      </c>
      <c r="AA33" s="36">
        <f t="shared" si="15"/>
        <v>1</v>
      </c>
      <c r="AB33" s="48">
        <f t="shared" si="16"/>
        <v>6.25</v>
      </c>
      <c r="AK33" s="150">
        <v>9</v>
      </c>
      <c r="AL33" s="151">
        <v>8</v>
      </c>
      <c r="AM33" s="151">
        <v>9</v>
      </c>
      <c r="AN33" s="151">
        <v>6</v>
      </c>
      <c r="AO33" s="151">
        <v>9</v>
      </c>
      <c r="AP33" s="151">
        <v>9</v>
      </c>
      <c r="AQ33" s="151">
        <v>3</v>
      </c>
      <c r="AR33" s="152">
        <v>7</v>
      </c>
      <c r="AS33" s="40">
        <f t="shared" si="17"/>
        <v>0</v>
      </c>
      <c r="AT33" s="156">
        <f t="shared" si="18"/>
        <v>0</v>
      </c>
      <c r="AU33" s="153"/>
      <c r="AV33" s="161">
        <f t="shared" si="19"/>
        <v>0</v>
      </c>
      <c r="AW33" s="165"/>
      <c r="AX33" s="36" t="str">
        <f t="shared" si="20"/>
        <v>YA</v>
      </c>
      <c r="AY33" s="170">
        <f t="shared" si="21"/>
        <v>0.26</v>
      </c>
      <c r="AZ33" s="10"/>
      <c r="BA33" s="155">
        <v>0.75</v>
      </c>
      <c r="BB33" s="86">
        <f t="shared" si="22"/>
        <v>0</v>
      </c>
      <c r="BC33" s="224"/>
      <c r="BD33" s="37"/>
      <c r="BE33" s="86">
        <f t="shared" si="5"/>
        <v>0</v>
      </c>
      <c r="BF33" s="47"/>
      <c r="BG33" s="191"/>
      <c r="BH33" s="154"/>
      <c r="BI33" s="153"/>
      <c r="BJ33" s="86">
        <f t="shared" si="23"/>
        <v>0</v>
      </c>
      <c r="BK33" s="226"/>
      <c r="BL33" s="178"/>
      <c r="BM33" s="91"/>
      <c r="BN33" s="91"/>
      <c r="BO33" s="91"/>
      <c r="BP33" s="91"/>
      <c r="BQ33" s="91"/>
      <c r="BR33" s="91"/>
      <c r="BS33" s="91"/>
      <c r="BT33" s="91"/>
      <c r="BU33" s="91"/>
      <c r="BV33" s="39"/>
    </row>
    <row r="34" spans="2:74" x14ac:dyDescent="0.25">
      <c r="B34" s="136">
        <v>22</v>
      </c>
      <c r="C34" s="139" t="s">
        <v>134</v>
      </c>
      <c r="D34" s="138" t="s">
        <v>128</v>
      </c>
      <c r="E34" s="196" t="s">
        <v>12</v>
      </c>
      <c r="F34" s="131"/>
      <c r="G34" s="144" t="s">
        <v>195</v>
      </c>
      <c r="H34" s="145" t="s">
        <v>94</v>
      </c>
      <c r="I34" s="146" t="str">
        <f t="shared" si="0"/>
        <v>R</v>
      </c>
      <c r="J34" s="148">
        <v>2</v>
      </c>
      <c r="K34" s="149"/>
      <c r="L34" s="149">
        <v>0</v>
      </c>
      <c r="M34" s="88"/>
      <c r="N34" s="40">
        <f t="shared" si="1"/>
        <v>17.23458333333333</v>
      </c>
      <c r="O34" s="58">
        <f t="shared" si="6"/>
        <v>9.3283333333333296</v>
      </c>
      <c r="P34" s="58">
        <f t="shared" si="7"/>
        <v>40.300000000000225</v>
      </c>
      <c r="Q34" s="204">
        <v>0.29145833333333321</v>
      </c>
      <c r="R34" s="92"/>
      <c r="S34" s="105">
        <f t="shared" si="2"/>
        <v>0</v>
      </c>
      <c r="T34" s="49">
        <f t="shared" si="8"/>
        <v>4.65625</v>
      </c>
      <c r="U34" s="36">
        <f t="shared" si="9"/>
        <v>3</v>
      </c>
      <c r="V34" s="36">
        <f t="shared" si="10"/>
        <v>5</v>
      </c>
      <c r="W34" s="36">
        <f t="shared" si="11"/>
        <v>7</v>
      </c>
      <c r="X34" s="36">
        <f t="shared" si="12"/>
        <v>3</v>
      </c>
      <c r="Y34" s="36">
        <f t="shared" si="13"/>
        <v>5</v>
      </c>
      <c r="Z34" s="36">
        <f t="shared" si="14"/>
        <v>7</v>
      </c>
      <c r="AA34" s="36">
        <f t="shared" si="15"/>
        <v>1</v>
      </c>
      <c r="AB34" s="48">
        <f t="shared" si="16"/>
        <v>6.25</v>
      </c>
      <c r="AK34" s="150">
        <v>9</v>
      </c>
      <c r="AL34" s="151">
        <v>8</v>
      </c>
      <c r="AM34" s="151">
        <v>9</v>
      </c>
      <c r="AN34" s="151">
        <v>6</v>
      </c>
      <c r="AO34" s="151">
        <v>9</v>
      </c>
      <c r="AP34" s="151">
        <v>9</v>
      </c>
      <c r="AQ34" s="151">
        <v>3</v>
      </c>
      <c r="AR34" s="152">
        <v>7</v>
      </c>
      <c r="AS34" s="40">
        <f t="shared" si="17"/>
        <v>3.25</v>
      </c>
      <c r="AT34" s="156">
        <f t="shared" si="18"/>
        <v>0</v>
      </c>
      <c r="AU34" s="153">
        <v>4</v>
      </c>
      <c r="AV34" s="161">
        <f t="shared" si="19"/>
        <v>0</v>
      </c>
      <c r="AW34" s="165"/>
      <c r="AX34" s="36" t="str">
        <f t="shared" si="20"/>
        <v>YA</v>
      </c>
      <c r="AY34" s="170">
        <f t="shared" si="21"/>
        <v>0.26</v>
      </c>
      <c r="AZ34" s="10"/>
      <c r="BA34" s="155">
        <v>0.75</v>
      </c>
      <c r="BB34" s="86">
        <f t="shared" si="22"/>
        <v>8</v>
      </c>
      <c r="BC34" s="224">
        <v>8</v>
      </c>
      <c r="BD34" s="37"/>
      <c r="BE34" s="86">
        <f t="shared" si="5"/>
        <v>0</v>
      </c>
      <c r="BF34" s="38"/>
      <c r="BG34" s="188"/>
      <c r="BH34" s="154">
        <v>1</v>
      </c>
      <c r="BI34" s="153">
        <v>5</v>
      </c>
      <c r="BJ34" s="86">
        <f t="shared" si="23"/>
        <v>5</v>
      </c>
      <c r="BK34" s="226">
        <v>5</v>
      </c>
      <c r="BL34" s="178"/>
      <c r="BM34" s="91"/>
      <c r="BN34" s="91"/>
      <c r="BO34" s="91"/>
      <c r="BP34" s="91"/>
      <c r="BQ34" s="91"/>
      <c r="BR34" s="91"/>
      <c r="BS34" s="91"/>
      <c r="BT34" s="91"/>
      <c r="BU34" s="91"/>
      <c r="BV34" s="39"/>
    </row>
    <row r="35" spans="2:74" ht="30" x14ac:dyDescent="0.25">
      <c r="B35" s="136">
        <v>23</v>
      </c>
      <c r="C35" s="140" t="s">
        <v>249</v>
      </c>
      <c r="D35" s="138" t="s">
        <v>129</v>
      </c>
      <c r="E35" s="196" t="s">
        <v>261</v>
      </c>
      <c r="F35" s="131"/>
      <c r="G35" s="144" t="s">
        <v>195</v>
      </c>
      <c r="H35" s="145" t="s">
        <v>93</v>
      </c>
      <c r="I35" s="146" t="str">
        <f t="shared" si="0"/>
        <v>R</v>
      </c>
      <c r="J35" s="148">
        <v>3</v>
      </c>
      <c r="K35" s="149"/>
      <c r="L35" s="149">
        <v>0</v>
      </c>
      <c r="M35" s="88"/>
      <c r="N35" s="40">
        <f t="shared" si="1"/>
        <v>14.864583333333332</v>
      </c>
      <c r="O35" s="58">
        <f t="shared" si="6"/>
        <v>8.3333333333333321</v>
      </c>
      <c r="P35" s="58">
        <f t="shared" si="7"/>
        <v>100.00000000000004</v>
      </c>
      <c r="Q35" s="204">
        <v>0.25</v>
      </c>
      <c r="R35" s="92"/>
      <c r="S35" s="103">
        <f t="shared" si="2"/>
        <v>0</v>
      </c>
      <c r="T35" s="49">
        <f t="shared" si="8"/>
        <v>2.53125</v>
      </c>
      <c r="U35" s="36">
        <f t="shared" si="9"/>
        <v>2</v>
      </c>
      <c r="V35" s="36">
        <f t="shared" si="10"/>
        <v>5</v>
      </c>
      <c r="W35" s="36">
        <f t="shared" si="11"/>
        <v>6</v>
      </c>
      <c r="X35" s="36">
        <f t="shared" si="12"/>
        <v>3</v>
      </c>
      <c r="Y35" s="36">
        <f t="shared" si="13"/>
        <v>1</v>
      </c>
      <c r="Z35" s="36">
        <f t="shared" si="14"/>
        <v>2</v>
      </c>
      <c r="AA35" s="36">
        <f t="shared" si="15"/>
        <v>0</v>
      </c>
      <c r="AB35" s="48">
        <f t="shared" si="16"/>
        <v>1.25</v>
      </c>
      <c r="AK35" s="150">
        <v>8</v>
      </c>
      <c r="AL35" s="151">
        <v>8</v>
      </c>
      <c r="AM35" s="151">
        <v>8</v>
      </c>
      <c r="AN35" s="151">
        <v>6</v>
      </c>
      <c r="AO35" s="151">
        <v>5</v>
      </c>
      <c r="AP35" s="151">
        <v>4</v>
      </c>
      <c r="AQ35" s="151">
        <v>2</v>
      </c>
      <c r="AR35" s="152">
        <v>2</v>
      </c>
      <c r="AS35" s="40">
        <f t="shared" si="17"/>
        <v>4</v>
      </c>
      <c r="AT35" s="156">
        <f t="shared" si="18"/>
        <v>0</v>
      </c>
      <c r="AU35" s="153">
        <v>5</v>
      </c>
      <c r="AV35" s="161">
        <f t="shared" si="19"/>
        <v>0</v>
      </c>
      <c r="AW35" s="165"/>
      <c r="AX35" s="36" t="str">
        <f t="shared" si="20"/>
        <v>YA</v>
      </c>
      <c r="AY35" s="170">
        <f t="shared" si="21"/>
        <v>1.0000000000000009E-2</v>
      </c>
      <c r="AZ35" s="10"/>
      <c r="BA35" s="155">
        <v>1</v>
      </c>
      <c r="BB35" s="86">
        <f t="shared" si="22"/>
        <v>8</v>
      </c>
      <c r="BC35" s="224">
        <v>8</v>
      </c>
      <c r="BD35" s="37"/>
      <c r="BE35" s="86">
        <f t="shared" si="5"/>
        <v>0</v>
      </c>
      <c r="BF35" s="38"/>
      <c r="BG35" s="188"/>
      <c r="BH35" s="154">
        <v>1</v>
      </c>
      <c r="BI35" s="153">
        <v>4</v>
      </c>
      <c r="BJ35" s="86">
        <f t="shared" si="23"/>
        <v>8</v>
      </c>
      <c r="BK35" s="226">
        <v>8</v>
      </c>
      <c r="BL35" s="178"/>
      <c r="BM35" s="91"/>
      <c r="BN35" s="91"/>
      <c r="BO35" s="91"/>
      <c r="BP35" s="91"/>
      <c r="BQ35" s="91"/>
      <c r="BR35" s="91"/>
      <c r="BS35" s="91"/>
      <c r="BT35" s="91"/>
      <c r="BU35" s="91"/>
      <c r="BV35" s="39"/>
    </row>
    <row r="36" spans="2:74" ht="30" x14ac:dyDescent="0.25">
      <c r="B36" s="136">
        <v>24</v>
      </c>
      <c r="C36" s="197" t="s">
        <v>331</v>
      </c>
      <c r="D36" s="138" t="s">
        <v>130</v>
      </c>
      <c r="E36" s="196" t="s">
        <v>262</v>
      </c>
      <c r="F36" s="131"/>
      <c r="G36" s="147" t="s">
        <v>317</v>
      </c>
      <c r="H36" s="145" t="s">
        <v>95</v>
      </c>
      <c r="I36" s="146" t="str">
        <f t="shared" si="0"/>
        <v>R</v>
      </c>
      <c r="J36" s="148">
        <v>-1</v>
      </c>
      <c r="K36" s="149"/>
      <c r="L36" s="149">
        <v>3</v>
      </c>
      <c r="M36" s="88"/>
      <c r="N36" s="40">
        <f t="shared" si="1"/>
        <v>17.364583333333332</v>
      </c>
      <c r="O36" s="58">
        <f t="shared" si="6"/>
        <v>9.0833333333333321</v>
      </c>
      <c r="P36" s="58">
        <f t="shared" si="7"/>
        <v>55.000000000000043</v>
      </c>
      <c r="Q36" s="204">
        <v>0.28125</v>
      </c>
      <c r="R36" s="92"/>
      <c r="S36" s="103">
        <f t="shared" si="2"/>
        <v>0.99930555555555556</v>
      </c>
      <c r="T36" s="49">
        <f t="shared" si="8"/>
        <v>5.03125</v>
      </c>
      <c r="U36" s="36">
        <f t="shared" si="9"/>
        <v>3</v>
      </c>
      <c r="V36" s="36">
        <f t="shared" si="10"/>
        <v>5</v>
      </c>
      <c r="W36" s="36">
        <f t="shared" si="11"/>
        <v>7</v>
      </c>
      <c r="X36" s="36">
        <f t="shared" si="12"/>
        <v>6</v>
      </c>
      <c r="Y36" s="36">
        <f t="shared" si="13"/>
        <v>5</v>
      </c>
      <c r="Z36" s="36">
        <f t="shared" si="14"/>
        <v>7</v>
      </c>
      <c r="AA36" s="36">
        <f t="shared" si="15"/>
        <v>1</v>
      </c>
      <c r="AB36" s="48">
        <f t="shared" si="16"/>
        <v>6.25</v>
      </c>
      <c r="AK36" s="150">
        <v>9</v>
      </c>
      <c r="AL36" s="151">
        <v>8</v>
      </c>
      <c r="AM36" s="151">
        <v>9</v>
      </c>
      <c r="AN36" s="151">
        <v>3</v>
      </c>
      <c r="AO36" s="151">
        <v>9</v>
      </c>
      <c r="AP36" s="151">
        <v>9</v>
      </c>
      <c r="AQ36" s="151">
        <v>3</v>
      </c>
      <c r="AR36" s="152">
        <v>7</v>
      </c>
      <c r="AS36" s="40">
        <f t="shared" si="17"/>
        <v>3.25</v>
      </c>
      <c r="AT36" s="156">
        <f t="shared" si="18"/>
        <v>0</v>
      </c>
      <c r="AU36" s="153">
        <v>8</v>
      </c>
      <c r="AV36" s="161">
        <f t="shared" si="19"/>
        <v>0</v>
      </c>
      <c r="AW36" s="165"/>
      <c r="AX36" s="36" t="str">
        <f t="shared" si="20"/>
        <v>YA</v>
      </c>
      <c r="AY36" s="170">
        <f t="shared" si="21"/>
        <v>0.51</v>
      </c>
      <c r="AZ36" s="10"/>
      <c r="BA36" s="155">
        <v>0.5</v>
      </c>
      <c r="BB36" s="86">
        <f t="shared" si="22"/>
        <v>8</v>
      </c>
      <c r="BC36" s="224">
        <v>8</v>
      </c>
      <c r="BD36" s="37"/>
      <c r="BE36" s="86">
        <f t="shared" si="5"/>
        <v>0</v>
      </c>
      <c r="BF36" s="38"/>
      <c r="BG36" s="188"/>
      <c r="BH36" s="154"/>
      <c r="BI36" s="153"/>
      <c r="BJ36" s="86">
        <f t="shared" si="23"/>
        <v>5</v>
      </c>
      <c r="BK36" s="226">
        <v>5</v>
      </c>
      <c r="BL36" s="178"/>
      <c r="BM36" s="91"/>
      <c r="BN36" s="91"/>
      <c r="BO36" s="91"/>
      <c r="BP36" s="91"/>
      <c r="BQ36" s="91"/>
      <c r="BR36" s="91"/>
      <c r="BS36" s="91"/>
      <c r="BT36" s="91"/>
      <c r="BU36" s="91"/>
      <c r="BV36" s="39"/>
    </row>
    <row r="37" spans="2:74" ht="30" x14ac:dyDescent="0.25">
      <c r="B37" s="136">
        <v>25</v>
      </c>
      <c r="C37" s="197" t="s">
        <v>332</v>
      </c>
      <c r="D37" s="138" t="s">
        <v>131</v>
      </c>
      <c r="E37" s="196" t="s">
        <v>14</v>
      </c>
      <c r="F37" s="131"/>
      <c r="G37" s="144" t="s">
        <v>318</v>
      </c>
      <c r="H37" s="145" t="s">
        <v>93</v>
      </c>
      <c r="I37" s="146" t="str">
        <f t="shared" si="0"/>
        <v>R</v>
      </c>
      <c r="J37" s="148">
        <v>-1</v>
      </c>
      <c r="K37" s="149"/>
      <c r="L37" s="149">
        <v>3</v>
      </c>
      <c r="M37" s="88"/>
      <c r="N37" s="40">
        <f t="shared" si="1"/>
        <v>14.864583333333332</v>
      </c>
      <c r="O37" s="58">
        <f t="shared" si="6"/>
        <v>9.0833333333333321</v>
      </c>
      <c r="P37" s="58">
        <f t="shared" si="7"/>
        <v>55.000000000000043</v>
      </c>
      <c r="Q37" s="204">
        <v>0.28125</v>
      </c>
      <c r="R37" s="92"/>
      <c r="S37" s="103">
        <f t="shared" si="2"/>
        <v>0.99930555555555556</v>
      </c>
      <c r="T37" s="49">
        <f t="shared" si="8"/>
        <v>2.53125</v>
      </c>
      <c r="U37" s="36">
        <f t="shared" si="9"/>
        <v>2</v>
      </c>
      <c r="V37" s="36">
        <f t="shared" si="10"/>
        <v>5</v>
      </c>
      <c r="W37" s="36">
        <f t="shared" si="11"/>
        <v>6</v>
      </c>
      <c r="X37" s="36">
        <f t="shared" si="12"/>
        <v>3</v>
      </c>
      <c r="Y37" s="36">
        <f t="shared" si="13"/>
        <v>1</v>
      </c>
      <c r="Z37" s="36">
        <f t="shared" si="14"/>
        <v>2</v>
      </c>
      <c r="AA37" s="36">
        <f t="shared" si="15"/>
        <v>0</v>
      </c>
      <c r="AB37" s="48">
        <f t="shared" si="16"/>
        <v>1.25</v>
      </c>
      <c r="AK37" s="150">
        <v>8</v>
      </c>
      <c r="AL37" s="151">
        <v>8</v>
      </c>
      <c r="AM37" s="151">
        <v>8</v>
      </c>
      <c r="AN37" s="151">
        <v>6</v>
      </c>
      <c r="AO37" s="151">
        <v>5</v>
      </c>
      <c r="AP37" s="151">
        <v>4</v>
      </c>
      <c r="AQ37" s="151">
        <v>2</v>
      </c>
      <c r="AR37" s="152">
        <v>2</v>
      </c>
      <c r="AS37" s="40">
        <f t="shared" si="17"/>
        <v>3.25</v>
      </c>
      <c r="AT37" s="156">
        <f t="shared" si="18"/>
        <v>0</v>
      </c>
      <c r="AU37" s="153">
        <v>3</v>
      </c>
      <c r="AV37" s="161">
        <f t="shared" si="19"/>
        <v>0</v>
      </c>
      <c r="AW37" s="165"/>
      <c r="AX37" s="36" t="str">
        <f t="shared" si="20"/>
        <v>YA</v>
      </c>
      <c r="AY37" s="170">
        <f t="shared" si="21"/>
        <v>0.26</v>
      </c>
      <c r="AZ37" s="10"/>
      <c r="BA37" s="155">
        <v>0.75</v>
      </c>
      <c r="BB37" s="86">
        <f t="shared" si="22"/>
        <v>6</v>
      </c>
      <c r="BC37" s="224">
        <v>6</v>
      </c>
      <c r="BD37" s="37"/>
      <c r="BE37" s="86">
        <f t="shared" si="5"/>
        <v>0</v>
      </c>
      <c r="BF37" s="38"/>
      <c r="BG37" s="188"/>
      <c r="BH37" s="154"/>
      <c r="BI37" s="153"/>
      <c r="BJ37" s="86">
        <f t="shared" si="23"/>
        <v>7</v>
      </c>
      <c r="BK37" s="226">
        <v>7</v>
      </c>
      <c r="BL37" s="178"/>
      <c r="BM37" s="91"/>
      <c r="BN37" s="91"/>
      <c r="BO37" s="91"/>
      <c r="BP37" s="91"/>
      <c r="BQ37" s="91"/>
      <c r="BR37" s="91"/>
      <c r="BS37" s="91"/>
      <c r="BT37" s="91"/>
      <c r="BU37" s="91"/>
      <c r="BV37" s="39"/>
    </row>
    <row r="38" spans="2:74" x14ac:dyDescent="0.25">
      <c r="B38" s="136">
        <v>26</v>
      </c>
      <c r="C38" s="210" t="s">
        <v>88</v>
      </c>
      <c r="D38" s="198" t="s">
        <v>333</v>
      </c>
      <c r="E38" s="195" t="s">
        <v>334</v>
      </c>
      <c r="F38" s="131"/>
      <c r="G38" s="199" t="s">
        <v>195</v>
      </c>
      <c r="H38" s="200" t="s">
        <v>94</v>
      </c>
      <c r="I38" s="201" t="str">
        <f t="shared" si="0"/>
        <v>R</v>
      </c>
      <c r="J38" s="202">
        <v>3</v>
      </c>
      <c r="K38" s="149"/>
      <c r="L38" s="203">
        <v>0</v>
      </c>
      <c r="M38" s="88"/>
      <c r="N38" s="40">
        <f t="shared" si="1"/>
        <v>17.114583333333336</v>
      </c>
      <c r="O38" s="58">
        <f t="shared" si="6"/>
        <v>9.3333333333333339</v>
      </c>
      <c r="P38" s="58">
        <f t="shared" si="7"/>
        <v>40.000000000000014</v>
      </c>
      <c r="Q38" s="204">
        <v>0.29166666666666669</v>
      </c>
      <c r="R38" s="126"/>
      <c r="S38" s="103">
        <f t="shared" si="2"/>
        <v>0</v>
      </c>
      <c r="T38" s="49">
        <f t="shared" si="8"/>
        <v>4.53125</v>
      </c>
      <c r="U38" s="36">
        <f t="shared" si="9"/>
        <v>3</v>
      </c>
      <c r="V38" s="36">
        <f t="shared" si="10"/>
        <v>5</v>
      </c>
      <c r="W38" s="36">
        <f t="shared" si="11"/>
        <v>7</v>
      </c>
      <c r="X38" s="36">
        <f t="shared" si="12"/>
        <v>2</v>
      </c>
      <c r="Y38" s="36">
        <f t="shared" si="13"/>
        <v>5</v>
      </c>
      <c r="Z38" s="36">
        <f t="shared" si="14"/>
        <v>7</v>
      </c>
      <c r="AA38" s="36">
        <f t="shared" si="15"/>
        <v>3</v>
      </c>
      <c r="AB38" s="48">
        <f t="shared" si="16"/>
        <v>4.25</v>
      </c>
      <c r="AC38" s="87"/>
      <c r="AD38" s="87"/>
      <c r="AE38" s="87"/>
      <c r="AF38" s="87"/>
      <c r="AG38" s="87"/>
      <c r="AH38" s="87"/>
      <c r="AI38" s="87"/>
      <c r="AJ38" s="87"/>
      <c r="AK38" s="205">
        <v>9</v>
      </c>
      <c r="AL38" s="206">
        <v>8</v>
      </c>
      <c r="AM38" s="206">
        <v>9</v>
      </c>
      <c r="AN38" s="206">
        <v>7</v>
      </c>
      <c r="AO38" s="206">
        <v>9</v>
      </c>
      <c r="AP38" s="206">
        <v>9</v>
      </c>
      <c r="AQ38" s="206">
        <v>5</v>
      </c>
      <c r="AR38" s="207">
        <v>5</v>
      </c>
      <c r="AS38" s="40">
        <f t="shared" si="17"/>
        <v>3.25</v>
      </c>
      <c r="AT38" s="156">
        <f t="shared" si="18"/>
        <v>0</v>
      </c>
      <c r="AU38" s="209">
        <v>5</v>
      </c>
      <c r="AV38" s="161">
        <f t="shared" si="19"/>
        <v>0</v>
      </c>
      <c r="AW38" s="165"/>
      <c r="AX38" s="36" t="str">
        <f t="shared" si="20"/>
        <v>YA</v>
      </c>
      <c r="AY38" s="170">
        <f t="shared" si="21"/>
        <v>0.76</v>
      </c>
      <c r="AZ38" s="10"/>
      <c r="BA38" s="235">
        <v>0.25</v>
      </c>
      <c r="BB38" s="86">
        <f t="shared" si="22"/>
        <v>8</v>
      </c>
      <c r="BC38" s="225">
        <v>8</v>
      </c>
      <c r="BD38" s="37"/>
      <c r="BE38" s="86">
        <f t="shared" si="5"/>
        <v>0</v>
      </c>
      <c r="BF38" s="38"/>
      <c r="BG38" s="188"/>
      <c r="BH38" s="208"/>
      <c r="BI38" s="209"/>
      <c r="BJ38" s="86">
        <f t="shared" si="23"/>
        <v>5</v>
      </c>
      <c r="BK38" s="227">
        <v>5</v>
      </c>
      <c r="BL38" s="178"/>
      <c r="BM38" s="91"/>
      <c r="BN38" s="91"/>
      <c r="BO38" s="91"/>
      <c r="BP38" s="91"/>
      <c r="BQ38" s="91"/>
      <c r="BR38" s="91"/>
      <c r="BS38" s="91"/>
      <c r="BT38" s="91"/>
      <c r="BU38" s="91"/>
      <c r="BV38" s="39"/>
    </row>
    <row r="39" spans="2:74" ht="30" x14ac:dyDescent="0.25">
      <c r="B39" s="136">
        <v>27</v>
      </c>
      <c r="C39" s="197" t="s">
        <v>335</v>
      </c>
      <c r="D39" s="138" t="s">
        <v>132</v>
      </c>
      <c r="E39" s="196" t="s">
        <v>263</v>
      </c>
      <c r="F39" s="131"/>
      <c r="G39" s="144" t="s">
        <v>195</v>
      </c>
      <c r="H39" s="145" t="s">
        <v>94</v>
      </c>
      <c r="I39" s="146" t="str">
        <f t="shared" si="0"/>
        <v>R</v>
      </c>
      <c r="J39" s="148">
        <v>2</v>
      </c>
      <c r="K39" s="149"/>
      <c r="L39" s="149">
        <v>0</v>
      </c>
      <c r="M39" s="88"/>
      <c r="N39" s="40">
        <f t="shared" si="1"/>
        <v>15.447916666666666</v>
      </c>
      <c r="O39" s="58">
        <f t="shared" si="6"/>
        <v>9.4166666666666661</v>
      </c>
      <c r="P39" s="58">
        <f t="shared" si="7"/>
        <v>35.000000000000036</v>
      </c>
      <c r="Q39" s="204">
        <v>0.2951388888888889</v>
      </c>
      <c r="R39" s="92"/>
      <c r="S39" s="103">
        <f t="shared" si="2"/>
        <v>0</v>
      </c>
      <c r="T39" s="49">
        <f t="shared" si="8"/>
        <v>2.53125</v>
      </c>
      <c r="U39" s="36">
        <f t="shared" si="9"/>
        <v>2</v>
      </c>
      <c r="V39" s="36">
        <f t="shared" si="10"/>
        <v>5</v>
      </c>
      <c r="W39" s="36">
        <f t="shared" si="11"/>
        <v>6</v>
      </c>
      <c r="X39" s="36">
        <f t="shared" si="12"/>
        <v>3</v>
      </c>
      <c r="Y39" s="36">
        <f t="shared" si="13"/>
        <v>1</v>
      </c>
      <c r="Z39" s="36">
        <f t="shared" si="14"/>
        <v>2</v>
      </c>
      <c r="AA39" s="36">
        <f t="shared" si="15"/>
        <v>0</v>
      </c>
      <c r="AB39" s="48">
        <f t="shared" si="16"/>
        <v>1.25</v>
      </c>
      <c r="AK39" s="150">
        <v>8</v>
      </c>
      <c r="AL39" s="151">
        <v>8</v>
      </c>
      <c r="AM39" s="151">
        <v>8</v>
      </c>
      <c r="AN39" s="151">
        <v>6</v>
      </c>
      <c r="AO39" s="151">
        <v>5</v>
      </c>
      <c r="AP39" s="151">
        <v>4</v>
      </c>
      <c r="AQ39" s="151">
        <v>2</v>
      </c>
      <c r="AR39" s="152">
        <v>2</v>
      </c>
      <c r="AS39" s="40">
        <f t="shared" si="17"/>
        <v>3.5</v>
      </c>
      <c r="AT39" s="156">
        <f t="shared" si="18"/>
        <v>0</v>
      </c>
      <c r="AU39" s="153">
        <v>4</v>
      </c>
      <c r="AV39" s="161">
        <f t="shared" si="19"/>
        <v>0</v>
      </c>
      <c r="AW39" s="165"/>
      <c r="AX39" s="36" t="str">
        <f t="shared" si="20"/>
        <v>YA</v>
      </c>
      <c r="AY39" s="170">
        <f t="shared" si="21"/>
        <v>0.76</v>
      </c>
      <c r="AZ39" s="10"/>
      <c r="BA39" s="155">
        <v>0.25</v>
      </c>
      <c r="BB39" s="86">
        <f t="shared" si="22"/>
        <v>8</v>
      </c>
      <c r="BC39" s="224">
        <v>8</v>
      </c>
      <c r="BD39" s="37"/>
      <c r="BE39" s="86">
        <f t="shared" si="5"/>
        <v>0</v>
      </c>
      <c r="BF39" s="38"/>
      <c r="BG39" s="188"/>
      <c r="BH39" s="154"/>
      <c r="BI39" s="153"/>
      <c r="BJ39" s="86">
        <f t="shared" si="23"/>
        <v>6</v>
      </c>
      <c r="BK39" s="226">
        <v>6</v>
      </c>
      <c r="BL39" s="178"/>
      <c r="BM39" s="91"/>
      <c r="BN39" s="91"/>
      <c r="BO39" s="91"/>
      <c r="BP39" s="91"/>
      <c r="BQ39" s="91"/>
      <c r="BR39" s="91"/>
      <c r="BS39" s="91"/>
      <c r="BT39" s="91"/>
      <c r="BU39" s="91"/>
      <c r="BV39" s="39"/>
    </row>
    <row r="40" spans="2:74" ht="30" x14ac:dyDescent="0.25">
      <c r="B40" s="136">
        <v>28</v>
      </c>
      <c r="C40" s="139" t="s">
        <v>264</v>
      </c>
      <c r="D40" s="211" t="s">
        <v>133</v>
      </c>
      <c r="E40" s="212" t="s">
        <v>265</v>
      </c>
      <c r="F40" s="131"/>
      <c r="G40" s="234" t="s">
        <v>195</v>
      </c>
      <c r="H40" s="145" t="s">
        <v>94</v>
      </c>
      <c r="I40" s="146" t="str">
        <f t="shared" si="0"/>
        <v>R</v>
      </c>
      <c r="J40" s="148">
        <v>3</v>
      </c>
      <c r="K40" s="149"/>
      <c r="L40" s="149">
        <v>0</v>
      </c>
      <c r="M40" s="88"/>
      <c r="N40" s="40">
        <f t="shared" si="1"/>
        <v>17.28125</v>
      </c>
      <c r="O40" s="58">
        <f t="shared" si="6"/>
        <v>9.5</v>
      </c>
      <c r="P40" s="58">
        <f t="shared" si="7"/>
        <v>30.000000000000053</v>
      </c>
      <c r="Q40" s="204">
        <v>0.2986111111111111</v>
      </c>
      <c r="R40" s="92"/>
      <c r="S40" s="103">
        <f t="shared" si="2"/>
        <v>0</v>
      </c>
      <c r="T40" s="49">
        <f t="shared" si="8"/>
        <v>4.78125</v>
      </c>
      <c r="U40" s="36">
        <f t="shared" si="9"/>
        <v>3</v>
      </c>
      <c r="V40" s="36">
        <f t="shared" si="10"/>
        <v>5</v>
      </c>
      <c r="W40" s="36">
        <f t="shared" si="11"/>
        <v>7</v>
      </c>
      <c r="X40" s="36">
        <f t="shared" si="12"/>
        <v>4</v>
      </c>
      <c r="Y40" s="36">
        <f t="shared" si="13"/>
        <v>5</v>
      </c>
      <c r="Z40" s="36">
        <f t="shared" si="14"/>
        <v>7</v>
      </c>
      <c r="AA40" s="36">
        <f t="shared" si="15"/>
        <v>1</v>
      </c>
      <c r="AB40" s="48">
        <f t="shared" si="16"/>
        <v>6.25</v>
      </c>
      <c r="AK40" s="150">
        <v>9</v>
      </c>
      <c r="AL40" s="151">
        <v>8</v>
      </c>
      <c r="AM40" s="151">
        <v>9</v>
      </c>
      <c r="AN40" s="151">
        <v>5</v>
      </c>
      <c r="AO40" s="151">
        <v>9</v>
      </c>
      <c r="AP40" s="151">
        <v>9</v>
      </c>
      <c r="AQ40" s="151">
        <v>3</v>
      </c>
      <c r="AR40" s="152">
        <v>7</v>
      </c>
      <c r="AS40" s="40">
        <f t="shared" si="17"/>
        <v>3</v>
      </c>
      <c r="AT40" s="156">
        <f t="shared" si="18"/>
        <v>0</v>
      </c>
      <c r="AU40" s="153">
        <v>3</v>
      </c>
      <c r="AV40" s="161">
        <f t="shared" si="19"/>
        <v>0</v>
      </c>
      <c r="AW40" s="165"/>
      <c r="AX40" s="36" t="str">
        <f t="shared" si="20"/>
        <v>YA</v>
      </c>
      <c r="AY40" s="170">
        <f t="shared" si="21"/>
        <v>0.76</v>
      </c>
      <c r="AZ40" s="10"/>
      <c r="BA40" s="155">
        <v>0.25</v>
      </c>
      <c r="BB40" s="86">
        <f t="shared" si="22"/>
        <v>6</v>
      </c>
      <c r="BC40" s="224">
        <v>6</v>
      </c>
      <c r="BD40" s="37"/>
      <c r="BE40" s="86">
        <f t="shared" si="5"/>
        <v>0</v>
      </c>
      <c r="BF40" s="38"/>
      <c r="BG40" s="188"/>
      <c r="BH40" s="154"/>
      <c r="BI40" s="153"/>
      <c r="BJ40" s="86">
        <f t="shared" si="23"/>
        <v>6</v>
      </c>
      <c r="BK40" s="226">
        <v>6</v>
      </c>
      <c r="BL40" s="178"/>
      <c r="BM40" s="91"/>
      <c r="BN40" s="91"/>
      <c r="BO40" s="91"/>
      <c r="BP40" s="91"/>
      <c r="BQ40" s="91"/>
      <c r="BR40" s="91"/>
      <c r="BS40" s="91"/>
      <c r="BT40" s="91"/>
      <c r="BU40" s="91"/>
      <c r="BV40" s="39"/>
    </row>
    <row r="41" spans="2:74" x14ac:dyDescent="0.25">
      <c r="B41" s="136">
        <v>29</v>
      </c>
      <c r="C41" s="210" t="s">
        <v>336</v>
      </c>
      <c r="D41" s="198" t="s">
        <v>333</v>
      </c>
      <c r="E41" s="213" t="s">
        <v>334</v>
      </c>
      <c r="F41" s="131"/>
      <c r="G41" s="199" t="s">
        <v>195</v>
      </c>
      <c r="H41" s="200" t="s">
        <v>94</v>
      </c>
      <c r="I41" s="201" t="str">
        <f t="shared" si="0"/>
        <v>R</v>
      </c>
      <c r="J41" s="202">
        <v>3</v>
      </c>
      <c r="K41" s="149"/>
      <c r="L41" s="203">
        <v>0</v>
      </c>
      <c r="M41" s="88"/>
      <c r="N41" s="40">
        <f t="shared" si="1"/>
        <v>17.447916666666664</v>
      </c>
      <c r="O41" s="58">
        <f t="shared" si="6"/>
        <v>9.6666666666666643</v>
      </c>
      <c r="P41" s="58">
        <f t="shared" si="7"/>
        <v>20.000000000000089</v>
      </c>
      <c r="Q41" s="204">
        <v>0.30555555555555552</v>
      </c>
      <c r="R41" s="126"/>
      <c r="S41" s="103">
        <f t="shared" si="2"/>
        <v>0</v>
      </c>
      <c r="T41" s="49">
        <f t="shared" si="8"/>
        <v>4.53125</v>
      </c>
      <c r="U41" s="36">
        <f t="shared" si="9"/>
        <v>3</v>
      </c>
      <c r="V41" s="36">
        <f t="shared" si="10"/>
        <v>5</v>
      </c>
      <c r="W41" s="36">
        <f t="shared" si="11"/>
        <v>7</v>
      </c>
      <c r="X41" s="36">
        <f t="shared" si="12"/>
        <v>2</v>
      </c>
      <c r="Y41" s="36">
        <f t="shared" si="13"/>
        <v>5</v>
      </c>
      <c r="Z41" s="36">
        <f t="shared" si="14"/>
        <v>7</v>
      </c>
      <c r="AA41" s="36">
        <f t="shared" si="15"/>
        <v>3</v>
      </c>
      <c r="AB41" s="48">
        <f t="shared" si="16"/>
        <v>4.25</v>
      </c>
      <c r="AC41" s="87"/>
      <c r="AD41" s="87"/>
      <c r="AE41" s="87"/>
      <c r="AF41" s="87"/>
      <c r="AG41" s="87"/>
      <c r="AH41" s="87"/>
      <c r="AI41" s="87"/>
      <c r="AJ41" s="87"/>
      <c r="AK41" s="205">
        <v>9</v>
      </c>
      <c r="AL41" s="206">
        <v>8</v>
      </c>
      <c r="AM41" s="206">
        <v>9</v>
      </c>
      <c r="AN41" s="206">
        <v>7</v>
      </c>
      <c r="AO41" s="206">
        <v>9</v>
      </c>
      <c r="AP41" s="206">
        <v>9</v>
      </c>
      <c r="AQ41" s="206">
        <v>5</v>
      </c>
      <c r="AR41" s="207">
        <v>5</v>
      </c>
      <c r="AS41" s="40">
        <f t="shared" si="17"/>
        <v>3.25</v>
      </c>
      <c r="AT41" s="156">
        <f t="shared" si="18"/>
        <v>0</v>
      </c>
      <c r="AU41" s="209">
        <v>5</v>
      </c>
      <c r="AV41" s="161">
        <f t="shared" si="19"/>
        <v>0</v>
      </c>
      <c r="AW41" s="165"/>
      <c r="AX41" s="36" t="str">
        <f t="shared" si="20"/>
        <v>YA</v>
      </c>
      <c r="AY41" s="170">
        <f t="shared" si="21"/>
        <v>0.76</v>
      </c>
      <c r="AZ41" s="10"/>
      <c r="BA41" s="235">
        <v>0.25</v>
      </c>
      <c r="BB41" s="86">
        <f t="shared" si="22"/>
        <v>8</v>
      </c>
      <c r="BC41" s="225">
        <v>8</v>
      </c>
      <c r="BD41" s="37"/>
      <c r="BE41" s="86">
        <f t="shared" si="5"/>
        <v>0</v>
      </c>
      <c r="BF41" s="38"/>
      <c r="BG41" s="188"/>
      <c r="BH41" s="208"/>
      <c r="BI41" s="209"/>
      <c r="BJ41" s="86">
        <f t="shared" si="23"/>
        <v>5</v>
      </c>
      <c r="BK41" s="227">
        <v>5</v>
      </c>
      <c r="BL41" s="178"/>
      <c r="BM41" s="91"/>
      <c r="BN41" s="91"/>
      <c r="BO41" s="91"/>
      <c r="BP41" s="91"/>
      <c r="BQ41" s="91"/>
      <c r="BR41" s="91"/>
      <c r="BS41" s="91"/>
      <c r="BT41" s="91"/>
      <c r="BU41" s="91"/>
      <c r="BV41" s="39"/>
    </row>
    <row r="42" spans="2:74" x14ac:dyDescent="0.25">
      <c r="B42" s="136">
        <v>30</v>
      </c>
      <c r="C42" s="197" t="s">
        <v>88</v>
      </c>
      <c r="D42" s="198" t="s">
        <v>337</v>
      </c>
      <c r="E42" s="195" t="s">
        <v>338</v>
      </c>
      <c r="F42" s="131"/>
      <c r="G42" s="199" t="s">
        <v>195</v>
      </c>
      <c r="H42" s="200" t="s">
        <v>94</v>
      </c>
      <c r="I42" s="201" t="str">
        <f t="shared" si="0"/>
        <v>R</v>
      </c>
      <c r="J42" s="202">
        <v>1</v>
      </c>
      <c r="K42" s="149"/>
      <c r="L42" s="203">
        <v>2</v>
      </c>
      <c r="M42" s="88"/>
      <c r="N42" s="40">
        <f t="shared" si="1"/>
        <v>17.53125</v>
      </c>
      <c r="O42" s="58">
        <f t="shared" si="6"/>
        <v>9.7499999999999982</v>
      </c>
      <c r="P42" s="58">
        <f t="shared" si="7"/>
        <v>15.000000000000107</v>
      </c>
      <c r="Q42" s="204">
        <v>0.30902777777777773</v>
      </c>
      <c r="R42" s="126"/>
      <c r="S42" s="103">
        <f t="shared" si="2"/>
        <v>0.5</v>
      </c>
      <c r="T42" s="49">
        <f t="shared" si="8"/>
        <v>4.53125</v>
      </c>
      <c r="U42" s="36">
        <f t="shared" si="9"/>
        <v>3</v>
      </c>
      <c r="V42" s="36">
        <f t="shared" si="10"/>
        <v>5</v>
      </c>
      <c r="W42" s="36">
        <f t="shared" si="11"/>
        <v>7</v>
      </c>
      <c r="X42" s="36">
        <f t="shared" si="12"/>
        <v>2</v>
      </c>
      <c r="Y42" s="36">
        <f t="shared" si="13"/>
        <v>5</v>
      </c>
      <c r="Z42" s="36">
        <f t="shared" si="14"/>
        <v>7</v>
      </c>
      <c r="AA42" s="36">
        <f t="shared" si="15"/>
        <v>3</v>
      </c>
      <c r="AB42" s="48">
        <f t="shared" si="16"/>
        <v>4.25</v>
      </c>
      <c r="AC42" s="87"/>
      <c r="AD42" s="87"/>
      <c r="AE42" s="87"/>
      <c r="AF42" s="87"/>
      <c r="AG42" s="87"/>
      <c r="AH42" s="87"/>
      <c r="AI42" s="87"/>
      <c r="AJ42" s="87"/>
      <c r="AK42" s="205">
        <v>9</v>
      </c>
      <c r="AL42" s="206">
        <v>8</v>
      </c>
      <c r="AM42" s="206">
        <v>9</v>
      </c>
      <c r="AN42" s="206">
        <v>7</v>
      </c>
      <c r="AO42" s="206">
        <v>9</v>
      </c>
      <c r="AP42" s="206">
        <v>9</v>
      </c>
      <c r="AQ42" s="206">
        <v>5</v>
      </c>
      <c r="AR42" s="207">
        <v>5</v>
      </c>
      <c r="AS42" s="40">
        <f t="shared" si="17"/>
        <v>3.25</v>
      </c>
      <c r="AT42" s="156">
        <f t="shared" si="18"/>
        <v>0</v>
      </c>
      <c r="AU42" s="209">
        <v>5</v>
      </c>
      <c r="AV42" s="161">
        <f t="shared" si="19"/>
        <v>0</v>
      </c>
      <c r="AW42" s="165"/>
      <c r="AX42" s="36" t="str">
        <f t="shared" si="20"/>
        <v>YA</v>
      </c>
      <c r="AY42" s="170">
        <f t="shared" si="21"/>
        <v>0.76</v>
      </c>
      <c r="AZ42" s="10"/>
      <c r="BA42" s="235">
        <v>0.25</v>
      </c>
      <c r="BB42" s="86">
        <f t="shared" si="22"/>
        <v>8</v>
      </c>
      <c r="BC42" s="225">
        <v>8</v>
      </c>
      <c r="BD42" s="37"/>
      <c r="BE42" s="86">
        <f t="shared" si="5"/>
        <v>0</v>
      </c>
      <c r="BF42" s="38"/>
      <c r="BG42" s="188"/>
      <c r="BH42" s="208">
        <v>1</v>
      </c>
      <c r="BI42" s="209">
        <v>5</v>
      </c>
      <c r="BJ42" s="86">
        <f t="shared" si="23"/>
        <v>5</v>
      </c>
      <c r="BK42" s="227">
        <v>5</v>
      </c>
      <c r="BL42" s="178"/>
      <c r="BM42" s="91"/>
      <c r="BN42" s="91"/>
      <c r="BO42" s="91"/>
      <c r="BP42" s="91"/>
      <c r="BQ42" s="91"/>
      <c r="BR42" s="91"/>
      <c r="BS42" s="91"/>
      <c r="BT42" s="91"/>
      <c r="BU42" s="91"/>
      <c r="BV42" s="39"/>
    </row>
    <row r="43" spans="2:74" x14ac:dyDescent="0.25">
      <c r="B43" s="136">
        <v>31</v>
      </c>
      <c r="C43" s="197" t="s">
        <v>339</v>
      </c>
      <c r="D43" s="138" t="s">
        <v>135</v>
      </c>
      <c r="E43" s="196" t="s">
        <v>266</v>
      </c>
      <c r="F43" s="131"/>
      <c r="G43" s="144" t="s">
        <v>195</v>
      </c>
      <c r="H43" s="145" t="s">
        <v>94</v>
      </c>
      <c r="I43" s="146" t="str">
        <f t="shared" si="0"/>
        <v>R</v>
      </c>
      <c r="J43" s="148">
        <v>1</v>
      </c>
      <c r="K43" s="149"/>
      <c r="L43" s="149">
        <v>2</v>
      </c>
      <c r="M43" s="88"/>
      <c r="N43" s="40">
        <f t="shared" si="1"/>
        <v>17.739583333333332</v>
      </c>
      <c r="O43" s="58">
        <f t="shared" si="6"/>
        <v>9.8333333333333321</v>
      </c>
      <c r="P43" s="58">
        <f t="shared" si="7"/>
        <v>10.000000000000124</v>
      </c>
      <c r="Q43" s="204">
        <v>0.31249999999999994</v>
      </c>
      <c r="R43" s="92">
        <v>0.29166666666666669</v>
      </c>
      <c r="S43" s="103">
        <f t="shared" si="2"/>
        <v>0.79166666666666674</v>
      </c>
      <c r="T43" s="49">
        <f t="shared" si="8"/>
        <v>4.65625</v>
      </c>
      <c r="U43" s="36">
        <f t="shared" si="9"/>
        <v>3</v>
      </c>
      <c r="V43" s="36">
        <f t="shared" si="10"/>
        <v>5</v>
      </c>
      <c r="W43" s="36">
        <f t="shared" si="11"/>
        <v>7</v>
      </c>
      <c r="X43" s="36">
        <f t="shared" si="12"/>
        <v>3</v>
      </c>
      <c r="Y43" s="36">
        <f t="shared" si="13"/>
        <v>5</v>
      </c>
      <c r="Z43" s="36">
        <f t="shared" si="14"/>
        <v>7</v>
      </c>
      <c r="AA43" s="36">
        <f t="shared" si="15"/>
        <v>1</v>
      </c>
      <c r="AB43" s="48">
        <f t="shared" si="16"/>
        <v>6.25</v>
      </c>
      <c r="AK43" s="150">
        <v>9</v>
      </c>
      <c r="AL43" s="151">
        <v>8</v>
      </c>
      <c r="AM43" s="151">
        <v>9</v>
      </c>
      <c r="AN43" s="151">
        <v>6</v>
      </c>
      <c r="AO43" s="151">
        <v>9</v>
      </c>
      <c r="AP43" s="151">
        <v>9</v>
      </c>
      <c r="AQ43" s="151">
        <v>3</v>
      </c>
      <c r="AR43" s="152">
        <v>7</v>
      </c>
      <c r="AS43" s="40">
        <f t="shared" si="17"/>
        <v>3.25</v>
      </c>
      <c r="AT43" s="156">
        <f t="shared" si="18"/>
        <v>0</v>
      </c>
      <c r="AU43" s="153">
        <v>5</v>
      </c>
      <c r="AV43" s="161">
        <f t="shared" si="19"/>
        <v>0</v>
      </c>
      <c r="AW43" s="165"/>
      <c r="AX43" s="36" t="str">
        <f t="shared" si="20"/>
        <v>YA</v>
      </c>
      <c r="AY43" s="170">
        <f t="shared" si="21"/>
        <v>0.76</v>
      </c>
      <c r="AZ43" s="10"/>
      <c r="BA43" s="155">
        <v>0.25</v>
      </c>
      <c r="BB43" s="86">
        <f t="shared" si="22"/>
        <v>8</v>
      </c>
      <c r="BC43" s="224">
        <v>8</v>
      </c>
      <c r="BD43" s="37"/>
      <c r="BE43" s="86">
        <f t="shared" si="5"/>
        <v>0</v>
      </c>
      <c r="BF43" s="38"/>
      <c r="BG43" s="188"/>
      <c r="BH43" s="154">
        <v>1</v>
      </c>
      <c r="BI43" s="153">
        <v>5</v>
      </c>
      <c r="BJ43" s="86">
        <f t="shared" si="23"/>
        <v>5</v>
      </c>
      <c r="BK43" s="226">
        <v>5</v>
      </c>
      <c r="BL43" s="178"/>
      <c r="BM43" s="91"/>
      <c r="BN43" s="91"/>
      <c r="BO43" s="91"/>
      <c r="BP43" s="91"/>
      <c r="BQ43" s="91"/>
      <c r="BR43" s="91"/>
      <c r="BS43" s="91"/>
      <c r="BT43" s="91"/>
      <c r="BU43" s="91"/>
      <c r="BV43" s="39"/>
    </row>
    <row r="44" spans="2:74" x14ac:dyDescent="0.25">
      <c r="B44" s="136">
        <v>32</v>
      </c>
      <c r="C44" s="197" t="s">
        <v>340</v>
      </c>
      <c r="D44" s="138" t="s">
        <v>137</v>
      </c>
      <c r="E44" s="196" t="s">
        <v>267</v>
      </c>
      <c r="F44" s="131"/>
      <c r="G44" s="147" t="s">
        <v>319</v>
      </c>
      <c r="H44" s="145" t="s">
        <v>94</v>
      </c>
      <c r="I44" s="146" t="str">
        <f t="shared" si="0"/>
        <v>R</v>
      </c>
      <c r="J44" s="148">
        <v>-1</v>
      </c>
      <c r="K44" s="149"/>
      <c r="L44" s="149">
        <v>3</v>
      </c>
      <c r="M44" s="88"/>
      <c r="N44" s="40">
        <f t="shared" si="1"/>
        <v>16.572916666666664</v>
      </c>
      <c r="O44" s="58">
        <f t="shared" si="6"/>
        <v>9.9166666666666643</v>
      </c>
      <c r="P44" s="58">
        <f t="shared" si="7"/>
        <v>5.0000000000001421</v>
      </c>
      <c r="Q44" s="204">
        <v>0.31597222222222215</v>
      </c>
      <c r="R44" s="92"/>
      <c r="S44" s="103">
        <f t="shared" si="2"/>
        <v>0.99930555555555556</v>
      </c>
      <c r="T44" s="49">
        <f t="shared" si="8"/>
        <v>4.15625</v>
      </c>
      <c r="U44" s="36">
        <f t="shared" si="9"/>
        <v>3</v>
      </c>
      <c r="V44" s="36">
        <f t="shared" si="10"/>
        <v>5</v>
      </c>
      <c r="W44" s="36">
        <f t="shared" si="11"/>
        <v>7</v>
      </c>
      <c r="X44" s="36">
        <f t="shared" si="12"/>
        <v>3</v>
      </c>
      <c r="Y44" s="36">
        <f t="shared" si="13"/>
        <v>5</v>
      </c>
      <c r="Z44" s="36">
        <f t="shared" si="14"/>
        <v>7</v>
      </c>
      <c r="AA44" s="36">
        <f t="shared" si="15"/>
        <v>1</v>
      </c>
      <c r="AB44" s="48">
        <f t="shared" si="16"/>
        <v>2.25</v>
      </c>
      <c r="AK44" s="150">
        <v>9</v>
      </c>
      <c r="AL44" s="151">
        <v>8</v>
      </c>
      <c r="AM44" s="151">
        <v>9</v>
      </c>
      <c r="AN44" s="151">
        <v>6</v>
      </c>
      <c r="AO44" s="151">
        <v>9</v>
      </c>
      <c r="AP44" s="151">
        <v>9</v>
      </c>
      <c r="AQ44" s="151">
        <v>3</v>
      </c>
      <c r="AR44" s="152">
        <v>3</v>
      </c>
      <c r="AS44" s="40">
        <f t="shared" si="17"/>
        <v>2.5</v>
      </c>
      <c r="AT44" s="156">
        <f t="shared" si="18"/>
        <v>0</v>
      </c>
      <c r="AU44" s="153">
        <v>2</v>
      </c>
      <c r="AV44" s="161">
        <f t="shared" si="19"/>
        <v>0</v>
      </c>
      <c r="AW44" s="165"/>
      <c r="AX44" s="36" t="str">
        <f t="shared" si="20"/>
        <v>YA</v>
      </c>
      <c r="AY44" s="170">
        <f t="shared" si="21"/>
        <v>1.0000000000000009E-2</v>
      </c>
      <c r="AZ44" s="10"/>
      <c r="BA44" s="155">
        <v>1</v>
      </c>
      <c r="BB44" s="86">
        <f t="shared" si="22"/>
        <v>5</v>
      </c>
      <c r="BC44" s="224">
        <v>5</v>
      </c>
      <c r="BD44" s="37"/>
      <c r="BE44" s="86">
        <f t="shared" si="5"/>
        <v>0</v>
      </c>
      <c r="BF44" s="38"/>
      <c r="BG44" s="188"/>
      <c r="BH44" s="154">
        <v>1</v>
      </c>
      <c r="BI44" s="153">
        <v>5</v>
      </c>
      <c r="BJ44" s="86">
        <f t="shared" si="23"/>
        <v>5</v>
      </c>
      <c r="BK44" s="226">
        <v>5</v>
      </c>
      <c r="BL44" s="178"/>
      <c r="BM44" s="91"/>
      <c r="BN44" s="91"/>
      <c r="BO44" s="91"/>
      <c r="BP44" s="91"/>
      <c r="BQ44" s="91"/>
      <c r="BR44" s="91"/>
      <c r="BS44" s="91"/>
      <c r="BT44" s="91"/>
      <c r="BU44" s="91"/>
      <c r="BV44" s="39"/>
    </row>
    <row r="45" spans="2:74" ht="30" x14ac:dyDescent="0.25">
      <c r="B45" s="136">
        <v>33</v>
      </c>
      <c r="C45" s="137" t="s">
        <v>249</v>
      </c>
      <c r="D45" s="138" t="s">
        <v>138</v>
      </c>
      <c r="E45" s="196" t="s">
        <v>268</v>
      </c>
      <c r="F45" s="131"/>
      <c r="G45" s="144" t="s">
        <v>195</v>
      </c>
      <c r="H45" s="145" t="s">
        <v>93</v>
      </c>
      <c r="I45" s="146" t="str">
        <f t="shared" si="0"/>
        <v>R</v>
      </c>
      <c r="J45" s="148">
        <v>3</v>
      </c>
      <c r="K45" s="149"/>
      <c r="L45" s="149">
        <v>0</v>
      </c>
      <c r="M45" s="88"/>
      <c r="N45" s="40">
        <f t="shared" si="1"/>
        <v>17.864583333333332</v>
      </c>
      <c r="O45" s="58">
        <f t="shared" si="6"/>
        <v>9.8333333333333321</v>
      </c>
      <c r="P45" s="58">
        <f t="shared" si="7"/>
        <v>10.000000000000044</v>
      </c>
      <c r="Q45" s="204">
        <v>0.3125</v>
      </c>
      <c r="R45" s="92"/>
      <c r="S45" s="103">
        <f t="shared" si="2"/>
        <v>0</v>
      </c>
      <c r="T45" s="49">
        <f t="shared" si="8"/>
        <v>4.53125</v>
      </c>
      <c r="U45" s="36">
        <f t="shared" si="9"/>
        <v>3</v>
      </c>
      <c r="V45" s="36">
        <f t="shared" si="10"/>
        <v>5</v>
      </c>
      <c r="W45" s="36">
        <f t="shared" si="11"/>
        <v>7</v>
      </c>
      <c r="X45" s="36">
        <f t="shared" si="12"/>
        <v>2</v>
      </c>
      <c r="Y45" s="36">
        <f t="shared" si="13"/>
        <v>5</v>
      </c>
      <c r="Z45" s="36">
        <f t="shared" si="14"/>
        <v>7</v>
      </c>
      <c r="AA45" s="36">
        <f t="shared" si="15"/>
        <v>3</v>
      </c>
      <c r="AB45" s="48">
        <f t="shared" si="16"/>
        <v>4.25</v>
      </c>
      <c r="AK45" s="150">
        <v>9</v>
      </c>
      <c r="AL45" s="151">
        <v>8</v>
      </c>
      <c r="AM45" s="151">
        <v>9</v>
      </c>
      <c r="AN45" s="151">
        <v>7</v>
      </c>
      <c r="AO45" s="151">
        <v>9</v>
      </c>
      <c r="AP45" s="151">
        <v>9</v>
      </c>
      <c r="AQ45" s="151">
        <v>5</v>
      </c>
      <c r="AR45" s="152">
        <v>5</v>
      </c>
      <c r="AS45" s="40">
        <f t="shared" si="17"/>
        <v>3.5</v>
      </c>
      <c r="AT45" s="156">
        <f t="shared" si="18"/>
        <v>0</v>
      </c>
      <c r="AU45" s="153">
        <v>3</v>
      </c>
      <c r="AV45" s="161">
        <f t="shared" si="19"/>
        <v>0</v>
      </c>
      <c r="AW45" s="165"/>
      <c r="AX45" s="36" t="str">
        <f t="shared" si="20"/>
        <v>YA</v>
      </c>
      <c r="AY45" s="170">
        <f t="shared" si="21"/>
        <v>0.76</v>
      </c>
      <c r="AZ45" s="10"/>
      <c r="BA45" s="155">
        <v>0.25</v>
      </c>
      <c r="BB45" s="86">
        <f t="shared" si="22"/>
        <v>8</v>
      </c>
      <c r="BC45" s="224">
        <v>8</v>
      </c>
      <c r="BD45" s="37"/>
      <c r="BE45" s="86">
        <f t="shared" si="5"/>
        <v>0</v>
      </c>
      <c r="BF45" s="38"/>
      <c r="BG45" s="188"/>
      <c r="BH45" s="154">
        <v>1</v>
      </c>
      <c r="BI45" s="153">
        <v>8</v>
      </c>
      <c r="BJ45" s="86">
        <f t="shared" si="23"/>
        <v>6</v>
      </c>
      <c r="BK45" s="226">
        <v>6</v>
      </c>
      <c r="BL45" s="178"/>
      <c r="BM45" s="91"/>
      <c r="BN45" s="91"/>
      <c r="BO45" s="91"/>
      <c r="BP45" s="91"/>
      <c r="BQ45" s="91"/>
      <c r="BR45" s="91"/>
      <c r="BS45" s="91"/>
      <c r="BT45" s="91"/>
      <c r="BU45" s="91"/>
      <c r="BV45" s="39"/>
    </row>
    <row r="46" spans="2:74" x14ac:dyDescent="0.25">
      <c r="B46" s="136">
        <v>34</v>
      </c>
      <c r="C46" s="194" t="s">
        <v>269</v>
      </c>
      <c r="D46" s="198" t="s">
        <v>341</v>
      </c>
      <c r="E46" s="195" t="s">
        <v>342</v>
      </c>
      <c r="F46" s="131"/>
      <c r="G46" s="199" t="s">
        <v>195</v>
      </c>
      <c r="H46" s="200" t="s">
        <v>94</v>
      </c>
      <c r="I46" s="201" t="str">
        <f t="shared" si="0"/>
        <v>R</v>
      </c>
      <c r="J46" s="202">
        <v>3</v>
      </c>
      <c r="K46" s="149"/>
      <c r="L46" s="203">
        <v>0</v>
      </c>
      <c r="M46" s="88"/>
      <c r="N46" s="40">
        <f t="shared" si="1"/>
        <v>17.78125</v>
      </c>
      <c r="O46" s="58">
        <f t="shared" si="6"/>
        <v>9.9999999999999982</v>
      </c>
      <c r="P46" s="58">
        <f t="shared" si="7"/>
        <v>7.9936057773011271E-14</v>
      </c>
      <c r="Q46" s="204">
        <v>0.31944444444444442</v>
      </c>
      <c r="R46" s="126"/>
      <c r="S46" s="103">
        <f t="shared" si="2"/>
        <v>0</v>
      </c>
      <c r="T46" s="49">
        <f t="shared" si="8"/>
        <v>4.53125</v>
      </c>
      <c r="U46" s="36">
        <f t="shared" si="9"/>
        <v>3</v>
      </c>
      <c r="V46" s="36">
        <f t="shared" si="10"/>
        <v>5</v>
      </c>
      <c r="W46" s="36">
        <f t="shared" si="11"/>
        <v>7</v>
      </c>
      <c r="X46" s="36">
        <f t="shared" si="12"/>
        <v>2</v>
      </c>
      <c r="Y46" s="36">
        <f t="shared" si="13"/>
        <v>5</v>
      </c>
      <c r="Z46" s="36">
        <f t="shared" si="14"/>
        <v>7</v>
      </c>
      <c r="AA46" s="36">
        <f t="shared" si="15"/>
        <v>3</v>
      </c>
      <c r="AB46" s="48">
        <f t="shared" si="16"/>
        <v>4.25</v>
      </c>
      <c r="AC46" s="87"/>
      <c r="AD46" s="87"/>
      <c r="AE46" s="87"/>
      <c r="AF46" s="87"/>
      <c r="AG46" s="87"/>
      <c r="AH46" s="87"/>
      <c r="AI46" s="87"/>
      <c r="AJ46" s="87"/>
      <c r="AK46" s="205">
        <v>9</v>
      </c>
      <c r="AL46" s="206">
        <v>8</v>
      </c>
      <c r="AM46" s="206">
        <v>9</v>
      </c>
      <c r="AN46" s="206">
        <v>7</v>
      </c>
      <c r="AO46" s="206">
        <v>9</v>
      </c>
      <c r="AP46" s="206">
        <v>9</v>
      </c>
      <c r="AQ46" s="206">
        <v>5</v>
      </c>
      <c r="AR46" s="207">
        <v>5</v>
      </c>
      <c r="AS46" s="40">
        <f t="shared" si="17"/>
        <v>3.25</v>
      </c>
      <c r="AT46" s="156">
        <f t="shared" si="18"/>
        <v>0</v>
      </c>
      <c r="AU46" s="209">
        <v>5</v>
      </c>
      <c r="AV46" s="161">
        <f t="shared" si="19"/>
        <v>0</v>
      </c>
      <c r="AW46" s="165"/>
      <c r="AX46" s="36" t="str">
        <f t="shared" si="20"/>
        <v>YA</v>
      </c>
      <c r="AY46" s="170">
        <f t="shared" si="21"/>
        <v>0.76</v>
      </c>
      <c r="AZ46" s="10"/>
      <c r="BA46" s="235">
        <v>0.25</v>
      </c>
      <c r="BB46" s="86">
        <f t="shared" si="22"/>
        <v>8</v>
      </c>
      <c r="BC46" s="225">
        <v>8</v>
      </c>
      <c r="BD46" s="37"/>
      <c r="BE46" s="86">
        <f t="shared" si="5"/>
        <v>0</v>
      </c>
      <c r="BF46" s="38"/>
      <c r="BG46" s="188"/>
      <c r="BH46" s="208"/>
      <c r="BI46" s="209"/>
      <c r="BJ46" s="86">
        <f t="shared" si="23"/>
        <v>5</v>
      </c>
      <c r="BK46" s="227">
        <v>5</v>
      </c>
      <c r="BL46" s="178"/>
      <c r="BM46" s="91"/>
      <c r="BN46" s="91"/>
      <c r="BO46" s="91"/>
      <c r="BP46" s="91"/>
      <c r="BQ46" s="91"/>
      <c r="BR46" s="91"/>
      <c r="BS46" s="91"/>
      <c r="BT46" s="91"/>
      <c r="BU46" s="91"/>
      <c r="BV46" s="39"/>
    </row>
    <row r="47" spans="2:74" x14ac:dyDescent="0.25">
      <c r="B47" s="136">
        <v>35</v>
      </c>
      <c r="C47" s="194" t="s">
        <v>343</v>
      </c>
      <c r="D47" s="198" t="s">
        <v>333</v>
      </c>
      <c r="E47" s="213" t="s">
        <v>334</v>
      </c>
      <c r="F47" s="131"/>
      <c r="G47" s="199" t="s">
        <v>195</v>
      </c>
      <c r="H47" s="200" t="s">
        <v>94</v>
      </c>
      <c r="I47" s="201" t="str">
        <f t="shared" si="0"/>
        <v>R</v>
      </c>
      <c r="J47" s="202">
        <v>3</v>
      </c>
      <c r="K47" s="149"/>
      <c r="L47" s="203">
        <v>0</v>
      </c>
      <c r="M47" s="88"/>
      <c r="N47" s="40">
        <f t="shared" si="1"/>
        <v>17.697916666666668</v>
      </c>
      <c r="O47" s="58">
        <f t="shared" si="6"/>
        <v>9.9166666666666679</v>
      </c>
      <c r="P47" s="58">
        <f t="shared" si="7"/>
        <v>4.9999999999999023</v>
      </c>
      <c r="Q47" s="204">
        <v>0.32291666666666663</v>
      </c>
      <c r="R47" s="126"/>
      <c r="S47" s="103">
        <f t="shared" si="2"/>
        <v>0</v>
      </c>
      <c r="T47" s="49">
        <f t="shared" si="8"/>
        <v>4.53125</v>
      </c>
      <c r="U47" s="36">
        <f t="shared" si="9"/>
        <v>3</v>
      </c>
      <c r="V47" s="36">
        <f t="shared" si="10"/>
        <v>5</v>
      </c>
      <c r="W47" s="36">
        <f t="shared" si="11"/>
        <v>7</v>
      </c>
      <c r="X47" s="36">
        <f t="shared" si="12"/>
        <v>2</v>
      </c>
      <c r="Y47" s="36">
        <f t="shared" si="13"/>
        <v>5</v>
      </c>
      <c r="Z47" s="36">
        <f t="shared" si="14"/>
        <v>7</v>
      </c>
      <c r="AA47" s="36">
        <f t="shared" si="15"/>
        <v>3</v>
      </c>
      <c r="AB47" s="48">
        <f t="shared" si="16"/>
        <v>4.25</v>
      </c>
      <c r="AC47" s="87"/>
      <c r="AD47" s="87"/>
      <c r="AE47" s="87"/>
      <c r="AF47" s="87"/>
      <c r="AG47" s="87"/>
      <c r="AH47" s="87"/>
      <c r="AI47" s="87"/>
      <c r="AJ47" s="87"/>
      <c r="AK47" s="205">
        <v>9</v>
      </c>
      <c r="AL47" s="206">
        <v>8</v>
      </c>
      <c r="AM47" s="206">
        <v>9</v>
      </c>
      <c r="AN47" s="206">
        <v>7</v>
      </c>
      <c r="AO47" s="206">
        <v>9</v>
      </c>
      <c r="AP47" s="206">
        <v>9</v>
      </c>
      <c r="AQ47" s="206">
        <v>5</v>
      </c>
      <c r="AR47" s="207">
        <v>5</v>
      </c>
      <c r="AS47" s="40">
        <f t="shared" si="17"/>
        <v>3.25</v>
      </c>
      <c r="AT47" s="156">
        <f t="shared" si="18"/>
        <v>0</v>
      </c>
      <c r="AU47" s="209">
        <v>5</v>
      </c>
      <c r="AV47" s="161">
        <f t="shared" si="19"/>
        <v>0</v>
      </c>
      <c r="AW47" s="165"/>
      <c r="AX47" s="36" t="str">
        <f t="shared" si="20"/>
        <v>YA</v>
      </c>
      <c r="AY47" s="170">
        <f t="shared" si="21"/>
        <v>0.76</v>
      </c>
      <c r="AZ47" s="10"/>
      <c r="BA47" s="235">
        <v>0.25</v>
      </c>
      <c r="BB47" s="86">
        <f t="shared" si="22"/>
        <v>8</v>
      </c>
      <c r="BC47" s="225">
        <v>8</v>
      </c>
      <c r="BD47" s="37"/>
      <c r="BE47" s="86">
        <f t="shared" si="5"/>
        <v>0</v>
      </c>
      <c r="BF47" s="38"/>
      <c r="BG47" s="188"/>
      <c r="BH47" s="208"/>
      <c r="BI47" s="209"/>
      <c r="BJ47" s="86">
        <f t="shared" si="23"/>
        <v>5</v>
      </c>
      <c r="BK47" s="227">
        <v>5</v>
      </c>
      <c r="BL47" s="178"/>
      <c r="BM47" s="91"/>
      <c r="BN47" s="91"/>
      <c r="BO47" s="91"/>
      <c r="BP47" s="91"/>
      <c r="BQ47" s="91"/>
      <c r="BR47" s="91"/>
      <c r="BS47" s="91"/>
      <c r="BT47" s="91"/>
      <c r="BU47" s="91"/>
      <c r="BV47" s="39"/>
    </row>
    <row r="48" spans="2:74" s="87" customFormat="1" x14ac:dyDescent="0.25">
      <c r="B48" s="136">
        <v>40</v>
      </c>
      <c r="C48" s="194" t="s">
        <v>335</v>
      </c>
      <c r="D48" s="198" t="s">
        <v>349</v>
      </c>
      <c r="E48" s="195" t="s">
        <v>350</v>
      </c>
      <c r="F48" s="131"/>
      <c r="G48" s="199" t="s">
        <v>195</v>
      </c>
      <c r="H48" s="200" t="s">
        <v>94</v>
      </c>
      <c r="I48" s="201" t="str">
        <f t="shared" si="0"/>
        <v>R</v>
      </c>
      <c r="J48" s="202">
        <v>3</v>
      </c>
      <c r="K48" s="149"/>
      <c r="L48" s="203">
        <v>0</v>
      </c>
      <c r="M48" s="88"/>
      <c r="N48" s="40">
        <f t="shared" si="1"/>
        <v>17.614583333333336</v>
      </c>
      <c r="O48" s="58">
        <f t="shared" si="6"/>
        <v>9.8333333333333357</v>
      </c>
      <c r="P48" s="82">
        <f t="shared" si="7"/>
        <v>9.9999999999998845</v>
      </c>
      <c r="Q48" s="229">
        <v>0.32638888888888884</v>
      </c>
      <c r="R48" s="127"/>
      <c r="S48" s="103">
        <f t="shared" si="2"/>
        <v>0</v>
      </c>
      <c r="T48" s="49">
        <f t="shared" si="8"/>
        <v>4.53125</v>
      </c>
      <c r="U48" s="36">
        <f t="shared" si="9"/>
        <v>3</v>
      </c>
      <c r="V48" s="36">
        <f t="shared" si="10"/>
        <v>5</v>
      </c>
      <c r="W48" s="36">
        <f t="shared" si="11"/>
        <v>7</v>
      </c>
      <c r="X48" s="36">
        <f t="shared" si="12"/>
        <v>2</v>
      </c>
      <c r="Y48" s="36">
        <f t="shared" si="13"/>
        <v>5</v>
      </c>
      <c r="Z48" s="36">
        <f t="shared" si="14"/>
        <v>7</v>
      </c>
      <c r="AA48" s="36">
        <f t="shared" si="15"/>
        <v>3</v>
      </c>
      <c r="AB48" s="48">
        <f t="shared" si="16"/>
        <v>4.25</v>
      </c>
      <c r="AK48" s="205">
        <v>9</v>
      </c>
      <c r="AL48" s="206">
        <v>8</v>
      </c>
      <c r="AM48" s="206">
        <v>9</v>
      </c>
      <c r="AN48" s="206">
        <v>7</v>
      </c>
      <c r="AO48" s="206">
        <v>9</v>
      </c>
      <c r="AP48" s="206">
        <v>9</v>
      </c>
      <c r="AQ48" s="206">
        <v>5</v>
      </c>
      <c r="AR48" s="207">
        <v>5</v>
      </c>
      <c r="AS48" s="40">
        <f t="shared" si="17"/>
        <v>3.25</v>
      </c>
      <c r="AT48" s="156">
        <f t="shared" si="18"/>
        <v>0</v>
      </c>
      <c r="AU48" s="209">
        <v>5</v>
      </c>
      <c r="AV48" s="161">
        <f t="shared" si="19"/>
        <v>0</v>
      </c>
      <c r="AW48" s="165"/>
      <c r="AX48" s="36" t="str">
        <f t="shared" si="20"/>
        <v>YA</v>
      </c>
      <c r="AY48" s="170">
        <f t="shared" si="21"/>
        <v>0.76</v>
      </c>
      <c r="AZ48" s="10"/>
      <c r="BA48" s="235">
        <v>0.25</v>
      </c>
      <c r="BB48" s="86">
        <f t="shared" si="22"/>
        <v>8</v>
      </c>
      <c r="BC48" s="225">
        <v>8</v>
      </c>
      <c r="BD48" s="37"/>
      <c r="BE48" s="86">
        <f t="shared" si="5"/>
        <v>0</v>
      </c>
      <c r="BF48" s="38"/>
      <c r="BG48" s="188"/>
      <c r="BH48" s="208"/>
      <c r="BI48" s="209"/>
      <c r="BJ48" s="86">
        <f t="shared" si="23"/>
        <v>5</v>
      </c>
      <c r="BK48" s="227">
        <v>5</v>
      </c>
      <c r="BL48" s="178"/>
      <c r="BM48" s="91"/>
      <c r="BN48" s="91"/>
      <c r="BO48" s="91"/>
      <c r="BP48" s="91"/>
      <c r="BQ48" s="91"/>
      <c r="BR48" s="91"/>
      <c r="BS48" s="91"/>
      <c r="BT48" s="91"/>
      <c r="BU48" s="91"/>
      <c r="BV48" s="39"/>
    </row>
    <row r="49" spans="2:74" x14ac:dyDescent="0.25">
      <c r="B49" s="136">
        <v>36</v>
      </c>
      <c r="C49" s="194" t="s">
        <v>344</v>
      </c>
      <c r="D49" s="138" t="s">
        <v>140</v>
      </c>
      <c r="E49" s="196" t="s">
        <v>270</v>
      </c>
      <c r="F49" s="131"/>
      <c r="G49" s="144" t="s">
        <v>195</v>
      </c>
      <c r="H49" s="145" t="s">
        <v>94</v>
      </c>
      <c r="I49" s="146" t="str">
        <f t="shared" si="0"/>
        <v>R</v>
      </c>
      <c r="J49" s="148">
        <v>3</v>
      </c>
      <c r="K49" s="149"/>
      <c r="L49" s="149">
        <v>0</v>
      </c>
      <c r="M49" s="88"/>
      <c r="N49" s="40">
        <f t="shared" si="1"/>
        <v>17.90625</v>
      </c>
      <c r="O49" s="58">
        <f t="shared" si="6"/>
        <v>9.7500000000000018</v>
      </c>
      <c r="P49" s="58">
        <f t="shared" si="7"/>
        <v>14.999999999999867</v>
      </c>
      <c r="Q49" s="204">
        <v>0.32986111111111105</v>
      </c>
      <c r="R49" s="92"/>
      <c r="S49" s="103">
        <f t="shared" si="2"/>
        <v>0</v>
      </c>
      <c r="T49" s="49">
        <f t="shared" si="8"/>
        <v>4.90625</v>
      </c>
      <c r="U49" s="36">
        <f t="shared" si="9"/>
        <v>3</v>
      </c>
      <c r="V49" s="36">
        <f t="shared" si="10"/>
        <v>5</v>
      </c>
      <c r="W49" s="36">
        <f t="shared" si="11"/>
        <v>7</v>
      </c>
      <c r="X49" s="36">
        <f t="shared" si="12"/>
        <v>5</v>
      </c>
      <c r="Y49" s="36">
        <f t="shared" si="13"/>
        <v>5</v>
      </c>
      <c r="Z49" s="36">
        <f t="shared" si="14"/>
        <v>7</v>
      </c>
      <c r="AA49" s="36">
        <f t="shared" si="15"/>
        <v>1</v>
      </c>
      <c r="AB49" s="48">
        <f t="shared" si="16"/>
        <v>6.25</v>
      </c>
      <c r="AK49" s="150">
        <v>9</v>
      </c>
      <c r="AL49" s="151">
        <v>8</v>
      </c>
      <c r="AM49" s="151">
        <v>9</v>
      </c>
      <c r="AN49" s="151">
        <v>4</v>
      </c>
      <c r="AO49" s="151">
        <v>9</v>
      </c>
      <c r="AP49" s="151">
        <v>9</v>
      </c>
      <c r="AQ49" s="151">
        <v>3</v>
      </c>
      <c r="AR49" s="152">
        <v>7</v>
      </c>
      <c r="AS49" s="40">
        <f t="shared" si="17"/>
        <v>3.25</v>
      </c>
      <c r="AT49" s="156">
        <f t="shared" si="18"/>
        <v>0</v>
      </c>
      <c r="AU49" s="153">
        <v>5</v>
      </c>
      <c r="AV49" s="161">
        <f t="shared" si="19"/>
        <v>0</v>
      </c>
      <c r="AW49" s="165"/>
      <c r="AX49" s="36" t="str">
        <f t="shared" si="20"/>
        <v>YA</v>
      </c>
      <c r="AY49" s="170">
        <f t="shared" si="21"/>
        <v>0.76</v>
      </c>
      <c r="AZ49" s="10"/>
      <c r="BA49" s="155">
        <v>0.25</v>
      </c>
      <c r="BB49" s="86">
        <f t="shared" si="22"/>
        <v>8</v>
      </c>
      <c r="BC49" s="224">
        <v>8</v>
      </c>
      <c r="BD49" s="37"/>
      <c r="BE49" s="86">
        <f t="shared" si="5"/>
        <v>0</v>
      </c>
      <c r="BF49" s="38"/>
      <c r="BG49" s="188"/>
      <c r="BH49" s="154"/>
      <c r="BI49" s="153"/>
      <c r="BJ49" s="86">
        <f t="shared" si="23"/>
        <v>5</v>
      </c>
      <c r="BK49" s="226">
        <v>5</v>
      </c>
      <c r="BL49" s="178"/>
      <c r="BM49" s="91"/>
      <c r="BN49" s="91"/>
      <c r="BO49" s="91"/>
      <c r="BP49" s="91"/>
      <c r="BQ49" s="91"/>
      <c r="BR49" s="91"/>
      <c r="BS49" s="91"/>
      <c r="BT49" s="91"/>
      <c r="BU49" s="91"/>
      <c r="BV49" s="39"/>
    </row>
    <row r="50" spans="2:74" x14ac:dyDescent="0.25">
      <c r="B50" s="136">
        <v>37</v>
      </c>
      <c r="C50" s="140" t="s">
        <v>88</v>
      </c>
      <c r="D50" s="138" t="s">
        <v>141</v>
      </c>
      <c r="E50" s="196" t="s">
        <v>271</v>
      </c>
      <c r="F50" s="131"/>
      <c r="G50" s="144" t="s">
        <v>195</v>
      </c>
      <c r="H50" s="145" t="s">
        <v>94</v>
      </c>
      <c r="I50" s="146" t="str">
        <f t="shared" si="0"/>
        <v>R</v>
      </c>
      <c r="J50" s="148">
        <v>3</v>
      </c>
      <c r="K50" s="149"/>
      <c r="L50" s="149">
        <v>0</v>
      </c>
      <c r="M50" s="88"/>
      <c r="N50" s="40">
        <f t="shared" si="1"/>
        <v>17.697916666666671</v>
      </c>
      <c r="O50" s="58">
        <f t="shared" si="6"/>
        <v>9.4166666666666696</v>
      </c>
      <c r="P50" s="82">
        <f t="shared" si="7"/>
        <v>34.999999999999872</v>
      </c>
      <c r="Q50" s="229">
        <v>0.34374999999999994</v>
      </c>
      <c r="R50" s="93"/>
      <c r="S50" s="103">
        <f t="shared" si="2"/>
        <v>0</v>
      </c>
      <c r="T50" s="49">
        <f t="shared" si="8"/>
        <v>4.78125</v>
      </c>
      <c r="U50" s="36">
        <f t="shared" si="9"/>
        <v>3</v>
      </c>
      <c r="V50" s="36">
        <f t="shared" si="10"/>
        <v>5</v>
      </c>
      <c r="W50" s="36">
        <f t="shared" si="11"/>
        <v>7</v>
      </c>
      <c r="X50" s="36">
        <f t="shared" si="12"/>
        <v>4</v>
      </c>
      <c r="Y50" s="36">
        <f t="shared" si="13"/>
        <v>5</v>
      </c>
      <c r="Z50" s="36">
        <f t="shared" si="14"/>
        <v>7</v>
      </c>
      <c r="AA50" s="36">
        <f t="shared" si="15"/>
        <v>1</v>
      </c>
      <c r="AB50" s="48">
        <f t="shared" si="16"/>
        <v>6.25</v>
      </c>
      <c r="AK50" s="150">
        <v>9</v>
      </c>
      <c r="AL50" s="151">
        <v>8</v>
      </c>
      <c r="AM50" s="151">
        <v>9</v>
      </c>
      <c r="AN50" s="151">
        <v>5</v>
      </c>
      <c r="AO50" s="151">
        <v>9</v>
      </c>
      <c r="AP50" s="151">
        <v>9</v>
      </c>
      <c r="AQ50" s="151">
        <v>3</v>
      </c>
      <c r="AR50" s="152">
        <v>7</v>
      </c>
      <c r="AS50" s="40">
        <f t="shared" si="17"/>
        <v>3.5</v>
      </c>
      <c r="AT50" s="156">
        <f t="shared" si="18"/>
        <v>0</v>
      </c>
      <c r="AU50" s="153">
        <v>6</v>
      </c>
      <c r="AV50" s="161">
        <f t="shared" si="19"/>
        <v>0</v>
      </c>
      <c r="AW50" s="165"/>
      <c r="AX50" s="36" t="str">
        <f t="shared" si="20"/>
        <v>YA</v>
      </c>
      <c r="AY50" s="170">
        <f t="shared" si="21"/>
        <v>0.76</v>
      </c>
      <c r="AZ50" s="10"/>
      <c r="BA50" s="155">
        <v>0.25</v>
      </c>
      <c r="BB50" s="86">
        <f t="shared" si="22"/>
        <v>8</v>
      </c>
      <c r="BC50" s="224">
        <v>8</v>
      </c>
      <c r="BD50" s="37"/>
      <c r="BE50" s="86">
        <f t="shared" si="5"/>
        <v>0</v>
      </c>
      <c r="BF50" s="38"/>
      <c r="BG50" s="188"/>
      <c r="BH50" s="154">
        <v>1</v>
      </c>
      <c r="BI50" s="153">
        <v>8</v>
      </c>
      <c r="BJ50" s="86">
        <f t="shared" si="23"/>
        <v>6</v>
      </c>
      <c r="BK50" s="226">
        <v>6</v>
      </c>
      <c r="BL50" s="178"/>
      <c r="BM50" s="91"/>
      <c r="BN50" s="91"/>
      <c r="BO50" s="91"/>
      <c r="BP50" s="91"/>
      <c r="BQ50" s="91"/>
      <c r="BR50" s="91"/>
      <c r="BS50" s="91"/>
      <c r="BT50" s="91"/>
      <c r="BU50" s="91"/>
      <c r="BV50" s="39"/>
    </row>
    <row r="51" spans="2:74" x14ac:dyDescent="0.25">
      <c r="B51" s="136">
        <v>38</v>
      </c>
      <c r="C51" s="210" t="s">
        <v>345</v>
      </c>
      <c r="D51" s="198" t="s">
        <v>346</v>
      </c>
      <c r="E51" s="195" t="s">
        <v>347</v>
      </c>
      <c r="F51" s="131"/>
      <c r="G51" s="199" t="s">
        <v>195</v>
      </c>
      <c r="H51" s="200" t="s">
        <v>94</v>
      </c>
      <c r="I51" s="201" t="str">
        <f t="shared" si="0"/>
        <v>R</v>
      </c>
      <c r="J51" s="202">
        <v>3</v>
      </c>
      <c r="K51" s="149"/>
      <c r="L51" s="203">
        <v>0</v>
      </c>
      <c r="M51" s="88"/>
      <c r="N51" s="40">
        <f t="shared" si="1"/>
        <v>17.364583333333336</v>
      </c>
      <c r="O51" s="58">
        <f t="shared" si="6"/>
        <v>9.3333333333333357</v>
      </c>
      <c r="P51" s="82">
        <f t="shared" si="7"/>
        <v>39.999999999999858</v>
      </c>
      <c r="Q51" s="229">
        <v>0.34722222222222215</v>
      </c>
      <c r="R51" s="127"/>
      <c r="S51" s="103">
        <f t="shared" si="2"/>
        <v>0</v>
      </c>
      <c r="T51" s="49">
        <f t="shared" si="8"/>
        <v>4.53125</v>
      </c>
      <c r="U51" s="36">
        <f t="shared" si="9"/>
        <v>3</v>
      </c>
      <c r="V51" s="36">
        <f t="shared" si="10"/>
        <v>5</v>
      </c>
      <c r="W51" s="36">
        <f t="shared" si="11"/>
        <v>7</v>
      </c>
      <c r="X51" s="36">
        <f t="shared" si="12"/>
        <v>2</v>
      </c>
      <c r="Y51" s="36">
        <f t="shared" si="13"/>
        <v>5</v>
      </c>
      <c r="Z51" s="36">
        <f t="shared" si="14"/>
        <v>7</v>
      </c>
      <c r="AA51" s="36">
        <f t="shared" si="15"/>
        <v>3</v>
      </c>
      <c r="AB51" s="48">
        <f t="shared" si="16"/>
        <v>4.25</v>
      </c>
      <c r="AC51" s="87"/>
      <c r="AD51" s="87"/>
      <c r="AE51" s="87"/>
      <c r="AF51" s="87"/>
      <c r="AG51" s="87"/>
      <c r="AH51" s="87"/>
      <c r="AI51" s="87"/>
      <c r="AJ51" s="87"/>
      <c r="AK51" s="205">
        <v>9</v>
      </c>
      <c r="AL51" s="206">
        <v>8</v>
      </c>
      <c r="AM51" s="206">
        <v>9</v>
      </c>
      <c r="AN51" s="206">
        <v>7</v>
      </c>
      <c r="AO51" s="206">
        <v>9</v>
      </c>
      <c r="AP51" s="206">
        <v>9</v>
      </c>
      <c r="AQ51" s="206">
        <v>5</v>
      </c>
      <c r="AR51" s="207">
        <v>5</v>
      </c>
      <c r="AS51" s="40">
        <f t="shared" si="17"/>
        <v>3.5</v>
      </c>
      <c r="AT51" s="156">
        <f t="shared" si="18"/>
        <v>0</v>
      </c>
      <c r="AU51" s="209">
        <v>6</v>
      </c>
      <c r="AV51" s="161">
        <f t="shared" si="19"/>
        <v>0</v>
      </c>
      <c r="AW51" s="165"/>
      <c r="AX51" s="36" t="str">
        <f t="shared" si="20"/>
        <v>YA</v>
      </c>
      <c r="AY51" s="170">
        <f t="shared" si="21"/>
        <v>0.76</v>
      </c>
      <c r="AZ51" s="10"/>
      <c r="BA51" s="235">
        <v>0.25</v>
      </c>
      <c r="BB51" s="86">
        <f t="shared" si="22"/>
        <v>8</v>
      </c>
      <c r="BC51" s="225">
        <v>8</v>
      </c>
      <c r="BD51" s="37"/>
      <c r="BE51" s="86">
        <f t="shared" si="5"/>
        <v>0</v>
      </c>
      <c r="BF51" s="38"/>
      <c r="BG51" s="188"/>
      <c r="BH51" s="208">
        <v>1</v>
      </c>
      <c r="BI51" s="209">
        <v>8</v>
      </c>
      <c r="BJ51" s="86">
        <f t="shared" si="23"/>
        <v>6</v>
      </c>
      <c r="BK51" s="227">
        <v>6</v>
      </c>
      <c r="BL51" s="178"/>
      <c r="BM51" s="91"/>
      <c r="BN51" s="91"/>
      <c r="BO51" s="91"/>
      <c r="BP51" s="91"/>
      <c r="BQ51" s="91"/>
      <c r="BR51" s="91"/>
      <c r="BS51" s="91"/>
      <c r="BT51" s="91"/>
      <c r="BU51" s="91"/>
      <c r="BV51" s="39"/>
    </row>
    <row r="52" spans="2:74" x14ac:dyDescent="0.25">
      <c r="B52" s="136">
        <v>39</v>
      </c>
      <c r="C52" s="210" t="s">
        <v>348</v>
      </c>
      <c r="D52" s="198" t="s">
        <v>333</v>
      </c>
      <c r="E52" s="195" t="s">
        <v>334</v>
      </c>
      <c r="F52" s="131"/>
      <c r="G52" s="199" t="s">
        <v>195</v>
      </c>
      <c r="H52" s="200" t="s">
        <v>94</v>
      </c>
      <c r="I52" s="201" t="str">
        <f t="shared" si="0"/>
        <v>R</v>
      </c>
      <c r="J52" s="202">
        <v>3</v>
      </c>
      <c r="K52" s="149"/>
      <c r="L52" s="203">
        <v>0</v>
      </c>
      <c r="M52" s="88"/>
      <c r="N52" s="40">
        <f t="shared" si="1"/>
        <v>17.03125</v>
      </c>
      <c r="O52" s="58">
        <f t="shared" si="6"/>
        <v>9.2500000000000018</v>
      </c>
      <c r="P52" s="82">
        <f t="shared" si="7"/>
        <v>44.999999999999844</v>
      </c>
      <c r="Q52" s="229">
        <v>0.35069444444444436</v>
      </c>
      <c r="R52" s="127"/>
      <c r="S52" s="103">
        <f t="shared" si="2"/>
        <v>0</v>
      </c>
      <c r="T52" s="49">
        <f t="shared" si="8"/>
        <v>4.53125</v>
      </c>
      <c r="U52" s="36">
        <f t="shared" si="9"/>
        <v>3</v>
      </c>
      <c r="V52" s="36">
        <f t="shared" si="10"/>
        <v>5</v>
      </c>
      <c r="W52" s="36">
        <f t="shared" si="11"/>
        <v>7</v>
      </c>
      <c r="X52" s="36">
        <f t="shared" si="12"/>
        <v>2</v>
      </c>
      <c r="Y52" s="36">
        <f t="shared" si="13"/>
        <v>5</v>
      </c>
      <c r="Z52" s="36">
        <f t="shared" si="14"/>
        <v>7</v>
      </c>
      <c r="AA52" s="36">
        <f t="shared" si="15"/>
        <v>3</v>
      </c>
      <c r="AB52" s="48">
        <f t="shared" si="16"/>
        <v>4.25</v>
      </c>
      <c r="AC52" s="87"/>
      <c r="AD52" s="87"/>
      <c r="AE52" s="87"/>
      <c r="AF52" s="87"/>
      <c r="AG52" s="87"/>
      <c r="AH52" s="87"/>
      <c r="AI52" s="87"/>
      <c r="AJ52" s="87"/>
      <c r="AK52" s="205">
        <v>9</v>
      </c>
      <c r="AL52" s="206">
        <v>8</v>
      </c>
      <c r="AM52" s="206">
        <v>9</v>
      </c>
      <c r="AN52" s="206">
        <v>7</v>
      </c>
      <c r="AO52" s="206">
        <v>9</v>
      </c>
      <c r="AP52" s="206">
        <v>9</v>
      </c>
      <c r="AQ52" s="206">
        <v>5</v>
      </c>
      <c r="AR52" s="207">
        <v>5</v>
      </c>
      <c r="AS52" s="40">
        <f t="shared" si="17"/>
        <v>3.25</v>
      </c>
      <c r="AT52" s="156">
        <f t="shared" si="18"/>
        <v>0</v>
      </c>
      <c r="AU52" s="209">
        <v>5</v>
      </c>
      <c r="AV52" s="161">
        <f t="shared" si="19"/>
        <v>0</v>
      </c>
      <c r="AW52" s="165"/>
      <c r="AX52" s="36" t="str">
        <f t="shared" si="20"/>
        <v>YA</v>
      </c>
      <c r="AY52" s="170">
        <f t="shared" si="21"/>
        <v>0.76</v>
      </c>
      <c r="AZ52" s="10"/>
      <c r="BA52" s="235">
        <v>0.25</v>
      </c>
      <c r="BB52" s="86">
        <f t="shared" si="22"/>
        <v>8</v>
      </c>
      <c r="BC52" s="225">
        <v>8</v>
      </c>
      <c r="BD52" s="37"/>
      <c r="BE52" s="86">
        <f t="shared" si="5"/>
        <v>0</v>
      </c>
      <c r="BF52" s="38"/>
      <c r="BG52" s="188"/>
      <c r="BH52" s="208"/>
      <c r="BI52" s="209"/>
      <c r="BJ52" s="86">
        <f t="shared" si="23"/>
        <v>5</v>
      </c>
      <c r="BK52" s="227">
        <v>5</v>
      </c>
      <c r="BL52" s="178"/>
      <c r="BM52" s="91"/>
      <c r="BN52" s="91"/>
      <c r="BO52" s="91"/>
      <c r="BP52" s="91"/>
      <c r="BQ52" s="91"/>
      <c r="BR52" s="91"/>
      <c r="BS52" s="91"/>
      <c r="BT52" s="91"/>
      <c r="BU52" s="91"/>
      <c r="BV52" s="39"/>
    </row>
    <row r="53" spans="2:74" x14ac:dyDescent="0.25">
      <c r="B53" s="136">
        <v>40</v>
      </c>
      <c r="C53" s="194" t="s">
        <v>335</v>
      </c>
      <c r="D53" s="198" t="s">
        <v>349</v>
      </c>
      <c r="E53" s="195" t="s">
        <v>350</v>
      </c>
      <c r="F53" s="131"/>
      <c r="G53" s="199" t="s">
        <v>195</v>
      </c>
      <c r="H53" s="200" t="s">
        <v>94</v>
      </c>
      <c r="I53" s="201" t="str">
        <f t="shared" si="0"/>
        <v>R</v>
      </c>
      <c r="J53" s="202">
        <v>3</v>
      </c>
      <c r="K53" s="149"/>
      <c r="L53" s="203">
        <v>0</v>
      </c>
      <c r="M53" s="88"/>
      <c r="N53" s="40">
        <f t="shared" si="1"/>
        <v>16.947916666666671</v>
      </c>
      <c r="O53" s="58">
        <f t="shared" si="6"/>
        <v>9.1666666666666696</v>
      </c>
      <c r="P53" s="82">
        <f t="shared" si="7"/>
        <v>49.999999999999822</v>
      </c>
      <c r="Q53" s="229">
        <v>0.35416666666666657</v>
      </c>
      <c r="R53" s="127"/>
      <c r="S53" s="103">
        <f t="shared" si="2"/>
        <v>0</v>
      </c>
      <c r="T53" s="49">
        <f t="shared" si="8"/>
        <v>4.53125</v>
      </c>
      <c r="U53" s="36">
        <f t="shared" si="9"/>
        <v>3</v>
      </c>
      <c r="V53" s="36">
        <f t="shared" si="10"/>
        <v>5</v>
      </c>
      <c r="W53" s="36">
        <f t="shared" si="11"/>
        <v>7</v>
      </c>
      <c r="X53" s="36">
        <f t="shared" si="12"/>
        <v>2</v>
      </c>
      <c r="Y53" s="36">
        <f t="shared" si="13"/>
        <v>5</v>
      </c>
      <c r="Z53" s="36">
        <f t="shared" si="14"/>
        <v>7</v>
      </c>
      <c r="AA53" s="36">
        <f t="shared" si="15"/>
        <v>3</v>
      </c>
      <c r="AB53" s="48">
        <f t="shared" si="16"/>
        <v>4.25</v>
      </c>
      <c r="AC53" s="87"/>
      <c r="AD53" s="87"/>
      <c r="AE53" s="87"/>
      <c r="AF53" s="87"/>
      <c r="AG53" s="87"/>
      <c r="AH53" s="87"/>
      <c r="AI53" s="87"/>
      <c r="AJ53" s="87"/>
      <c r="AK53" s="205">
        <v>9</v>
      </c>
      <c r="AL53" s="206">
        <v>8</v>
      </c>
      <c r="AM53" s="206">
        <v>9</v>
      </c>
      <c r="AN53" s="206">
        <v>7</v>
      </c>
      <c r="AO53" s="206">
        <v>9</v>
      </c>
      <c r="AP53" s="206">
        <v>9</v>
      </c>
      <c r="AQ53" s="206">
        <v>5</v>
      </c>
      <c r="AR53" s="207">
        <v>5</v>
      </c>
      <c r="AS53" s="40">
        <f t="shared" si="17"/>
        <v>3.25</v>
      </c>
      <c r="AT53" s="156">
        <f t="shared" si="18"/>
        <v>0</v>
      </c>
      <c r="AU53" s="209">
        <v>5</v>
      </c>
      <c r="AV53" s="161">
        <f t="shared" si="19"/>
        <v>0</v>
      </c>
      <c r="AW53" s="165"/>
      <c r="AX53" s="36" t="str">
        <f t="shared" si="20"/>
        <v>YA</v>
      </c>
      <c r="AY53" s="170">
        <f t="shared" si="21"/>
        <v>0.76</v>
      </c>
      <c r="AZ53" s="10"/>
      <c r="BA53" s="235">
        <v>0.25</v>
      </c>
      <c r="BB53" s="86">
        <f t="shared" si="22"/>
        <v>8</v>
      </c>
      <c r="BC53" s="225">
        <v>8</v>
      </c>
      <c r="BD53" s="37"/>
      <c r="BE53" s="86">
        <f t="shared" si="5"/>
        <v>0</v>
      </c>
      <c r="BF53" s="38"/>
      <c r="BG53" s="188"/>
      <c r="BH53" s="208"/>
      <c r="BI53" s="209"/>
      <c r="BJ53" s="86">
        <f t="shared" si="23"/>
        <v>5</v>
      </c>
      <c r="BK53" s="227">
        <v>5</v>
      </c>
      <c r="BL53" s="178"/>
      <c r="BM53" s="91"/>
      <c r="BN53" s="91"/>
      <c r="BO53" s="91"/>
      <c r="BP53" s="91"/>
      <c r="BQ53" s="91"/>
      <c r="BR53" s="91"/>
      <c r="BS53" s="91"/>
      <c r="BT53" s="91"/>
      <c r="BU53" s="91"/>
      <c r="BV53" s="39"/>
    </row>
    <row r="54" spans="2:74" ht="30" x14ac:dyDescent="0.25">
      <c r="B54" s="136">
        <v>41</v>
      </c>
      <c r="C54" s="194" t="s">
        <v>351</v>
      </c>
      <c r="D54" s="198" t="s">
        <v>352</v>
      </c>
      <c r="E54" s="195" t="s">
        <v>353</v>
      </c>
      <c r="F54" s="131"/>
      <c r="G54" s="199" t="s">
        <v>195</v>
      </c>
      <c r="H54" s="200" t="s">
        <v>94</v>
      </c>
      <c r="I54" s="201" t="str">
        <f t="shared" si="0"/>
        <v>R</v>
      </c>
      <c r="J54" s="202">
        <v>3</v>
      </c>
      <c r="K54" s="149"/>
      <c r="L54" s="203">
        <v>0</v>
      </c>
      <c r="M54" s="88"/>
      <c r="N54" s="40">
        <f t="shared" si="1"/>
        <v>16.864583333333336</v>
      </c>
      <c r="O54" s="58">
        <f t="shared" si="6"/>
        <v>9.0833333333333375</v>
      </c>
      <c r="P54" s="82">
        <f t="shared" si="7"/>
        <v>54.999999999999801</v>
      </c>
      <c r="Q54" s="229">
        <v>0.35763888888888878</v>
      </c>
      <c r="R54" s="127"/>
      <c r="S54" s="103">
        <f t="shared" si="2"/>
        <v>0</v>
      </c>
      <c r="T54" s="49">
        <f t="shared" si="8"/>
        <v>4.53125</v>
      </c>
      <c r="U54" s="36">
        <f t="shared" si="9"/>
        <v>3</v>
      </c>
      <c r="V54" s="36">
        <f t="shared" si="10"/>
        <v>5</v>
      </c>
      <c r="W54" s="36">
        <f t="shared" si="11"/>
        <v>7</v>
      </c>
      <c r="X54" s="36">
        <f t="shared" si="12"/>
        <v>2</v>
      </c>
      <c r="Y54" s="36">
        <f t="shared" si="13"/>
        <v>5</v>
      </c>
      <c r="Z54" s="36">
        <f t="shared" si="14"/>
        <v>7</v>
      </c>
      <c r="AA54" s="36">
        <f t="shared" si="15"/>
        <v>3</v>
      </c>
      <c r="AB54" s="48">
        <f t="shared" si="16"/>
        <v>4.25</v>
      </c>
      <c r="AC54" s="87"/>
      <c r="AD54" s="87"/>
      <c r="AE54" s="87"/>
      <c r="AF54" s="87"/>
      <c r="AG54" s="87"/>
      <c r="AH54" s="87"/>
      <c r="AI54" s="87"/>
      <c r="AJ54" s="87"/>
      <c r="AK54" s="205">
        <v>9</v>
      </c>
      <c r="AL54" s="206">
        <v>8</v>
      </c>
      <c r="AM54" s="206">
        <v>9</v>
      </c>
      <c r="AN54" s="206">
        <v>7</v>
      </c>
      <c r="AO54" s="206">
        <v>9</v>
      </c>
      <c r="AP54" s="206">
        <v>9</v>
      </c>
      <c r="AQ54" s="206">
        <v>5</v>
      </c>
      <c r="AR54" s="207">
        <v>5</v>
      </c>
      <c r="AS54" s="40">
        <f t="shared" si="17"/>
        <v>3.25</v>
      </c>
      <c r="AT54" s="156">
        <f t="shared" si="18"/>
        <v>0</v>
      </c>
      <c r="AU54" s="209">
        <v>5</v>
      </c>
      <c r="AV54" s="161">
        <f t="shared" si="19"/>
        <v>0</v>
      </c>
      <c r="AW54" s="165"/>
      <c r="AX54" s="36" t="str">
        <f t="shared" si="20"/>
        <v>YA</v>
      </c>
      <c r="AY54" s="170">
        <f t="shared" si="21"/>
        <v>0.76</v>
      </c>
      <c r="AZ54" s="10"/>
      <c r="BA54" s="235">
        <v>0.25</v>
      </c>
      <c r="BB54" s="86">
        <f t="shared" si="22"/>
        <v>8</v>
      </c>
      <c r="BC54" s="225">
        <v>8</v>
      </c>
      <c r="BD54" s="37"/>
      <c r="BE54" s="86">
        <f t="shared" si="5"/>
        <v>0</v>
      </c>
      <c r="BF54" s="38"/>
      <c r="BG54" s="188"/>
      <c r="BH54" s="208"/>
      <c r="BI54" s="209"/>
      <c r="BJ54" s="86">
        <f t="shared" si="23"/>
        <v>5</v>
      </c>
      <c r="BK54" s="227">
        <v>5</v>
      </c>
      <c r="BL54" s="178"/>
      <c r="BM54" s="91"/>
      <c r="BN54" s="91"/>
      <c r="BO54" s="91"/>
      <c r="BP54" s="91"/>
      <c r="BQ54" s="91"/>
      <c r="BR54" s="91"/>
      <c r="BS54" s="91"/>
      <c r="BT54" s="91"/>
      <c r="BU54" s="91"/>
      <c r="BV54" s="39"/>
    </row>
    <row r="55" spans="2:74" x14ac:dyDescent="0.25">
      <c r="B55" s="136">
        <v>42</v>
      </c>
      <c r="C55" s="194" t="s">
        <v>354</v>
      </c>
      <c r="D55" s="138" t="s">
        <v>142</v>
      </c>
      <c r="E55" s="196" t="s">
        <v>272</v>
      </c>
      <c r="F55" s="131"/>
      <c r="G55" s="144" t="s">
        <v>195</v>
      </c>
      <c r="H55" s="145" t="s">
        <v>94</v>
      </c>
      <c r="I55" s="146" t="str">
        <f t="shared" si="0"/>
        <v>R</v>
      </c>
      <c r="J55" s="148">
        <v>3</v>
      </c>
      <c r="K55" s="149"/>
      <c r="L55" s="149">
        <v>0</v>
      </c>
      <c r="M55" s="88"/>
      <c r="N55" s="40">
        <f t="shared" si="1"/>
        <v>15.781250000000004</v>
      </c>
      <c r="O55" s="58">
        <f t="shared" si="6"/>
        <v>9.0000000000000036</v>
      </c>
      <c r="P55" s="82">
        <f t="shared" si="7"/>
        <v>59.999999999999787</v>
      </c>
      <c r="Q55" s="229">
        <v>0.36111111111111099</v>
      </c>
      <c r="R55" s="93"/>
      <c r="S55" s="103">
        <f t="shared" si="2"/>
        <v>0</v>
      </c>
      <c r="T55" s="49">
        <f t="shared" si="8"/>
        <v>3.53125</v>
      </c>
      <c r="U55" s="36">
        <f t="shared" si="9"/>
        <v>2</v>
      </c>
      <c r="V55" s="36">
        <f t="shared" si="10"/>
        <v>5</v>
      </c>
      <c r="W55" s="36">
        <f t="shared" si="11"/>
        <v>7</v>
      </c>
      <c r="X55" s="36">
        <f t="shared" si="12"/>
        <v>6</v>
      </c>
      <c r="Y55" s="36">
        <f t="shared" si="13"/>
        <v>5</v>
      </c>
      <c r="Z55" s="36">
        <f t="shared" si="14"/>
        <v>2</v>
      </c>
      <c r="AA55" s="36">
        <f t="shared" si="15"/>
        <v>0</v>
      </c>
      <c r="AB55" s="48">
        <f t="shared" si="16"/>
        <v>1.25</v>
      </c>
      <c r="AK55" s="150">
        <v>8</v>
      </c>
      <c r="AL55" s="151">
        <v>8</v>
      </c>
      <c r="AM55" s="151">
        <v>9</v>
      </c>
      <c r="AN55" s="151">
        <v>3</v>
      </c>
      <c r="AO55" s="151">
        <v>9</v>
      </c>
      <c r="AP55" s="151">
        <v>4</v>
      </c>
      <c r="AQ55" s="151">
        <v>2</v>
      </c>
      <c r="AR55" s="152">
        <v>2</v>
      </c>
      <c r="AS55" s="40">
        <f t="shared" si="17"/>
        <v>3.25</v>
      </c>
      <c r="AT55" s="156">
        <f t="shared" si="18"/>
        <v>0</v>
      </c>
      <c r="AU55" s="153">
        <v>5</v>
      </c>
      <c r="AV55" s="161">
        <f t="shared" si="19"/>
        <v>0</v>
      </c>
      <c r="AW55" s="165"/>
      <c r="AX55" s="36" t="str">
        <f t="shared" si="20"/>
        <v>YA</v>
      </c>
      <c r="AY55" s="170">
        <f t="shared" si="21"/>
        <v>0.76</v>
      </c>
      <c r="AZ55" s="10"/>
      <c r="BA55" s="155">
        <v>0.25</v>
      </c>
      <c r="BB55" s="86">
        <f t="shared" si="22"/>
        <v>8</v>
      </c>
      <c r="BC55" s="224">
        <v>8</v>
      </c>
      <c r="BD55" s="37"/>
      <c r="BE55" s="86">
        <f t="shared" si="5"/>
        <v>0</v>
      </c>
      <c r="BF55" s="38"/>
      <c r="BG55" s="188"/>
      <c r="BH55" s="154"/>
      <c r="BI55" s="153"/>
      <c r="BJ55" s="86">
        <f t="shared" si="23"/>
        <v>5</v>
      </c>
      <c r="BK55" s="226">
        <v>5</v>
      </c>
      <c r="BL55" s="178"/>
      <c r="BM55" s="91"/>
      <c r="BN55" s="91"/>
      <c r="BO55" s="91"/>
      <c r="BP55" s="91"/>
      <c r="BQ55" s="91"/>
      <c r="BR55" s="91"/>
      <c r="BS55" s="91"/>
      <c r="BT55" s="91"/>
      <c r="BU55" s="91"/>
      <c r="BV55" s="39"/>
    </row>
    <row r="56" spans="2:74" s="55" customFormat="1" x14ac:dyDescent="0.25">
      <c r="B56" s="136">
        <v>43</v>
      </c>
      <c r="C56" s="137" t="s">
        <v>89</v>
      </c>
      <c r="D56" s="138" t="s">
        <v>143</v>
      </c>
      <c r="E56" s="196" t="s">
        <v>273</v>
      </c>
      <c r="F56" s="131"/>
      <c r="G56" s="144" t="s">
        <v>320</v>
      </c>
      <c r="H56" s="145" t="s">
        <v>94</v>
      </c>
      <c r="I56" s="146" t="str">
        <f t="shared" si="0"/>
        <v>R</v>
      </c>
      <c r="J56" s="148">
        <v>3</v>
      </c>
      <c r="K56" s="149"/>
      <c r="L56" s="149">
        <v>0</v>
      </c>
      <c r="M56" s="88"/>
      <c r="N56" s="40">
        <f t="shared" si="1"/>
        <v>14.656250000000004</v>
      </c>
      <c r="O56" s="58">
        <f t="shared" si="6"/>
        <v>8.7500000000000036</v>
      </c>
      <c r="P56" s="82">
        <f t="shared" si="7"/>
        <v>74.999999999999815</v>
      </c>
      <c r="Q56" s="229">
        <v>0.37152777777777768</v>
      </c>
      <c r="R56" s="93"/>
      <c r="S56" s="103">
        <f t="shared" si="2"/>
        <v>0</v>
      </c>
      <c r="T56" s="49">
        <f t="shared" si="8"/>
        <v>2.15625</v>
      </c>
      <c r="U56" s="36">
        <f t="shared" si="9"/>
        <v>-1</v>
      </c>
      <c r="V56" s="36">
        <f t="shared" si="10"/>
        <v>2</v>
      </c>
      <c r="W56" s="36">
        <f t="shared" si="11"/>
        <v>3</v>
      </c>
      <c r="X56" s="36">
        <f t="shared" si="12"/>
        <v>3</v>
      </c>
      <c r="Y56" s="36">
        <f t="shared" si="13"/>
        <v>1</v>
      </c>
      <c r="Z56" s="36">
        <f t="shared" si="14"/>
        <v>3</v>
      </c>
      <c r="AA56" s="36">
        <f t="shared" si="15"/>
        <v>1</v>
      </c>
      <c r="AB56" s="48">
        <f t="shared" si="16"/>
        <v>5.25</v>
      </c>
      <c r="AC56" s="1"/>
      <c r="AD56" s="1"/>
      <c r="AE56" s="1"/>
      <c r="AF56" s="1"/>
      <c r="AG56" s="1"/>
      <c r="AH56" s="1"/>
      <c r="AI56" s="1"/>
      <c r="AJ56" s="1"/>
      <c r="AK56" s="150">
        <v>5</v>
      </c>
      <c r="AL56" s="151">
        <v>5</v>
      </c>
      <c r="AM56" s="151">
        <v>5</v>
      </c>
      <c r="AN56" s="151">
        <v>6</v>
      </c>
      <c r="AO56" s="151">
        <v>5</v>
      </c>
      <c r="AP56" s="151">
        <v>5</v>
      </c>
      <c r="AQ56" s="151">
        <v>3</v>
      </c>
      <c r="AR56" s="152">
        <v>6</v>
      </c>
      <c r="AS56" s="40">
        <f t="shared" si="17"/>
        <v>3.75</v>
      </c>
      <c r="AT56" s="156">
        <f t="shared" si="18"/>
        <v>0</v>
      </c>
      <c r="AU56" s="153">
        <v>7</v>
      </c>
      <c r="AV56" s="161">
        <f t="shared" si="19"/>
        <v>0</v>
      </c>
      <c r="AW56" s="165"/>
      <c r="AX56" s="36" t="str">
        <f t="shared" si="20"/>
        <v>YA</v>
      </c>
      <c r="AY56" s="170">
        <f t="shared" si="21"/>
        <v>0.26</v>
      </c>
      <c r="AZ56" s="10"/>
      <c r="BA56" s="155">
        <v>0.75</v>
      </c>
      <c r="BB56" s="86">
        <f t="shared" si="22"/>
        <v>10</v>
      </c>
      <c r="BC56" s="224">
        <v>10</v>
      </c>
      <c r="BD56" s="37"/>
      <c r="BE56" s="86">
        <f t="shared" si="5"/>
        <v>0</v>
      </c>
      <c r="BF56" s="38"/>
      <c r="BG56" s="188"/>
      <c r="BH56" s="154">
        <v>1</v>
      </c>
      <c r="BI56" s="153">
        <v>8</v>
      </c>
      <c r="BJ56" s="86">
        <f t="shared" si="23"/>
        <v>5</v>
      </c>
      <c r="BK56" s="226">
        <v>5</v>
      </c>
      <c r="BL56" s="178"/>
      <c r="BM56" s="91"/>
      <c r="BN56" s="91"/>
      <c r="BO56" s="91"/>
      <c r="BP56" s="91"/>
      <c r="BQ56" s="91"/>
      <c r="BR56" s="91"/>
      <c r="BS56" s="91"/>
      <c r="BT56" s="91"/>
      <c r="BU56" s="91"/>
      <c r="BV56" s="39"/>
    </row>
    <row r="57" spans="2:74" ht="30" x14ac:dyDescent="0.25">
      <c r="B57" s="136">
        <v>44</v>
      </c>
      <c r="C57" s="137" t="s">
        <v>88</v>
      </c>
      <c r="D57" s="138" t="s">
        <v>144</v>
      </c>
      <c r="E57" s="196" t="s">
        <v>11</v>
      </c>
      <c r="F57" s="131"/>
      <c r="G57" s="144" t="s">
        <v>195</v>
      </c>
      <c r="H57" s="145" t="s">
        <v>95</v>
      </c>
      <c r="I57" s="146" t="str">
        <f t="shared" si="0"/>
        <v>R</v>
      </c>
      <c r="J57" s="148">
        <v>-1</v>
      </c>
      <c r="K57" s="149"/>
      <c r="L57" s="149">
        <v>3</v>
      </c>
      <c r="M57" s="88"/>
      <c r="N57" s="40">
        <f t="shared" si="1"/>
        <v>12.822916666666668</v>
      </c>
      <c r="O57" s="58">
        <f t="shared" si="6"/>
        <v>8.6666666666666679</v>
      </c>
      <c r="P57" s="82">
        <f t="shared" si="7"/>
        <v>79.999999999999957</v>
      </c>
      <c r="Q57" s="229">
        <v>0.375</v>
      </c>
      <c r="R57" s="93"/>
      <c r="S57" s="103">
        <f t="shared" si="2"/>
        <v>0.99930555555555556</v>
      </c>
      <c r="T57" s="49">
        <f t="shared" si="8"/>
        <v>2.15625</v>
      </c>
      <c r="U57" s="36">
        <f t="shared" si="9"/>
        <v>0</v>
      </c>
      <c r="V57" s="36">
        <f t="shared" si="10"/>
        <v>5</v>
      </c>
      <c r="W57" s="36">
        <f t="shared" si="11"/>
        <v>6</v>
      </c>
      <c r="X57" s="36">
        <f t="shared" si="12"/>
        <v>5</v>
      </c>
      <c r="Y57" s="36">
        <f t="shared" si="13"/>
        <v>0</v>
      </c>
      <c r="Z57" s="36">
        <f t="shared" si="14"/>
        <v>0</v>
      </c>
      <c r="AA57" s="36">
        <f t="shared" si="15"/>
        <v>-1</v>
      </c>
      <c r="AB57" s="48">
        <f t="shared" si="16"/>
        <v>2.25</v>
      </c>
      <c r="AK57" s="150">
        <v>6</v>
      </c>
      <c r="AL57" s="151">
        <v>8</v>
      </c>
      <c r="AM57" s="151">
        <v>8</v>
      </c>
      <c r="AN57" s="151">
        <v>4</v>
      </c>
      <c r="AO57" s="151">
        <v>4</v>
      </c>
      <c r="AP57" s="151">
        <v>2</v>
      </c>
      <c r="AQ57" s="151">
        <v>1</v>
      </c>
      <c r="AR57" s="152">
        <v>3</v>
      </c>
      <c r="AS57" s="40">
        <f t="shared" si="17"/>
        <v>2</v>
      </c>
      <c r="AT57" s="156">
        <f t="shared" si="18"/>
        <v>0</v>
      </c>
      <c r="AU57" s="153">
        <v>8</v>
      </c>
      <c r="AV57" s="161">
        <f t="shared" si="19"/>
        <v>0</v>
      </c>
      <c r="AW57" s="165"/>
      <c r="AX57" s="36" t="str">
        <f t="shared" si="20"/>
        <v>YA</v>
      </c>
      <c r="AY57" s="170">
        <f t="shared" si="21"/>
        <v>0.76</v>
      </c>
      <c r="AZ57" s="10"/>
      <c r="BA57" s="155">
        <v>0.25</v>
      </c>
      <c r="BB57" s="86">
        <f t="shared" si="22"/>
        <v>5</v>
      </c>
      <c r="BC57" s="224">
        <v>5</v>
      </c>
      <c r="BD57" s="37"/>
      <c r="BE57" s="86">
        <f t="shared" si="5"/>
        <v>0</v>
      </c>
      <c r="BF57" s="38"/>
      <c r="BG57" s="188"/>
      <c r="BH57" s="154"/>
      <c r="BI57" s="153"/>
      <c r="BJ57" s="86">
        <f t="shared" si="23"/>
        <v>3</v>
      </c>
      <c r="BK57" s="226">
        <v>3</v>
      </c>
      <c r="BL57" s="178"/>
      <c r="BM57" s="91"/>
      <c r="BN57" s="91"/>
      <c r="BO57" s="91"/>
      <c r="BP57" s="91"/>
      <c r="BQ57" s="91"/>
      <c r="BR57" s="91"/>
      <c r="BS57" s="91"/>
      <c r="BT57" s="91"/>
      <c r="BU57" s="91"/>
      <c r="BV57" s="39"/>
    </row>
    <row r="58" spans="2:74" x14ac:dyDescent="0.25">
      <c r="B58" s="136">
        <v>45</v>
      </c>
      <c r="C58" s="194" t="s">
        <v>88</v>
      </c>
      <c r="D58" s="198" t="s">
        <v>333</v>
      </c>
      <c r="E58" s="213" t="s">
        <v>334</v>
      </c>
      <c r="F58" s="131"/>
      <c r="G58" s="199" t="s">
        <v>195</v>
      </c>
      <c r="H58" s="200" t="s">
        <v>94</v>
      </c>
      <c r="I58" s="201" t="str">
        <f t="shared" si="0"/>
        <v>R</v>
      </c>
      <c r="J58" s="202">
        <v>3</v>
      </c>
      <c r="K58" s="149"/>
      <c r="L58" s="203">
        <v>0</v>
      </c>
      <c r="M58" s="88"/>
      <c r="N58" s="40">
        <f t="shared" si="1"/>
        <v>15.947916666666668</v>
      </c>
      <c r="O58" s="58">
        <f t="shared" si="6"/>
        <v>8.1666666666666679</v>
      </c>
      <c r="P58" s="82">
        <f t="shared" si="7"/>
        <v>109.99999999999993</v>
      </c>
      <c r="Q58" s="229">
        <v>0.39583333333333331</v>
      </c>
      <c r="R58" s="127"/>
      <c r="S58" s="103">
        <f t="shared" si="2"/>
        <v>0</v>
      </c>
      <c r="T58" s="49">
        <f t="shared" si="8"/>
        <v>4.53125</v>
      </c>
      <c r="U58" s="36">
        <f t="shared" si="9"/>
        <v>3</v>
      </c>
      <c r="V58" s="36">
        <f t="shared" si="10"/>
        <v>5</v>
      </c>
      <c r="W58" s="36">
        <f t="shared" si="11"/>
        <v>7</v>
      </c>
      <c r="X58" s="36">
        <f t="shared" si="12"/>
        <v>2</v>
      </c>
      <c r="Y58" s="36">
        <f t="shared" si="13"/>
        <v>5</v>
      </c>
      <c r="Z58" s="36">
        <f t="shared" si="14"/>
        <v>7</v>
      </c>
      <c r="AA58" s="36">
        <f t="shared" si="15"/>
        <v>3</v>
      </c>
      <c r="AB58" s="48">
        <f t="shared" si="16"/>
        <v>4.25</v>
      </c>
      <c r="AC58" s="87"/>
      <c r="AD58" s="87"/>
      <c r="AE58" s="87"/>
      <c r="AF58" s="87"/>
      <c r="AG58" s="87"/>
      <c r="AH58" s="87"/>
      <c r="AI58" s="87"/>
      <c r="AJ58" s="87"/>
      <c r="AK58" s="205">
        <v>9</v>
      </c>
      <c r="AL58" s="206">
        <v>8</v>
      </c>
      <c r="AM58" s="206">
        <v>9</v>
      </c>
      <c r="AN58" s="206">
        <v>7</v>
      </c>
      <c r="AO58" s="206">
        <v>9</v>
      </c>
      <c r="AP58" s="206">
        <v>9</v>
      </c>
      <c r="AQ58" s="206">
        <v>5</v>
      </c>
      <c r="AR58" s="207">
        <v>5</v>
      </c>
      <c r="AS58" s="40">
        <f t="shared" si="17"/>
        <v>3.25</v>
      </c>
      <c r="AT58" s="156">
        <f t="shared" si="18"/>
        <v>0</v>
      </c>
      <c r="AU58" s="209">
        <v>5</v>
      </c>
      <c r="AV58" s="161">
        <f t="shared" si="19"/>
        <v>0</v>
      </c>
      <c r="AW58" s="165"/>
      <c r="AX58" s="36" t="str">
        <f t="shared" si="20"/>
        <v>YA</v>
      </c>
      <c r="AY58" s="170">
        <f t="shared" si="21"/>
        <v>0.76</v>
      </c>
      <c r="AZ58" s="10"/>
      <c r="BA58" s="235">
        <v>0.25</v>
      </c>
      <c r="BB58" s="86">
        <f t="shared" si="22"/>
        <v>8</v>
      </c>
      <c r="BC58" s="225">
        <v>8</v>
      </c>
      <c r="BD58" s="37"/>
      <c r="BE58" s="86">
        <f t="shared" si="5"/>
        <v>0</v>
      </c>
      <c r="BF58" s="38"/>
      <c r="BG58" s="188"/>
      <c r="BH58" s="208"/>
      <c r="BI58" s="209"/>
      <c r="BJ58" s="86">
        <f t="shared" si="23"/>
        <v>5</v>
      </c>
      <c r="BK58" s="227">
        <v>5</v>
      </c>
      <c r="BL58" s="178"/>
      <c r="BM58" s="91"/>
      <c r="BN58" s="91"/>
      <c r="BO58" s="91"/>
      <c r="BP58" s="91"/>
      <c r="BQ58" s="91"/>
      <c r="BR58" s="91"/>
      <c r="BS58" s="91"/>
      <c r="BT58" s="91"/>
      <c r="BU58" s="91"/>
      <c r="BV58" s="39"/>
    </row>
    <row r="59" spans="2:74" ht="30" x14ac:dyDescent="0.25">
      <c r="B59" s="136">
        <v>46</v>
      </c>
      <c r="C59" s="194" t="s">
        <v>335</v>
      </c>
      <c r="D59" s="138" t="s">
        <v>145</v>
      </c>
      <c r="E59" s="196" t="s">
        <v>274</v>
      </c>
      <c r="F59" s="131"/>
      <c r="G59" s="144" t="s">
        <v>195</v>
      </c>
      <c r="H59" s="145" t="s">
        <v>95</v>
      </c>
      <c r="I59" s="146" t="str">
        <f t="shared" si="0"/>
        <v>I</v>
      </c>
      <c r="J59" s="148">
        <v>-1</v>
      </c>
      <c r="K59" s="149"/>
      <c r="L59" s="149">
        <v>3</v>
      </c>
      <c r="M59" s="88"/>
      <c r="N59" s="40">
        <f t="shared" si="1"/>
        <v>0</v>
      </c>
      <c r="O59" s="58">
        <f t="shared" si="6"/>
        <v>8.0833333333333357</v>
      </c>
      <c r="P59" s="82">
        <f t="shared" si="7"/>
        <v>114.99999999999991</v>
      </c>
      <c r="Q59" s="229">
        <v>0.39930555555555552</v>
      </c>
      <c r="R59" s="93"/>
      <c r="S59" s="103">
        <f t="shared" si="2"/>
        <v>0.99930555555555556</v>
      </c>
      <c r="T59" s="49">
        <f t="shared" si="8"/>
        <v>2.78125</v>
      </c>
      <c r="U59" s="36">
        <f t="shared" si="9"/>
        <v>2</v>
      </c>
      <c r="V59" s="36">
        <f t="shared" si="10"/>
        <v>5</v>
      </c>
      <c r="W59" s="36">
        <f t="shared" si="11"/>
        <v>4</v>
      </c>
      <c r="X59" s="36">
        <f t="shared" si="12"/>
        <v>6</v>
      </c>
      <c r="Y59" s="36">
        <f t="shared" si="13"/>
        <v>2</v>
      </c>
      <c r="Z59" s="36">
        <f t="shared" si="14"/>
        <v>2</v>
      </c>
      <c r="AA59" s="36">
        <f t="shared" si="15"/>
        <v>0</v>
      </c>
      <c r="AB59" s="48">
        <f t="shared" si="16"/>
        <v>1.25</v>
      </c>
      <c r="AK59" s="150">
        <v>8</v>
      </c>
      <c r="AL59" s="151">
        <v>8</v>
      </c>
      <c r="AM59" s="151">
        <v>6</v>
      </c>
      <c r="AN59" s="151">
        <v>3</v>
      </c>
      <c r="AO59" s="151">
        <v>6</v>
      </c>
      <c r="AP59" s="151">
        <v>4</v>
      </c>
      <c r="AQ59" s="151">
        <v>2</v>
      </c>
      <c r="AR59" s="152">
        <v>2</v>
      </c>
      <c r="AS59" s="40">
        <f t="shared" si="17"/>
        <v>2</v>
      </c>
      <c r="AT59" s="156">
        <f t="shared" si="18"/>
        <v>0</v>
      </c>
      <c r="AU59" s="153">
        <v>5</v>
      </c>
      <c r="AV59" s="161">
        <f t="shared" si="19"/>
        <v>0</v>
      </c>
      <c r="AW59" s="165"/>
      <c r="AX59" s="36" t="str">
        <f t="shared" si="20"/>
        <v>YA</v>
      </c>
      <c r="AY59" s="170">
        <f t="shared" si="21"/>
        <v>0.51</v>
      </c>
      <c r="AZ59" s="10"/>
      <c r="BA59" s="155">
        <v>0.5</v>
      </c>
      <c r="BB59" s="86">
        <f t="shared" si="22"/>
        <v>3</v>
      </c>
      <c r="BC59" s="224">
        <v>3</v>
      </c>
      <c r="BD59" s="37"/>
      <c r="BE59" s="86">
        <f t="shared" si="5"/>
        <v>0</v>
      </c>
      <c r="BF59" s="38"/>
      <c r="BG59" s="188"/>
      <c r="BH59" s="154"/>
      <c r="BI59" s="153"/>
      <c r="BJ59" s="86">
        <f t="shared" si="23"/>
        <v>5</v>
      </c>
      <c r="BK59" s="226">
        <v>5</v>
      </c>
      <c r="BL59" s="178"/>
      <c r="BM59" s="91"/>
      <c r="BN59" s="91"/>
      <c r="BO59" s="91"/>
      <c r="BP59" s="91"/>
      <c r="BQ59" s="91"/>
      <c r="BR59" s="91"/>
      <c r="BS59" s="91"/>
      <c r="BT59" s="91"/>
      <c r="BU59" s="91"/>
      <c r="BV59" s="39"/>
    </row>
    <row r="60" spans="2:74" ht="30" x14ac:dyDescent="0.25">
      <c r="B60" s="136">
        <v>47</v>
      </c>
      <c r="C60" s="140" t="s">
        <v>89</v>
      </c>
      <c r="D60" s="138" t="s">
        <v>146</v>
      </c>
      <c r="E60" s="196" t="s">
        <v>275</v>
      </c>
      <c r="F60" s="131"/>
      <c r="G60" s="144" t="s">
        <v>196</v>
      </c>
      <c r="H60" s="145" t="s">
        <v>95</v>
      </c>
      <c r="I60" s="146" t="str">
        <f t="shared" si="0"/>
        <v>R</v>
      </c>
      <c r="J60" s="148">
        <v>-1</v>
      </c>
      <c r="K60" s="149"/>
      <c r="L60" s="149">
        <v>4</v>
      </c>
      <c r="M60" s="88"/>
      <c r="N60" s="40">
        <f t="shared" si="1"/>
        <v>13.572916666666668</v>
      </c>
      <c r="O60" s="58">
        <f t="shared" si="6"/>
        <v>8.6666666666666679</v>
      </c>
      <c r="P60" s="82">
        <f t="shared" si="7"/>
        <v>79.999999999999957</v>
      </c>
      <c r="Q60" s="230">
        <v>0.375</v>
      </c>
      <c r="R60" s="96"/>
      <c r="S60" s="103">
        <f t="shared" si="2"/>
        <v>7</v>
      </c>
      <c r="T60" s="49">
        <f t="shared" si="8"/>
        <v>2.15625</v>
      </c>
      <c r="U60" s="36">
        <f t="shared" si="9"/>
        <v>-1</v>
      </c>
      <c r="V60" s="36">
        <f t="shared" si="10"/>
        <v>2</v>
      </c>
      <c r="W60" s="36">
        <f t="shared" si="11"/>
        <v>3</v>
      </c>
      <c r="X60" s="36">
        <f t="shared" si="12"/>
        <v>3</v>
      </c>
      <c r="Y60" s="36">
        <f t="shared" si="13"/>
        <v>1</v>
      </c>
      <c r="Z60" s="36">
        <f t="shared" si="14"/>
        <v>3</v>
      </c>
      <c r="AA60" s="36">
        <f t="shared" si="15"/>
        <v>1</v>
      </c>
      <c r="AB60" s="48">
        <f t="shared" si="16"/>
        <v>5.25</v>
      </c>
      <c r="AK60" s="150">
        <v>5</v>
      </c>
      <c r="AL60" s="151">
        <v>5</v>
      </c>
      <c r="AM60" s="151">
        <v>5</v>
      </c>
      <c r="AN60" s="151">
        <v>6</v>
      </c>
      <c r="AO60" s="151">
        <v>5</v>
      </c>
      <c r="AP60" s="151">
        <v>5</v>
      </c>
      <c r="AQ60" s="151">
        <v>3</v>
      </c>
      <c r="AR60" s="152">
        <v>6</v>
      </c>
      <c r="AS60" s="40">
        <f t="shared" si="17"/>
        <v>2.75</v>
      </c>
      <c r="AT60" s="156">
        <f t="shared" si="18"/>
        <v>0</v>
      </c>
      <c r="AU60" s="153">
        <v>8</v>
      </c>
      <c r="AV60" s="161">
        <f t="shared" si="19"/>
        <v>0</v>
      </c>
      <c r="AW60" s="165"/>
      <c r="AX60" s="36" t="str">
        <f t="shared" si="20"/>
        <v>YA</v>
      </c>
      <c r="AY60" s="170">
        <f t="shared" si="21"/>
        <v>0.76</v>
      </c>
      <c r="AZ60" s="10"/>
      <c r="BA60" s="155">
        <v>0.25</v>
      </c>
      <c r="BB60" s="86">
        <f t="shared" si="22"/>
        <v>8</v>
      </c>
      <c r="BC60" s="224">
        <v>8</v>
      </c>
      <c r="BD60" s="37"/>
      <c r="BE60" s="86">
        <f t="shared" si="5"/>
        <v>0</v>
      </c>
      <c r="BF60" s="38"/>
      <c r="BG60" s="188"/>
      <c r="BH60" s="154"/>
      <c r="BI60" s="153"/>
      <c r="BJ60" s="86">
        <f t="shared" si="23"/>
        <v>3</v>
      </c>
      <c r="BK60" s="226">
        <v>3</v>
      </c>
      <c r="BL60" s="178"/>
      <c r="BM60" s="91"/>
      <c r="BN60" s="91"/>
      <c r="BO60" s="91"/>
      <c r="BP60" s="91"/>
      <c r="BQ60" s="91"/>
      <c r="BR60" s="91"/>
      <c r="BS60" s="91"/>
      <c r="BT60" s="91"/>
      <c r="BU60" s="91"/>
      <c r="BV60" s="39"/>
    </row>
    <row r="61" spans="2:74" x14ac:dyDescent="0.25">
      <c r="B61" s="136">
        <v>48</v>
      </c>
      <c r="C61" s="140" t="s">
        <v>88</v>
      </c>
      <c r="D61" s="138" t="s">
        <v>147</v>
      </c>
      <c r="E61" s="196" t="s">
        <v>277</v>
      </c>
      <c r="F61" s="131"/>
      <c r="G61" s="144" t="s">
        <v>195</v>
      </c>
      <c r="H61" s="145" t="s">
        <v>94</v>
      </c>
      <c r="I61" s="146" t="str">
        <f t="shared" si="0"/>
        <v>R</v>
      </c>
      <c r="J61" s="148">
        <v>1</v>
      </c>
      <c r="K61" s="149"/>
      <c r="L61" s="149">
        <v>2</v>
      </c>
      <c r="M61" s="88"/>
      <c r="N61" s="40">
        <f t="shared" si="1"/>
        <v>14.197916666666668</v>
      </c>
      <c r="O61" s="58">
        <f t="shared" si="6"/>
        <v>8.1666666666666679</v>
      </c>
      <c r="P61" s="58">
        <f t="shared" si="7"/>
        <v>109.99999999999993</v>
      </c>
      <c r="Q61" s="204">
        <v>0.39583333333333331</v>
      </c>
      <c r="R61" s="92"/>
      <c r="S61" s="103">
        <f t="shared" si="2"/>
        <v>0.5</v>
      </c>
      <c r="T61" s="49">
        <f t="shared" si="8"/>
        <v>2.78125</v>
      </c>
      <c r="U61" s="36">
        <f t="shared" si="9"/>
        <v>4</v>
      </c>
      <c r="V61" s="36">
        <f t="shared" si="10"/>
        <v>5</v>
      </c>
      <c r="W61" s="36">
        <f t="shared" si="11"/>
        <v>6</v>
      </c>
      <c r="X61" s="36">
        <f t="shared" si="12"/>
        <v>3</v>
      </c>
      <c r="Y61" s="36">
        <f t="shared" si="13"/>
        <v>0</v>
      </c>
      <c r="Z61" s="36">
        <f t="shared" si="14"/>
        <v>1</v>
      </c>
      <c r="AA61" s="36">
        <f t="shared" si="15"/>
        <v>1</v>
      </c>
      <c r="AB61" s="48">
        <f t="shared" si="16"/>
        <v>2.25</v>
      </c>
      <c r="AK61" s="150">
        <v>10</v>
      </c>
      <c r="AL61" s="151">
        <v>8</v>
      </c>
      <c r="AM61" s="151">
        <v>8</v>
      </c>
      <c r="AN61" s="151">
        <v>6</v>
      </c>
      <c r="AO61" s="151">
        <v>4</v>
      </c>
      <c r="AP61" s="151">
        <v>3</v>
      </c>
      <c r="AQ61" s="151">
        <v>3</v>
      </c>
      <c r="AR61" s="152">
        <v>3</v>
      </c>
      <c r="AS61" s="40">
        <f t="shared" si="17"/>
        <v>3.25</v>
      </c>
      <c r="AT61" s="156">
        <f t="shared" si="18"/>
        <v>0</v>
      </c>
      <c r="AU61" s="153">
        <v>5</v>
      </c>
      <c r="AV61" s="161">
        <f t="shared" si="19"/>
        <v>0</v>
      </c>
      <c r="AW61" s="165"/>
      <c r="AX61" s="36" t="str">
        <f t="shared" si="20"/>
        <v>YA</v>
      </c>
      <c r="AY61" s="170">
        <f t="shared" si="21"/>
        <v>0.26</v>
      </c>
      <c r="AZ61" s="10"/>
      <c r="BA61" s="155">
        <v>0.75</v>
      </c>
      <c r="BB61" s="86">
        <f t="shared" si="22"/>
        <v>8</v>
      </c>
      <c r="BC61" s="224">
        <v>8</v>
      </c>
      <c r="BD61" s="37"/>
      <c r="BE61" s="86">
        <f t="shared" si="5"/>
        <v>0</v>
      </c>
      <c r="BF61" s="38"/>
      <c r="BG61" s="188"/>
      <c r="BH61" s="154">
        <v>1</v>
      </c>
      <c r="BI61" s="153">
        <v>5</v>
      </c>
      <c r="BJ61" s="86">
        <f t="shared" si="23"/>
        <v>5</v>
      </c>
      <c r="BK61" s="226">
        <v>5</v>
      </c>
      <c r="BL61" s="178"/>
      <c r="BM61" s="91"/>
      <c r="BN61" s="91"/>
      <c r="BO61" s="91"/>
      <c r="BP61" s="91"/>
      <c r="BQ61" s="91"/>
      <c r="BR61" s="91"/>
      <c r="BS61" s="91"/>
      <c r="BT61" s="91"/>
      <c r="BU61" s="91"/>
      <c r="BV61" s="39"/>
    </row>
    <row r="62" spans="2:74" x14ac:dyDescent="0.25">
      <c r="B62" s="136">
        <v>49</v>
      </c>
      <c r="C62" s="140" t="s">
        <v>88</v>
      </c>
      <c r="D62" s="138" t="s">
        <v>148</v>
      </c>
      <c r="E62" s="196" t="s">
        <v>276</v>
      </c>
      <c r="F62" s="132"/>
      <c r="G62" s="144" t="s">
        <v>195</v>
      </c>
      <c r="H62" s="145" t="s">
        <v>94</v>
      </c>
      <c r="I62" s="146" t="str">
        <f t="shared" si="0"/>
        <v>R</v>
      </c>
      <c r="J62" s="148">
        <v>1</v>
      </c>
      <c r="K62" s="149"/>
      <c r="L62" s="149">
        <v>2</v>
      </c>
      <c r="N62" s="40">
        <f t="shared" si="1"/>
        <v>14.564583333333335</v>
      </c>
      <c r="O62" s="58">
        <f t="shared" si="6"/>
        <v>8.033333333333335</v>
      </c>
      <c r="P62" s="58">
        <f t="shared" si="7"/>
        <v>117.9999999999999</v>
      </c>
      <c r="Q62" s="231">
        <v>0.40138888888888885</v>
      </c>
      <c r="R62" s="94"/>
      <c r="S62" s="103">
        <f t="shared" si="2"/>
        <v>0.5</v>
      </c>
      <c r="T62" s="49">
        <f t="shared" si="8"/>
        <v>2.78125</v>
      </c>
      <c r="U62" s="36">
        <f t="shared" si="9"/>
        <v>4</v>
      </c>
      <c r="V62" s="36">
        <f t="shared" si="10"/>
        <v>5</v>
      </c>
      <c r="W62" s="36">
        <f t="shared" si="11"/>
        <v>6</v>
      </c>
      <c r="X62" s="36">
        <f t="shared" si="12"/>
        <v>3</v>
      </c>
      <c r="Y62" s="36">
        <f t="shared" si="13"/>
        <v>0</v>
      </c>
      <c r="Z62" s="36">
        <f t="shared" si="14"/>
        <v>1</v>
      </c>
      <c r="AA62" s="36">
        <f t="shared" si="15"/>
        <v>1</v>
      </c>
      <c r="AB62" s="48">
        <f t="shared" si="16"/>
        <v>2.25</v>
      </c>
      <c r="AK62" s="150">
        <v>10</v>
      </c>
      <c r="AL62" s="151">
        <v>8</v>
      </c>
      <c r="AM62" s="151">
        <v>8</v>
      </c>
      <c r="AN62" s="151">
        <v>6</v>
      </c>
      <c r="AO62" s="151">
        <v>4</v>
      </c>
      <c r="AP62" s="151">
        <v>3</v>
      </c>
      <c r="AQ62" s="151">
        <v>3</v>
      </c>
      <c r="AR62" s="152">
        <v>3</v>
      </c>
      <c r="AS62" s="40">
        <f t="shared" si="17"/>
        <v>3.75</v>
      </c>
      <c r="AT62" s="156">
        <f t="shared" si="18"/>
        <v>0</v>
      </c>
      <c r="AU62" s="153">
        <v>5</v>
      </c>
      <c r="AV62" s="163">
        <f t="shared" si="19"/>
        <v>0</v>
      </c>
      <c r="AW62" s="165"/>
      <c r="AX62" s="36" t="str">
        <f t="shared" si="20"/>
        <v>YA</v>
      </c>
      <c r="AY62" s="170">
        <f t="shared" si="21"/>
        <v>0.26</v>
      </c>
      <c r="AZ62" s="10"/>
      <c r="BA62" s="155">
        <v>0.75</v>
      </c>
      <c r="BB62" s="86">
        <f t="shared" si="22"/>
        <v>10</v>
      </c>
      <c r="BC62" s="224">
        <v>10</v>
      </c>
      <c r="BD62" s="37"/>
      <c r="BE62" s="86">
        <f t="shared" si="5"/>
        <v>0</v>
      </c>
      <c r="BF62" s="38"/>
      <c r="BG62" s="192"/>
      <c r="BH62" s="154">
        <v>1</v>
      </c>
      <c r="BI62" s="153">
        <v>5</v>
      </c>
      <c r="BJ62" s="86">
        <f t="shared" si="23"/>
        <v>5</v>
      </c>
      <c r="BK62" s="226">
        <v>5</v>
      </c>
      <c r="BL62" s="178"/>
      <c r="BM62" s="91"/>
      <c r="BN62" s="91"/>
      <c r="BO62" s="91"/>
      <c r="BP62" s="91"/>
      <c r="BQ62" s="91"/>
      <c r="BR62" s="91"/>
      <c r="BS62" s="91"/>
      <c r="BT62" s="91"/>
      <c r="BU62" s="91"/>
      <c r="BV62" s="39"/>
    </row>
    <row r="63" spans="2:74" x14ac:dyDescent="0.25">
      <c r="B63" s="136">
        <v>50</v>
      </c>
      <c r="C63" s="140" t="s">
        <v>88</v>
      </c>
      <c r="D63" s="138" t="s">
        <v>149</v>
      </c>
      <c r="E63" s="196" t="s">
        <v>328</v>
      </c>
      <c r="F63" s="129"/>
      <c r="G63" s="144" t="s">
        <v>195</v>
      </c>
      <c r="H63" s="145" t="s">
        <v>94</v>
      </c>
      <c r="I63" s="146" t="str">
        <f t="shared" si="0"/>
        <v>R</v>
      </c>
      <c r="J63" s="148">
        <v>1</v>
      </c>
      <c r="K63" s="149"/>
      <c r="L63" s="149">
        <v>2</v>
      </c>
      <c r="M63" s="88"/>
      <c r="N63" s="40">
        <f t="shared" si="1"/>
        <v>14.397916666666669</v>
      </c>
      <c r="O63" s="58">
        <f t="shared" si="6"/>
        <v>7.8666666666666689</v>
      </c>
      <c r="P63" s="58">
        <f t="shared" si="7"/>
        <v>127.99999999999986</v>
      </c>
      <c r="Q63" s="204">
        <v>0.40833333333333327</v>
      </c>
      <c r="R63" s="92"/>
      <c r="S63" s="103">
        <f t="shared" si="2"/>
        <v>0.5</v>
      </c>
      <c r="T63" s="49">
        <f t="shared" si="8"/>
        <v>2.78125</v>
      </c>
      <c r="U63" s="36">
        <f t="shared" si="9"/>
        <v>4</v>
      </c>
      <c r="V63" s="36">
        <f t="shared" si="10"/>
        <v>5</v>
      </c>
      <c r="W63" s="36">
        <f t="shared" si="11"/>
        <v>6</v>
      </c>
      <c r="X63" s="36">
        <f t="shared" si="12"/>
        <v>3</v>
      </c>
      <c r="Y63" s="36">
        <f t="shared" si="13"/>
        <v>0</v>
      </c>
      <c r="Z63" s="36">
        <f t="shared" si="14"/>
        <v>1</v>
      </c>
      <c r="AA63" s="36">
        <f t="shared" si="15"/>
        <v>1</v>
      </c>
      <c r="AB63" s="48">
        <f t="shared" si="16"/>
        <v>2.25</v>
      </c>
      <c r="AK63" s="150">
        <v>10</v>
      </c>
      <c r="AL63" s="151">
        <v>8</v>
      </c>
      <c r="AM63" s="151">
        <v>8</v>
      </c>
      <c r="AN63" s="151">
        <v>6</v>
      </c>
      <c r="AO63" s="151">
        <v>4</v>
      </c>
      <c r="AP63" s="151">
        <v>3</v>
      </c>
      <c r="AQ63" s="151">
        <v>3</v>
      </c>
      <c r="AR63" s="152">
        <v>3</v>
      </c>
      <c r="AS63" s="40">
        <f t="shared" si="17"/>
        <v>3.75</v>
      </c>
      <c r="AT63" s="156">
        <f t="shared" si="18"/>
        <v>0</v>
      </c>
      <c r="AU63" s="153">
        <v>5</v>
      </c>
      <c r="AV63" s="161">
        <f t="shared" si="19"/>
        <v>0</v>
      </c>
      <c r="AW63" s="165"/>
      <c r="AX63" s="36" t="str">
        <f t="shared" si="20"/>
        <v>YA</v>
      </c>
      <c r="AY63" s="170">
        <f t="shared" si="21"/>
        <v>0.26</v>
      </c>
      <c r="AZ63" s="10"/>
      <c r="BA63" s="155">
        <v>0.75</v>
      </c>
      <c r="BB63" s="86">
        <f t="shared" si="22"/>
        <v>10</v>
      </c>
      <c r="BC63" s="224">
        <v>10</v>
      </c>
      <c r="BD63" s="37"/>
      <c r="BE63" s="86">
        <f t="shared" si="5"/>
        <v>0</v>
      </c>
      <c r="BF63" s="38"/>
      <c r="BG63" s="188"/>
      <c r="BH63" s="154">
        <v>1</v>
      </c>
      <c r="BI63" s="153">
        <v>5</v>
      </c>
      <c r="BJ63" s="86">
        <f t="shared" si="23"/>
        <v>5</v>
      </c>
      <c r="BK63" s="226">
        <v>5</v>
      </c>
      <c r="BL63" s="178"/>
      <c r="BM63" s="91"/>
      <c r="BN63" s="91"/>
      <c r="BO63" s="91"/>
      <c r="BP63" s="91"/>
      <c r="BQ63" s="91"/>
      <c r="BR63" s="91"/>
      <c r="BS63" s="91"/>
      <c r="BT63" s="91"/>
      <c r="BU63" s="91"/>
      <c r="BV63" s="39"/>
    </row>
    <row r="64" spans="2:74" x14ac:dyDescent="0.25">
      <c r="B64" s="136">
        <v>51</v>
      </c>
      <c r="C64" s="140" t="s">
        <v>88</v>
      </c>
      <c r="D64" s="138" t="s">
        <v>150</v>
      </c>
      <c r="E64" s="196" t="s">
        <v>278</v>
      </c>
      <c r="F64" s="131"/>
      <c r="G64" s="144" t="s">
        <v>195</v>
      </c>
      <c r="H64" s="145" t="s">
        <v>94</v>
      </c>
      <c r="I64" s="146" t="str">
        <f t="shared" si="0"/>
        <v>R</v>
      </c>
      <c r="J64" s="148">
        <v>1</v>
      </c>
      <c r="K64" s="149"/>
      <c r="L64" s="149">
        <v>2</v>
      </c>
      <c r="M64" s="88"/>
      <c r="N64" s="40">
        <f t="shared" si="1"/>
        <v>13.231250000000003</v>
      </c>
      <c r="O64" s="58">
        <f t="shared" si="6"/>
        <v>7.7000000000000028</v>
      </c>
      <c r="P64" s="58">
        <f t="shared" si="7"/>
        <v>137.99999999999983</v>
      </c>
      <c r="Q64" s="231">
        <v>0.41527777777777769</v>
      </c>
      <c r="R64" s="94"/>
      <c r="S64" s="103">
        <f t="shared" si="2"/>
        <v>0.5</v>
      </c>
      <c r="T64" s="49">
        <f t="shared" si="8"/>
        <v>2.78125</v>
      </c>
      <c r="U64" s="36">
        <f t="shared" si="9"/>
        <v>4</v>
      </c>
      <c r="V64" s="36">
        <f t="shared" si="10"/>
        <v>5</v>
      </c>
      <c r="W64" s="36">
        <f t="shared" si="11"/>
        <v>6</v>
      </c>
      <c r="X64" s="36">
        <f t="shared" si="12"/>
        <v>3</v>
      </c>
      <c r="Y64" s="36">
        <f t="shared" si="13"/>
        <v>0</v>
      </c>
      <c r="Z64" s="36">
        <f t="shared" si="14"/>
        <v>1</v>
      </c>
      <c r="AA64" s="36">
        <f t="shared" si="15"/>
        <v>1</v>
      </c>
      <c r="AB64" s="48">
        <f t="shared" si="16"/>
        <v>2.25</v>
      </c>
      <c r="AK64" s="150">
        <v>10</v>
      </c>
      <c r="AL64" s="151">
        <v>8</v>
      </c>
      <c r="AM64" s="151">
        <v>8</v>
      </c>
      <c r="AN64" s="151">
        <v>6</v>
      </c>
      <c r="AO64" s="151">
        <v>4</v>
      </c>
      <c r="AP64" s="151">
        <v>3</v>
      </c>
      <c r="AQ64" s="151">
        <v>3</v>
      </c>
      <c r="AR64" s="152">
        <v>3</v>
      </c>
      <c r="AS64" s="40">
        <f t="shared" si="17"/>
        <v>2.75</v>
      </c>
      <c r="AT64" s="156">
        <f t="shared" si="18"/>
        <v>0</v>
      </c>
      <c r="AU64" s="153">
        <v>5</v>
      </c>
      <c r="AV64" s="161">
        <f t="shared" si="19"/>
        <v>0</v>
      </c>
      <c r="AW64" s="165"/>
      <c r="AX64" s="36" t="str">
        <f t="shared" si="20"/>
        <v>YA</v>
      </c>
      <c r="AY64" s="170">
        <f t="shared" si="21"/>
        <v>0.26</v>
      </c>
      <c r="AZ64" s="10"/>
      <c r="BA64" s="155">
        <v>0.75</v>
      </c>
      <c r="BB64" s="86">
        <f t="shared" si="22"/>
        <v>6</v>
      </c>
      <c r="BC64" s="224">
        <v>6</v>
      </c>
      <c r="BD64" s="37"/>
      <c r="BE64" s="86">
        <f t="shared" si="5"/>
        <v>0</v>
      </c>
      <c r="BF64" s="38"/>
      <c r="BG64" s="188"/>
      <c r="BH64" s="154">
        <v>1</v>
      </c>
      <c r="BI64" s="153">
        <v>5</v>
      </c>
      <c r="BJ64" s="86">
        <f t="shared" si="23"/>
        <v>5</v>
      </c>
      <c r="BK64" s="226">
        <v>5</v>
      </c>
      <c r="BL64" s="178"/>
      <c r="BM64" s="91"/>
      <c r="BN64" s="91"/>
      <c r="BO64" s="91"/>
      <c r="BP64" s="91"/>
      <c r="BQ64" s="91"/>
      <c r="BR64" s="91"/>
      <c r="BS64" s="91"/>
      <c r="BT64" s="91"/>
      <c r="BU64" s="91"/>
      <c r="BV64" s="39"/>
    </row>
    <row r="65" spans="2:74" x14ac:dyDescent="0.25">
      <c r="B65" s="136">
        <v>52</v>
      </c>
      <c r="C65" s="142" t="s">
        <v>279</v>
      </c>
      <c r="D65" s="138" t="s">
        <v>151</v>
      </c>
      <c r="E65" s="196" t="s">
        <v>16</v>
      </c>
      <c r="F65" s="131"/>
      <c r="G65" s="144" t="s">
        <v>195</v>
      </c>
      <c r="H65" s="145" t="s">
        <v>95</v>
      </c>
      <c r="I65" s="146" t="str">
        <f t="shared" si="0"/>
        <v>R</v>
      </c>
      <c r="J65" s="148">
        <v>2</v>
      </c>
      <c r="K65" s="149"/>
      <c r="L65" s="149">
        <v>1</v>
      </c>
      <c r="M65" s="88"/>
      <c r="N65" s="40">
        <f t="shared" si="1"/>
        <v>15.197916666666668</v>
      </c>
      <c r="O65" s="58">
        <f t="shared" si="6"/>
        <v>7.666666666666667</v>
      </c>
      <c r="P65" s="58">
        <f t="shared" si="7"/>
        <v>139.99999999999997</v>
      </c>
      <c r="Q65" s="204">
        <v>0.41666666666666669</v>
      </c>
      <c r="R65" s="92"/>
      <c r="S65" s="105">
        <f t="shared" si="2"/>
        <v>0.25</v>
      </c>
      <c r="T65" s="49">
        <f t="shared" si="8"/>
        <v>4.53125</v>
      </c>
      <c r="U65" s="36">
        <f t="shared" si="9"/>
        <v>3</v>
      </c>
      <c r="V65" s="36">
        <f t="shared" si="10"/>
        <v>5</v>
      </c>
      <c r="W65" s="36">
        <f t="shared" si="11"/>
        <v>7</v>
      </c>
      <c r="X65" s="36">
        <f t="shared" si="12"/>
        <v>2</v>
      </c>
      <c r="Y65" s="36">
        <f t="shared" si="13"/>
        <v>5</v>
      </c>
      <c r="Z65" s="36">
        <f t="shared" si="14"/>
        <v>7</v>
      </c>
      <c r="AA65" s="36">
        <f t="shared" si="15"/>
        <v>1</v>
      </c>
      <c r="AB65" s="48">
        <f t="shared" si="16"/>
        <v>6.25</v>
      </c>
      <c r="AK65" s="150">
        <v>9</v>
      </c>
      <c r="AL65" s="151">
        <v>8</v>
      </c>
      <c r="AM65" s="151">
        <v>9</v>
      </c>
      <c r="AN65" s="151">
        <v>7</v>
      </c>
      <c r="AO65" s="151">
        <v>9</v>
      </c>
      <c r="AP65" s="151">
        <v>9</v>
      </c>
      <c r="AQ65" s="151">
        <v>3</v>
      </c>
      <c r="AR65" s="152">
        <v>7</v>
      </c>
      <c r="AS65" s="40">
        <f t="shared" si="17"/>
        <v>3</v>
      </c>
      <c r="AT65" s="156">
        <f t="shared" si="18"/>
        <v>0</v>
      </c>
      <c r="AU65" s="153">
        <v>3</v>
      </c>
      <c r="AV65" s="161">
        <f t="shared" si="19"/>
        <v>0</v>
      </c>
      <c r="AW65" s="165"/>
      <c r="AX65" s="36" t="str">
        <f t="shared" si="20"/>
        <v>YA</v>
      </c>
      <c r="AY65" s="170">
        <f t="shared" si="21"/>
        <v>0.51</v>
      </c>
      <c r="AZ65" s="10"/>
      <c r="BA65" s="155">
        <v>0.5</v>
      </c>
      <c r="BB65" s="86">
        <f t="shared" si="22"/>
        <v>6</v>
      </c>
      <c r="BC65" s="224">
        <v>6</v>
      </c>
      <c r="BD65" s="37"/>
      <c r="BE65" s="86">
        <f t="shared" si="5"/>
        <v>0</v>
      </c>
      <c r="BF65" s="38"/>
      <c r="BG65" s="188"/>
      <c r="BH65" s="154">
        <v>1</v>
      </c>
      <c r="BI65" s="153">
        <v>5</v>
      </c>
      <c r="BJ65" s="86">
        <f t="shared" si="23"/>
        <v>6</v>
      </c>
      <c r="BK65" s="226">
        <v>6</v>
      </c>
      <c r="BL65" s="178"/>
      <c r="BM65" s="91"/>
      <c r="BN65" s="91"/>
      <c r="BO65" s="91"/>
      <c r="BP65" s="91"/>
      <c r="BQ65" s="91"/>
      <c r="BR65" s="91"/>
      <c r="BS65" s="91"/>
      <c r="BT65" s="91"/>
      <c r="BU65" s="91"/>
      <c r="BV65" s="39"/>
    </row>
    <row r="66" spans="2:74" x14ac:dyDescent="0.25">
      <c r="B66" s="136">
        <v>53</v>
      </c>
      <c r="C66" s="142" t="s">
        <v>280</v>
      </c>
      <c r="D66" s="138" t="s">
        <v>152</v>
      </c>
      <c r="E66" s="196" t="s">
        <v>15</v>
      </c>
      <c r="F66" s="131"/>
      <c r="G66" s="144" t="s">
        <v>195</v>
      </c>
      <c r="H66" s="145" t="s">
        <v>95</v>
      </c>
      <c r="I66" s="146" t="str">
        <f t="shared" si="0"/>
        <v>R</v>
      </c>
      <c r="J66" s="148">
        <v>3</v>
      </c>
      <c r="K66" s="149"/>
      <c r="L66" s="149">
        <v>1</v>
      </c>
      <c r="M66" s="88"/>
      <c r="N66" s="40">
        <f t="shared" si="1"/>
        <v>15.697916666666668</v>
      </c>
      <c r="O66" s="58">
        <f t="shared" si="6"/>
        <v>7.666666666666667</v>
      </c>
      <c r="P66" s="58">
        <f t="shared" si="7"/>
        <v>139.99999999999997</v>
      </c>
      <c r="Q66" s="229">
        <v>0.41666666666666669</v>
      </c>
      <c r="R66" s="93"/>
      <c r="S66" s="103">
        <f t="shared" si="2"/>
        <v>0.25</v>
      </c>
      <c r="T66" s="49">
        <f t="shared" si="8"/>
        <v>4.78125</v>
      </c>
      <c r="U66" s="36">
        <f t="shared" si="9"/>
        <v>3</v>
      </c>
      <c r="V66" s="36">
        <f t="shared" si="10"/>
        <v>5</v>
      </c>
      <c r="W66" s="36">
        <f t="shared" si="11"/>
        <v>7</v>
      </c>
      <c r="X66" s="36">
        <f t="shared" si="12"/>
        <v>4</v>
      </c>
      <c r="Y66" s="36">
        <f t="shared" si="13"/>
        <v>5</v>
      </c>
      <c r="Z66" s="36">
        <f t="shared" si="14"/>
        <v>7</v>
      </c>
      <c r="AA66" s="36">
        <f t="shared" si="15"/>
        <v>1</v>
      </c>
      <c r="AB66" s="48">
        <f t="shared" si="16"/>
        <v>6.25</v>
      </c>
      <c r="AK66" s="150">
        <v>9</v>
      </c>
      <c r="AL66" s="151">
        <v>8</v>
      </c>
      <c r="AM66" s="151">
        <v>9</v>
      </c>
      <c r="AN66" s="151">
        <v>5</v>
      </c>
      <c r="AO66" s="151">
        <v>9</v>
      </c>
      <c r="AP66" s="151">
        <v>9</v>
      </c>
      <c r="AQ66" s="151">
        <v>3</v>
      </c>
      <c r="AR66" s="152">
        <v>7</v>
      </c>
      <c r="AS66" s="40">
        <f t="shared" si="17"/>
        <v>3.25</v>
      </c>
      <c r="AT66" s="156">
        <f t="shared" si="18"/>
        <v>0</v>
      </c>
      <c r="AU66" s="153">
        <v>5</v>
      </c>
      <c r="AV66" s="161">
        <f t="shared" si="19"/>
        <v>0</v>
      </c>
      <c r="AW66" s="165"/>
      <c r="AX66" s="36" t="str">
        <f t="shared" si="20"/>
        <v>YA</v>
      </c>
      <c r="AY66" s="170">
        <f t="shared" si="21"/>
        <v>0.76</v>
      </c>
      <c r="AZ66" s="10"/>
      <c r="BA66" s="155">
        <v>0.25</v>
      </c>
      <c r="BB66" s="86">
        <f t="shared" si="22"/>
        <v>7</v>
      </c>
      <c r="BC66" s="224">
        <v>7</v>
      </c>
      <c r="BD66" s="37"/>
      <c r="BE66" s="86">
        <f t="shared" si="5"/>
        <v>0</v>
      </c>
      <c r="BF66" s="38"/>
      <c r="BG66" s="188"/>
      <c r="BH66" s="154">
        <v>1</v>
      </c>
      <c r="BI66" s="153">
        <v>7</v>
      </c>
      <c r="BJ66" s="86">
        <f t="shared" si="23"/>
        <v>6</v>
      </c>
      <c r="BK66" s="226">
        <v>6</v>
      </c>
      <c r="BL66" s="178"/>
      <c r="BM66" s="91"/>
      <c r="BN66" s="91"/>
      <c r="BO66" s="91"/>
      <c r="BP66" s="91"/>
      <c r="BQ66" s="91"/>
      <c r="BR66" s="91"/>
      <c r="BS66" s="91"/>
      <c r="BT66" s="91"/>
      <c r="BU66" s="91"/>
      <c r="BV66" s="39"/>
    </row>
    <row r="67" spans="2:74" x14ac:dyDescent="0.25">
      <c r="B67" s="136">
        <v>54</v>
      </c>
      <c r="C67" s="139" t="s">
        <v>281</v>
      </c>
      <c r="D67" s="138" t="s">
        <v>153</v>
      </c>
      <c r="E67" s="196" t="s">
        <v>17</v>
      </c>
      <c r="F67" s="131"/>
      <c r="G67" s="144" t="s">
        <v>195</v>
      </c>
      <c r="H67" s="145" t="s">
        <v>95</v>
      </c>
      <c r="I67" s="146" t="str">
        <f t="shared" si="0"/>
        <v>R</v>
      </c>
      <c r="J67" s="148">
        <v>3</v>
      </c>
      <c r="K67" s="149"/>
      <c r="L67" s="149">
        <v>0</v>
      </c>
      <c r="M67" s="88"/>
      <c r="N67" s="40">
        <f t="shared" si="1"/>
        <v>15.572916666666668</v>
      </c>
      <c r="O67" s="58">
        <f t="shared" si="6"/>
        <v>7.1666666666666679</v>
      </c>
      <c r="P67" s="58">
        <f t="shared" si="7"/>
        <v>169.99999999999994</v>
      </c>
      <c r="Q67" s="229">
        <v>0.4375</v>
      </c>
      <c r="R67" s="93"/>
      <c r="S67" s="105">
        <f t="shared" si="2"/>
        <v>0</v>
      </c>
      <c r="T67" s="49">
        <f t="shared" si="8"/>
        <v>4.65625</v>
      </c>
      <c r="U67" s="36">
        <f t="shared" si="9"/>
        <v>3</v>
      </c>
      <c r="V67" s="36">
        <f t="shared" si="10"/>
        <v>5</v>
      </c>
      <c r="W67" s="36">
        <f t="shared" si="11"/>
        <v>7</v>
      </c>
      <c r="X67" s="36">
        <f t="shared" si="12"/>
        <v>3</v>
      </c>
      <c r="Y67" s="36">
        <f t="shared" si="13"/>
        <v>5</v>
      </c>
      <c r="Z67" s="36">
        <f t="shared" si="14"/>
        <v>7</v>
      </c>
      <c r="AA67" s="36">
        <f t="shared" si="15"/>
        <v>1</v>
      </c>
      <c r="AB67" s="48">
        <f t="shared" si="16"/>
        <v>6.25</v>
      </c>
      <c r="AK67" s="150">
        <v>9</v>
      </c>
      <c r="AL67" s="151">
        <v>8</v>
      </c>
      <c r="AM67" s="151">
        <v>9</v>
      </c>
      <c r="AN67" s="151">
        <v>6</v>
      </c>
      <c r="AO67" s="151">
        <v>9</v>
      </c>
      <c r="AP67" s="151">
        <v>9</v>
      </c>
      <c r="AQ67" s="151">
        <v>3</v>
      </c>
      <c r="AR67" s="152">
        <v>7</v>
      </c>
      <c r="AS67" s="40">
        <f t="shared" si="17"/>
        <v>3.75</v>
      </c>
      <c r="AT67" s="156">
        <f t="shared" si="18"/>
        <v>0</v>
      </c>
      <c r="AU67" s="153">
        <v>5</v>
      </c>
      <c r="AV67" s="161">
        <f t="shared" si="19"/>
        <v>0</v>
      </c>
      <c r="AW67" s="165"/>
      <c r="AX67" s="36" t="str">
        <f t="shared" si="20"/>
        <v>YA</v>
      </c>
      <c r="AY67" s="170">
        <f t="shared" si="21"/>
        <v>0.26</v>
      </c>
      <c r="AZ67" s="10"/>
      <c r="BA67" s="155">
        <v>0.75</v>
      </c>
      <c r="BB67" s="86">
        <f t="shared" si="22"/>
        <v>10</v>
      </c>
      <c r="BC67" s="224">
        <v>10</v>
      </c>
      <c r="BD67" s="37"/>
      <c r="BE67" s="86">
        <f t="shared" si="5"/>
        <v>0</v>
      </c>
      <c r="BF67" s="38"/>
      <c r="BG67" s="188"/>
      <c r="BH67" s="154"/>
      <c r="BI67" s="153"/>
      <c r="BJ67" s="86">
        <f t="shared" si="23"/>
        <v>5</v>
      </c>
      <c r="BK67" s="226">
        <v>5</v>
      </c>
      <c r="BL67" s="178"/>
      <c r="BM67" s="91"/>
      <c r="BN67" s="91"/>
      <c r="BO67" s="91"/>
      <c r="BP67" s="91"/>
      <c r="BQ67" s="91"/>
      <c r="BR67" s="91"/>
      <c r="BS67" s="91"/>
      <c r="BT67" s="91"/>
      <c r="BU67" s="91"/>
      <c r="BV67" s="39"/>
    </row>
    <row r="68" spans="2:74" x14ac:dyDescent="0.25">
      <c r="B68" s="136">
        <v>55</v>
      </c>
      <c r="C68" s="137" t="s">
        <v>88</v>
      </c>
      <c r="D68" s="138" t="s">
        <v>154</v>
      </c>
      <c r="E68" s="196" t="s">
        <v>282</v>
      </c>
      <c r="F68" s="131"/>
      <c r="G68" s="144" t="s">
        <v>195</v>
      </c>
      <c r="H68" s="145" t="s">
        <v>95</v>
      </c>
      <c r="I68" s="146" t="str">
        <f t="shared" si="0"/>
        <v>R</v>
      </c>
      <c r="J68" s="148">
        <v>1</v>
      </c>
      <c r="K68" s="149"/>
      <c r="L68" s="149">
        <v>2</v>
      </c>
      <c r="M68" s="88"/>
      <c r="N68" s="40">
        <f t="shared" si="1"/>
        <v>13.822916666666668</v>
      </c>
      <c r="O68" s="58">
        <f t="shared" si="6"/>
        <v>7.666666666666667</v>
      </c>
      <c r="P68" s="58">
        <f t="shared" si="7"/>
        <v>139.99999999999997</v>
      </c>
      <c r="Q68" s="229">
        <v>0.41666666666666669</v>
      </c>
      <c r="R68" s="93"/>
      <c r="S68" s="103">
        <f t="shared" si="2"/>
        <v>0.5</v>
      </c>
      <c r="T68" s="49">
        <f t="shared" si="8"/>
        <v>2.15625</v>
      </c>
      <c r="U68" s="36">
        <f t="shared" si="9"/>
        <v>0</v>
      </c>
      <c r="V68" s="36">
        <f t="shared" si="10"/>
        <v>5</v>
      </c>
      <c r="W68" s="36">
        <f t="shared" si="11"/>
        <v>6</v>
      </c>
      <c r="X68" s="36">
        <f t="shared" si="12"/>
        <v>5</v>
      </c>
      <c r="Y68" s="36">
        <f t="shared" si="13"/>
        <v>0</v>
      </c>
      <c r="Z68" s="36">
        <f t="shared" si="14"/>
        <v>0</v>
      </c>
      <c r="AA68" s="36">
        <f t="shared" si="15"/>
        <v>-1</v>
      </c>
      <c r="AB68" s="48">
        <f t="shared" si="16"/>
        <v>2.25</v>
      </c>
      <c r="AK68" s="150">
        <v>6</v>
      </c>
      <c r="AL68" s="151">
        <v>8</v>
      </c>
      <c r="AM68" s="151">
        <v>8</v>
      </c>
      <c r="AN68" s="151">
        <v>4</v>
      </c>
      <c r="AO68" s="151">
        <v>4</v>
      </c>
      <c r="AP68" s="151">
        <v>2</v>
      </c>
      <c r="AQ68" s="151">
        <v>1</v>
      </c>
      <c r="AR68" s="152">
        <v>3</v>
      </c>
      <c r="AS68" s="40">
        <f t="shared" si="17"/>
        <v>4</v>
      </c>
      <c r="AT68" s="156">
        <f t="shared" si="18"/>
        <v>0</v>
      </c>
      <c r="AU68" s="153">
        <v>10</v>
      </c>
      <c r="AV68" s="161">
        <f t="shared" si="19"/>
        <v>0</v>
      </c>
      <c r="AW68" s="165"/>
      <c r="AX68" s="36" t="str">
        <f t="shared" si="20"/>
        <v>YA</v>
      </c>
      <c r="AY68" s="170">
        <f t="shared" si="21"/>
        <v>0.76</v>
      </c>
      <c r="AZ68" s="10"/>
      <c r="BA68" s="155">
        <v>0.25</v>
      </c>
      <c r="BB68" s="86">
        <f t="shared" si="22"/>
        <v>8</v>
      </c>
      <c r="BC68" s="224">
        <v>8</v>
      </c>
      <c r="BD68" s="37"/>
      <c r="BE68" s="86">
        <f t="shared" si="5"/>
        <v>0</v>
      </c>
      <c r="BF68" s="38"/>
      <c r="BG68" s="188"/>
      <c r="BH68" s="154"/>
      <c r="BI68" s="153"/>
      <c r="BJ68" s="86">
        <f t="shared" si="23"/>
        <v>8</v>
      </c>
      <c r="BK68" s="226">
        <v>8</v>
      </c>
      <c r="BL68" s="178"/>
      <c r="BM68" s="91"/>
      <c r="BN68" s="91"/>
      <c r="BO68" s="91"/>
      <c r="BP68" s="91"/>
      <c r="BQ68" s="91"/>
      <c r="BR68" s="91"/>
      <c r="BS68" s="91"/>
      <c r="BT68" s="91"/>
      <c r="BU68" s="91"/>
      <c r="BV68" s="39"/>
    </row>
    <row r="69" spans="2:74" x14ac:dyDescent="0.25">
      <c r="B69" s="136">
        <v>56</v>
      </c>
      <c r="C69" s="142" t="s">
        <v>283</v>
      </c>
      <c r="D69" s="138" t="s">
        <v>155</v>
      </c>
      <c r="E69" s="196" t="s">
        <v>90</v>
      </c>
      <c r="F69" s="131"/>
      <c r="G69" s="144" t="s">
        <v>242</v>
      </c>
      <c r="H69" s="145" t="s">
        <v>94</v>
      </c>
      <c r="I69" s="146" t="str">
        <f t="shared" si="0"/>
        <v>R</v>
      </c>
      <c r="J69" s="148">
        <v>-1</v>
      </c>
      <c r="K69" s="149"/>
      <c r="L69" s="149">
        <v>3</v>
      </c>
      <c r="M69" s="88"/>
      <c r="N69" s="40">
        <f t="shared" si="1"/>
        <v>12.072916666666668</v>
      </c>
      <c r="O69" s="58">
        <f t="shared" si="6"/>
        <v>7.1666666666666679</v>
      </c>
      <c r="P69" s="58">
        <f t="shared" si="7"/>
        <v>169.99999999999994</v>
      </c>
      <c r="Q69" s="231">
        <v>0.4375</v>
      </c>
      <c r="R69" s="94"/>
      <c r="S69" s="103">
        <f t="shared" si="2"/>
        <v>0.99930555555555556</v>
      </c>
      <c r="T69" s="49">
        <f t="shared" si="8"/>
        <v>2.15625</v>
      </c>
      <c r="U69" s="36">
        <f t="shared" si="9"/>
        <v>-1</v>
      </c>
      <c r="V69" s="36">
        <f t="shared" si="10"/>
        <v>2</v>
      </c>
      <c r="W69" s="36">
        <f t="shared" si="11"/>
        <v>3</v>
      </c>
      <c r="X69" s="36">
        <f t="shared" si="12"/>
        <v>3</v>
      </c>
      <c r="Y69" s="36">
        <f t="shared" si="13"/>
        <v>1</v>
      </c>
      <c r="Z69" s="36">
        <f t="shared" si="14"/>
        <v>3</v>
      </c>
      <c r="AA69" s="36">
        <f t="shared" si="15"/>
        <v>1</v>
      </c>
      <c r="AB69" s="48">
        <f t="shared" si="16"/>
        <v>5.25</v>
      </c>
      <c r="AK69" s="150">
        <v>5</v>
      </c>
      <c r="AL69" s="151">
        <v>5</v>
      </c>
      <c r="AM69" s="151">
        <v>5</v>
      </c>
      <c r="AN69" s="151">
        <v>6</v>
      </c>
      <c r="AO69" s="151">
        <v>5</v>
      </c>
      <c r="AP69" s="151">
        <v>5</v>
      </c>
      <c r="AQ69" s="151">
        <v>3</v>
      </c>
      <c r="AR69" s="152">
        <v>6</v>
      </c>
      <c r="AS69" s="40">
        <f t="shared" si="17"/>
        <v>2.75</v>
      </c>
      <c r="AT69" s="156">
        <f t="shared" si="18"/>
        <v>0</v>
      </c>
      <c r="AU69" s="153">
        <v>3</v>
      </c>
      <c r="AV69" s="161">
        <f t="shared" si="19"/>
        <v>0</v>
      </c>
      <c r="AW69" s="165"/>
      <c r="AX69" s="36" t="str">
        <f t="shared" si="20"/>
        <v>YA</v>
      </c>
      <c r="AY69" s="170">
        <f t="shared" si="21"/>
        <v>0.76</v>
      </c>
      <c r="AZ69" s="10"/>
      <c r="BA69" s="155">
        <v>0.25</v>
      </c>
      <c r="BB69" s="86">
        <f t="shared" si="22"/>
        <v>6</v>
      </c>
      <c r="BC69" s="224">
        <v>6</v>
      </c>
      <c r="BD69" s="37"/>
      <c r="BE69" s="86">
        <f t="shared" si="5"/>
        <v>0</v>
      </c>
      <c r="BF69" s="38"/>
      <c r="BG69" s="188"/>
      <c r="BH69" s="154"/>
      <c r="BI69" s="153"/>
      <c r="BJ69" s="86">
        <f t="shared" si="23"/>
        <v>5</v>
      </c>
      <c r="BK69" s="226">
        <v>5</v>
      </c>
      <c r="BL69" s="178"/>
      <c r="BM69" s="91"/>
      <c r="BN69" s="91"/>
      <c r="BO69" s="91"/>
      <c r="BP69" s="91"/>
      <c r="BQ69" s="91"/>
      <c r="BR69" s="91"/>
      <c r="BS69" s="91"/>
      <c r="BT69" s="91"/>
      <c r="BU69" s="91"/>
      <c r="BV69" s="39"/>
    </row>
    <row r="70" spans="2:74" x14ac:dyDescent="0.25">
      <c r="B70" s="136">
        <v>57</v>
      </c>
      <c r="C70" s="137" t="s">
        <v>88</v>
      </c>
      <c r="D70" s="138" t="s">
        <v>157</v>
      </c>
      <c r="E70" s="196" t="s">
        <v>284</v>
      </c>
      <c r="F70" s="131"/>
      <c r="G70" s="144" t="s">
        <v>321</v>
      </c>
      <c r="H70" s="145" t="s">
        <v>95</v>
      </c>
      <c r="I70" s="146" t="str">
        <f t="shared" si="0"/>
        <v>R</v>
      </c>
      <c r="J70" s="148">
        <v>-1</v>
      </c>
      <c r="K70" s="149"/>
      <c r="L70" s="149">
        <v>3</v>
      </c>
      <c r="M70" s="88"/>
      <c r="N70" s="40">
        <f t="shared" si="1"/>
        <v>10.572916666666668</v>
      </c>
      <c r="O70" s="58">
        <f t="shared" si="6"/>
        <v>7.1666666666666679</v>
      </c>
      <c r="P70" s="82">
        <f t="shared" si="7"/>
        <v>169.99999999999994</v>
      </c>
      <c r="Q70" s="230">
        <v>0.4375</v>
      </c>
      <c r="R70" s="96"/>
      <c r="S70" s="103">
        <f t="shared" si="2"/>
        <v>0.99930555555555556</v>
      </c>
      <c r="T70" s="49">
        <f t="shared" si="8"/>
        <v>1.90625</v>
      </c>
      <c r="U70" s="36">
        <f t="shared" si="9"/>
        <v>0</v>
      </c>
      <c r="V70" s="36">
        <f t="shared" si="10"/>
        <v>5</v>
      </c>
      <c r="W70" s="36">
        <f t="shared" si="11"/>
        <v>6</v>
      </c>
      <c r="X70" s="36">
        <f t="shared" si="12"/>
        <v>3</v>
      </c>
      <c r="Y70" s="36">
        <f t="shared" si="13"/>
        <v>0</v>
      </c>
      <c r="Z70" s="36">
        <f t="shared" si="14"/>
        <v>0</v>
      </c>
      <c r="AA70" s="36">
        <f t="shared" si="15"/>
        <v>-1</v>
      </c>
      <c r="AB70" s="48">
        <f t="shared" si="16"/>
        <v>2.25</v>
      </c>
      <c r="AK70" s="150">
        <v>6</v>
      </c>
      <c r="AL70" s="151">
        <v>8</v>
      </c>
      <c r="AM70" s="151">
        <v>8</v>
      </c>
      <c r="AN70" s="151">
        <v>6</v>
      </c>
      <c r="AO70" s="151">
        <v>4</v>
      </c>
      <c r="AP70" s="151">
        <v>2</v>
      </c>
      <c r="AQ70" s="151">
        <v>1</v>
      </c>
      <c r="AR70" s="152">
        <v>3</v>
      </c>
      <c r="AS70" s="40">
        <f t="shared" si="17"/>
        <v>1.5</v>
      </c>
      <c r="AT70" s="156">
        <f t="shared" si="18"/>
        <v>0</v>
      </c>
      <c r="AU70" s="153">
        <v>5</v>
      </c>
      <c r="AV70" s="161">
        <f t="shared" si="19"/>
        <v>0</v>
      </c>
      <c r="AW70" s="165"/>
      <c r="AX70" s="36" t="str">
        <f t="shared" si="20"/>
        <v>YA</v>
      </c>
      <c r="AY70" s="170">
        <f t="shared" si="21"/>
        <v>0.26</v>
      </c>
      <c r="AZ70" s="10"/>
      <c r="BA70" s="155">
        <v>0.75</v>
      </c>
      <c r="BB70" s="86">
        <f t="shared" si="22"/>
        <v>3</v>
      </c>
      <c r="BC70" s="224">
        <v>3</v>
      </c>
      <c r="BD70" s="37"/>
      <c r="BE70" s="86">
        <f t="shared" si="5"/>
        <v>0</v>
      </c>
      <c r="BF70" s="38"/>
      <c r="BG70" s="188"/>
      <c r="BH70" s="154"/>
      <c r="BI70" s="153"/>
      <c r="BJ70" s="86">
        <f t="shared" si="23"/>
        <v>3</v>
      </c>
      <c r="BK70" s="226">
        <v>3</v>
      </c>
      <c r="BL70" s="178"/>
      <c r="BM70" s="91"/>
      <c r="BN70" s="91"/>
      <c r="BO70" s="91"/>
      <c r="BP70" s="91"/>
      <c r="BQ70" s="91"/>
      <c r="BR70" s="91"/>
      <c r="BS70" s="91"/>
      <c r="BT70" s="91"/>
      <c r="BU70" s="91"/>
      <c r="BV70" s="39"/>
    </row>
    <row r="71" spans="2:74" ht="30" x14ac:dyDescent="0.25">
      <c r="B71" s="136">
        <v>58</v>
      </c>
      <c r="C71" s="137" t="s">
        <v>249</v>
      </c>
      <c r="D71" s="138" t="s">
        <v>158</v>
      </c>
      <c r="E71" s="196" t="s">
        <v>285</v>
      </c>
      <c r="F71" s="131"/>
      <c r="G71" s="144" t="s">
        <v>195</v>
      </c>
      <c r="H71" s="145" t="s">
        <v>93</v>
      </c>
      <c r="I71" s="146" t="str">
        <f t="shared" si="0"/>
        <v>R</v>
      </c>
      <c r="J71" s="148">
        <v>3</v>
      </c>
      <c r="K71" s="149"/>
      <c r="L71" s="149">
        <v>0</v>
      </c>
      <c r="M71" s="88"/>
      <c r="N71" s="40">
        <f t="shared" si="1"/>
        <v>12.197916666666668</v>
      </c>
      <c r="O71" s="58">
        <f t="shared" si="6"/>
        <v>5.6666666666666679</v>
      </c>
      <c r="P71" s="58">
        <f t="shared" si="7"/>
        <v>259.99999999999994</v>
      </c>
      <c r="Q71" s="204">
        <v>0.5</v>
      </c>
      <c r="R71" s="92"/>
      <c r="S71" s="103">
        <f t="shared" si="2"/>
        <v>0</v>
      </c>
      <c r="T71" s="49">
        <f t="shared" si="8"/>
        <v>2.53125</v>
      </c>
      <c r="U71" s="36">
        <f t="shared" si="9"/>
        <v>2</v>
      </c>
      <c r="V71" s="36">
        <f t="shared" si="10"/>
        <v>5</v>
      </c>
      <c r="W71" s="36">
        <f t="shared" si="11"/>
        <v>6</v>
      </c>
      <c r="X71" s="36">
        <f t="shared" si="12"/>
        <v>3</v>
      </c>
      <c r="Y71" s="36">
        <f t="shared" si="13"/>
        <v>1</v>
      </c>
      <c r="Z71" s="36">
        <f t="shared" si="14"/>
        <v>2</v>
      </c>
      <c r="AA71" s="36">
        <f t="shared" si="15"/>
        <v>0</v>
      </c>
      <c r="AB71" s="48">
        <f t="shared" si="16"/>
        <v>1.25</v>
      </c>
      <c r="AK71" s="150">
        <v>8</v>
      </c>
      <c r="AL71" s="151">
        <v>8</v>
      </c>
      <c r="AM71" s="151">
        <v>8</v>
      </c>
      <c r="AN71" s="151">
        <v>6</v>
      </c>
      <c r="AO71" s="151">
        <v>5</v>
      </c>
      <c r="AP71" s="151">
        <v>4</v>
      </c>
      <c r="AQ71" s="151">
        <v>2</v>
      </c>
      <c r="AR71" s="152">
        <v>2</v>
      </c>
      <c r="AS71" s="40">
        <f t="shared" si="17"/>
        <v>4</v>
      </c>
      <c r="AT71" s="156">
        <f t="shared" si="18"/>
        <v>0</v>
      </c>
      <c r="AU71" s="153">
        <v>5</v>
      </c>
      <c r="AV71" s="161">
        <f t="shared" si="19"/>
        <v>0</v>
      </c>
      <c r="AW71" s="165"/>
      <c r="AX71" s="36" t="str">
        <f t="shared" si="20"/>
        <v>YA</v>
      </c>
      <c r="AY71" s="170">
        <f t="shared" si="21"/>
        <v>0.76</v>
      </c>
      <c r="AZ71" s="10"/>
      <c r="BA71" s="155">
        <v>0.25</v>
      </c>
      <c r="BB71" s="86">
        <f t="shared" si="22"/>
        <v>8</v>
      </c>
      <c r="BC71" s="224">
        <v>8</v>
      </c>
      <c r="BD71" s="37"/>
      <c r="BE71" s="86">
        <f t="shared" si="5"/>
        <v>0</v>
      </c>
      <c r="BF71" s="38"/>
      <c r="BG71" s="188"/>
      <c r="BH71" s="154">
        <v>1</v>
      </c>
      <c r="BI71" s="153">
        <v>8</v>
      </c>
      <c r="BJ71" s="86">
        <f t="shared" si="23"/>
        <v>8</v>
      </c>
      <c r="BK71" s="226">
        <v>8</v>
      </c>
      <c r="BL71" s="178"/>
      <c r="BM71" s="91"/>
      <c r="BN71" s="91"/>
      <c r="BO71" s="91"/>
      <c r="BP71" s="91"/>
      <c r="BQ71" s="91"/>
      <c r="BR71" s="91"/>
      <c r="BS71" s="91"/>
      <c r="BT71" s="91"/>
      <c r="BU71" s="91"/>
      <c r="BV71" s="39"/>
    </row>
    <row r="72" spans="2:74" ht="30" x14ac:dyDescent="0.25">
      <c r="B72" s="136">
        <v>59</v>
      </c>
      <c r="C72" s="142" t="s">
        <v>286</v>
      </c>
      <c r="D72" s="138" t="s">
        <v>159</v>
      </c>
      <c r="E72" s="196" t="s">
        <v>287</v>
      </c>
      <c r="F72" s="131"/>
      <c r="G72" s="144" t="s">
        <v>318</v>
      </c>
      <c r="H72" s="145" t="s">
        <v>95</v>
      </c>
      <c r="I72" s="146" t="str">
        <f t="shared" si="0"/>
        <v>R</v>
      </c>
      <c r="J72" s="148">
        <v>-1</v>
      </c>
      <c r="K72" s="149"/>
      <c r="L72" s="149">
        <v>3</v>
      </c>
      <c r="M72" s="88"/>
      <c r="N72" s="40">
        <f t="shared" si="1"/>
        <v>12.897916666666667</v>
      </c>
      <c r="O72" s="58">
        <f t="shared" si="6"/>
        <v>5.616666666666668</v>
      </c>
      <c r="P72" s="82">
        <f t="shared" si="7"/>
        <v>262.99999999999994</v>
      </c>
      <c r="Q72" s="229">
        <v>0.50208333333333333</v>
      </c>
      <c r="R72" s="93"/>
      <c r="S72" s="103">
        <f t="shared" si="2"/>
        <v>0.99930555555555556</v>
      </c>
      <c r="T72" s="49">
        <f t="shared" si="8"/>
        <v>5.03125</v>
      </c>
      <c r="U72" s="36">
        <f t="shared" si="9"/>
        <v>3</v>
      </c>
      <c r="V72" s="36">
        <f t="shared" si="10"/>
        <v>5</v>
      </c>
      <c r="W72" s="36">
        <f t="shared" si="11"/>
        <v>7</v>
      </c>
      <c r="X72" s="36">
        <f t="shared" si="12"/>
        <v>6</v>
      </c>
      <c r="Y72" s="36">
        <f t="shared" si="13"/>
        <v>5</v>
      </c>
      <c r="Z72" s="36">
        <f t="shared" si="14"/>
        <v>7</v>
      </c>
      <c r="AA72" s="36">
        <f t="shared" si="15"/>
        <v>1</v>
      </c>
      <c r="AB72" s="48">
        <f t="shared" si="16"/>
        <v>6.25</v>
      </c>
      <c r="AK72" s="150">
        <v>9</v>
      </c>
      <c r="AL72" s="151">
        <v>8</v>
      </c>
      <c r="AM72" s="151">
        <v>9</v>
      </c>
      <c r="AN72" s="151">
        <v>3</v>
      </c>
      <c r="AO72" s="151">
        <v>9</v>
      </c>
      <c r="AP72" s="151">
        <v>9</v>
      </c>
      <c r="AQ72" s="151">
        <v>3</v>
      </c>
      <c r="AR72" s="152">
        <v>7</v>
      </c>
      <c r="AS72" s="40">
        <f t="shared" si="17"/>
        <v>2.25</v>
      </c>
      <c r="AT72" s="156">
        <f t="shared" si="18"/>
        <v>0</v>
      </c>
      <c r="AU72" s="153">
        <v>3</v>
      </c>
      <c r="AV72" s="161">
        <f t="shared" si="19"/>
        <v>0</v>
      </c>
      <c r="AW72" s="165"/>
      <c r="AX72" s="36" t="str">
        <f t="shared" si="20"/>
        <v>YA</v>
      </c>
      <c r="AY72" s="170">
        <f t="shared" si="21"/>
        <v>0.26</v>
      </c>
      <c r="AZ72" s="10"/>
      <c r="BA72" s="155">
        <v>0.75</v>
      </c>
      <c r="BB72" s="86">
        <f t="shared" si="22"/>
        <v>5</v>
      </c>
      <c r="BC72" s="224">
        <v>5</v>
      </c>
      <c r="BD72" s="37"/>
      <c r="BE72" s="86">
        <f t="shared" si="5"/>
        <v>0</v>
      </c>
      <c r="BF72" s="38"/>
      <c r="BG72" s="188"/>
      <c r="BH72" s="154"/>
      <c r="BI72" s="153"/>
      <c r="BJ72" s="86">
        <f t="shared" si="23"/>
        <v>4</v>
      </c>
      <c r="BK72" s="226">
        <v>4</v>
      </c>
      <c r="BL72" s="178"/>
      <c r="BM72" s="91"/>
      <c r="BN72" s="91"/>
      <c r="BO72" s="91"/>
      <c r="BP72" s="91"/>
      <c r="BQ72" s="91"/>
      <c r="BR72" s="91"/>
      <c r="BS72" s="91"/>
      <c r="BT72" s="91"/>
      <c r="BU72" s="91"/>
      <c r="BV72" s="39"/>
    </row>
    <row r="73" spans="2:74" ht="30" x14ac:dyDescent="0.25">
      <c r="B73" s="136">
        <v>60</v>
      </c>
      <c r="C73" s="142" t="s">
        <v>288</v>
      </c>
      <c r="D73" s="138" t="s">
        <v>160</v>
      </c>
      <c r="E73" s="196" t="s">
        <v>18</v>
      </c>
      <c r="F73" s="131"/>
      <c r="G73" s="144" t="s">
        <v>317</v>
      </c>
      <c r="H73" s="145" t="s">
        <v>93</v>
      </c>
      <c r="I73" s="146" t="str">
        <f t="shared" si="0"/>
        <v>R</v>
      </c>
      <c r="J73" s="148">
        <v>-1</v>
      </c>
      <c r="K73" s="149"/>
      <c r="L73" s="149">
        <v>3</v>
      </c>
      <c r="M73" s="88"/>
      <c r="N73" s="40">
        <f t="shared" si="1"/>
        <v>10.397916666666667</v>
      </c>
      <c r="O73" s="58">
        <f t="shared" si="6"/>
        <v>5.1166666666666663</v>
      </c>
      <c r="P73" s="58">
        <f t="shared" si="7"/>
        <v>293</v>
      </c>
      <c r="Q73" s="231">
        <v>0.5229166666666667</v>
      </c>
      <c r="R73" s="94"/>
      <c r="S73" s="103">
        <f t="shared" si="2"/>
        <v>0.99930555555555556</v>
      </c>
      <c r="T73" s="49">
        <f t="shared" si="8"/>
        <v>2.53125</v>
      </c>
      <c r="U73" s="36">
        <f t="shared" si="9"/>
        <v>2</v>
      </c>
      <c r="V73" s="36">
        <f t="shared" si="10"/>
        <v>5</v>
      </c>
      <c r="W73" s="36">
        <f t="shared" si="11"/>
        <v>6</v>
      </c>
      <c r="X73" s="36">
        <f t="shared" si="12"/>
        <v>3</v>
      </c>
      <c r="Y73" s="36">
        <f t="shared" si="13"/>
        <v>1</v>
      </c>
      <c r="Z73" s="36">
        <f t="shared" si="14"/>
        <v>2</v>
      </c>
      <c r="AA73" s="36">
        <f t="shared" si="15"/>
        <v>0</v>
      </c>
      <c r="AB73" s="48">
        <f t="shared" si="16"/>
        <v>1.25</v>
      </c>
      <c r="AK73" s="150">
        <v>8</v>
      </c>
      <c r="AL73" s="151">
        <v>8</v>
      </c>
      <c r="AM73" s="151">
        <v>8</v>
      </c>
      <c r="AN73" s="151">
        <v>6</v>
      </c>
      <c r="AO73" s="151">
        <v>5</v>
      </c>
      <c r="AP73" s="151">
        <v>4</v>
      </c>
      <c r="AQ73" s="151">
        <v>2</v>
      </c>
      <c r="AR73" s="152">
        <v>2</v>
      </c>
      <c r="AS73" s="40">
        <f t="shared" si="17"/>
        <v>2.75</v>
      </c>
      <c r="AT73" s="156">
        <f t="shared" si="18"/>
        <v>0</v>
      </c>
      <c r="AU73" s="153">
        <v>8</v>
      </c>
      <c r="AV73" s="161">
        <f t="shared" si="19"/>
        <v>0</v>
      </c>
      <c r="AW73" s="165"/>
      <c r="AX73" s="36" t="str">
        <f t="shared" si="20"/>
        <v>YA</v>
      </c>
      <c r="AY73" s="170">
        <f t="shared" si="21"/>
        <v>0.76</v>
      </c>
      <c r="AZ73" s="10"/>
      <c r="BA73" s="155">
        <v>0.25</v>
      </c>
      <c r="BB73" s="86">
        <f t="shared" si="22"/>
        <v>6</v>
      </c>
      <c r="BC73" s="224">
        <v>6</v>
      </c>
      <c r="BD73" s="37"/>
      <c r="BE73" s="86">
        <f t="shared" si="5"/>
        <v>0</v>
      </c>
      <c r="BF73" s="38"/>
      <c r="BG73" s="188"/>
      <c r="BH73" s="154"/>
      <c r="BI73" s="153"/>
      <c r="BJ73" s="86">
        <f t="shared" si="23"/>
        <v>5</v>
      </c>
      <c r="BK73" s="226">
        <v>5</v>
      </c>
      <c r="BL73" s="178"/>
      <c r="BM73" s="91"/>
      <c r="BN73" s="91"/>
      <c r="BO73" s="91"/>
      <c r="BP73" s="91"/>
      <c r="BQ73" s="91"/>
      <c r="BR73" s="91"/>
      <c r="BS73" s="91"/>
      <c r="BT73" s="91"/>
      <c r="BU73" s="91"/>
      <c r="BV73" s="39"/>
    </row>
    <row r="74" spans="2:74" x14ac:dyDescent="0.25">
      <c r="B74" s="136">
        <v>61</v>
      </c>
      <c r="C74" s="210" t="s">
        <v>348</v>
      </c>
      <c r="D74" s="198" t="s">
        <v>333</v>
      </c>
      <c r="E74" s="195" t="s">
        <v>334</v>
      </c>
      <c r="F74" s="131"/>
      <c r="G74" s="199" t="s">
        <v>195</v>
      </c>
      <c r="H74" s="200" t="s">
        <v>94</v>
      </c>
      <c r="I74" s="201" t="str">
        <f t="shared" si="0"/>
        <v>R</v>
      </c>
      <c r="J74" s="202">
        <v>3</v>
      </c>
      <c r="K74" s="149"/>
      <c r="L74" s="203">
        <v>0</v>
      </c>
      <c r="M74" s="88"/>
      <c r="N74" s="40">
        <f t="shared" si="1"/>
        <v>12.447916666666668</v>
      </c>
      <c r="O74" s="58">
        <f t="shared" si="6"/>
        <v>4.6666666666666687</v>
      </c>
      <c r="P74" s="58">
        <f t="shared" si="7"/>
        <v>319.99999999999989</v>
      </c>
      <c r="Q74" s="231">
        <v>0.54166666666666663</v>
      </c>
      <c r="R74" s="128"/>
      <c r="S74" s="103">
        <f t="shared" si="2"/>
        <v>0</v>
      </c>
      <c r="T74" s="49">
        <f t="shared" si="8"/>
        <v>4.53125</v>
      </c>
      <c r="U74" s="36">
        <f t="shared" si="9"/>
        <v>3</v>
      </c>
      <c r="V74" s="36">
        <f t="shared" si="10"/>
        <v>5</v>
      </c>
      <c r="W74" s="36">
        <f t="shared" si="11"/>
        <v>7</v>
      </c>
      <c r="X74" s="36">
        <f t="shared" si="12"/>
        <v>2</v>
      </c>
      <c r="Y74" s="36">
        <f t="shared" si="13"/>
        <v>5</v>
      </c>
      <c r="Z74" s="36">
        <f t="shared" si="14"/>
        <v>7</v>
      </c>
      <c r="AA74" s="36">
        <f t="shared" si="15"/>
        <v>3</v>
      </c>
      <c r="AB74" s="48">
        <f t="shared" si="16"/>
        <v>4.25</v>
      </c>
      <c r="AC74" s="87"/>
      <c r="AD74" s="87"/>
      <c r="AE74" s="87"/>
      <c r="AF74" s="87"/>
      <c r="AG74" s="87"/>
      <c r="AH74" s="87"/>
      <c r="AI74" s="87"/>
      <c r="AJ74" s="87"/>
      <c r="AK74" s="205">
        <v>9</v>
      </c>
      <c r="AL74" s="206">
        <v>8</v>
      </c>
      <c r="AM74" s="206">
        <v>9</v>
      </c>
      <c r="AN74" s="206">
        <v>7</v>
      </c>
      <c r="AO74" s="206">
        <v>9</v>
      </c>
      <c r="AP74" s="206">
        <v>9</v>
      </c>
      <c r="AQ74" s="206">
        <v>5</v>
      </c>
      <c r="AR74" s="207">
        <v>5</v>
      </c>
      <c r="AS74" s="40">
        <f t="shared" si="17"/>
        <v>3.25</v>
      </c>
      <c r="AT74" s="156">
        <f t="shared" si="18"/>
        <v>0</v>
      </c>
      <c r="AU74" s="209">
        <v>5</v>
      </c>
      <c r="AV74" s="161">
        <f t="shared" si="19"/>
        <v>0</v>
      </c>
      <c r="AW74" s="165"/>
      <c r="AX74" s="36" t="str">
        <f t="shared" si="20"/>
        <v>YA</v>
      </c>
      <c r="AY74" s="170">
        <f t="shared" si="21"/>
        <v>0.76</v>
      </c>
      <c r="AZ74" s="10"/>
      <c r="BA74" s="235">
        <v>0.25</v>
      </c>
      <c r="BB74" s="86">
        <f t="shared" si="22"/>
        <v>8</v>
      </c>
      <c r="BC74" s="225">
        <v>8</v>
      </c>
      <c r="BD74" s="37"/>
      <c r="BE74" s="86">
        <f t="shared" si="5"/>
        <v>0</v>
      </c>
      <c r="BF74" s="38"/>
      <c r="BG74" s="188"/>
      <c r="BH74" s="208"/>
      <c r="BI74" s="209"/>
      <c r="BJ74" s="86">
        <f t="shared" si="23"/>
        <v>5</v>
      </c>
      <c r="BK74" s="227">
        <v>5</v>
      </c>
      <c r="BL74" s="178"/>
      <c r="BM74" s="91"/>
      <c r="BN74" s="91"/>
      <c r="BO74" s="91"/>
      <c r="BP74" s="91"/>
      <c r="BQ74" s="91"/>
      <c r="BR74" s="91"/>
      <c r="BS74" s="91"/>
      <c r="BT74" s="91"/>
      <c r="BU74" s="91"/>
      <c r="BV74" s="39"/>
    </row>
    <row r="75" spans="2:74" x14ac:dyDescent="0.25">
      <c r="B75" s="136">
        <v>62</v>
      </c>
      <c r="C75" s="194" t="s">
        <v>335</v>
      </c>
      <c r="D75" s="198" t="s">
        <v>349</v>
      </c>
      <c r="E75" s="195" t="s">
        <v>350</v>
      </c>
      <c r="F75" s="131"/>
      <c r="G75" s="199" t="s">
        <v>195</v>
      </c>
      <c r="H75" s="200" t="s">
        <v>94</v>
      </c>
      <c r="I75" s="201" t="str">
        <f t="shared" si="0"/>
        <v>R</v>
      </c>
      <c r="J75" s="202">
        <v>3</v>
      </c>
      <c r="K75" s="149"/>
      <c r="L75" s="203">
        <v>0</v>
      </c>
      <c r="M75" s="88"/>
      <c r="N75" s="40">
        <f t="shared" si="1"/>
        <v>12.364583333333336</v>
      </c>
      <c r="O75" s="58">
        <f t="shared" si="6"/>
        <v>4.5833333333333348</v>
      </c>
      <c r="P75" s="58">
        <f t="shared" si="7"/>
        <v>324.99999999999989</v>
      </c>
      <c r="Q75" s="231">
        <v>0.54513888888888884</v>
      </c>
      <c r="R75" s="128"/>
      <c r="S75" s="103">
        <f t="shared" si="2"/>
        <v>0</v>
      </c>
      <c r="T75" s="49">
        <f t="shared" si="8"/>
        <v>4.53125</v>
      </c>
      <c r="U75" s="36">
        <f t="shared" si="9"/>
        <v>3</v>
      </c>
      <c r="V75" s="36">
        <f t="shared" si="10"/>
        <v>5</v>
      </c>
      <c r="W75" s="36">
        <f t="shared" si="11"/>
        <v>7</v>
      </c>
      <c r="X75" s="36">
        <f t="shared" si="12"/>
        <v>2</v>
      </c>
      <c r="Y75" s="36">
        <f t="shared" si="13"/>
        <v>5</v>
      </c>
      <c r="Z75" s="36">
        <f t="shared" si="14"/>
        <v>7</v>
      </c>
      <c r="AA75" s="36">
        <f t="shared" si="15"/>
        <v>3</v>
      </c>
      <c r="AB75" s="48">
        <f t="shared" si="16"/>
        <v>4.25</v>
      </c>
      <c r="AC75" s="87"/>
      <c r="AD75" s="87"/>
      <c r="AE75" s="87"/>
      <c r="AF75" s="87"/>
      <c r="AG75" s="87"/>
      <c r="AH75" s="87"/>
      <c r="AI75" s="87"/>
      <c r="AJ75" s="87"/>
      <c r="AK75" s="205">
        <v>9</v>
      </c>
      <c r="AL75" s="206">
        <v>8</v>
      </c>
      <c r="AM75" s="206">
        <v>9</v>
      </c>
      <c r="AN75" s="206">
        <v>7</v>
      </c>
      <c r="AO75" s="206">
        <v>9</v>
      </c>
      <c r="AP75" s="206">
        <v>9</v>
      </c>
      <c r="AQ75" s="206">
        <v>5</v>
      </c>
      <c r="AR75" s="207">
        <v>5</v>
      </c>
      <c r="AS75" s="40">
        <f t="shared" si="17"/>
        <v>3.25</v>
      </c>
      <c r="AT75" s="156">
        <f t="shared" si="18"/>
        <v>0</v>
      </c>
      <c r="AU75" s="209">
        <v>5</v>
      </c>
      <c r="AV75" s="161">
        <f t="shared" si="19"/>
        <v>0</v>
      </c>
      <c r="AW75" s="165"/>
      <c r="AX75" s="36" t="str">
        <f t="shared" si="20"/>
        <v>YA</v>
      </c>
      <c r="AY75" s="170">
        <f t="shared" si="21"/>
        <v>0.76</v>
      </c>
      <c r="AZ75" s="10"/>
      <c r="BA75" s="235">
        <v>0.25</v>
      </c>
      <c r="BB75" s="86">
        <f t="shared" si="22"/>
        <v>8</v>
      </c>
      <c r="BC75" s="225">
        <v>8</v>
      </c>
      <c r="BD75" s="37"/>
      <c r="BE75" s="86">
        <f t="shared" si="5"/>
        <v>0</v>
      </c>
      <c r="BF75" s="38"/>
      <c r="BG75" s="188"/>
      <c r="BH75" s="208"/>
      <c r="BI75" s="209"/>
      <c r="BJ75" s="86">
        <f t="shared" si="23"/>
        <v>5</v>
      </c>
      <c r="BK75" s="227">
        <v>5</v>
      </c>
      <c r="BL75" s="178"/>
      <c r="BM75" s="91"/>
      <c r="BN75" s="91"/>
      <c r="BO75" s="91"/>
      <c r="BP75" s="91"/>
      <c r="BQ75" s="91"/>
      <c r="BR75" s="91"/>
      <c r="BS75" s="91"/>
      <c r="BT75" s="91"/>
      <c r="BU75" s="91"/>
      <c r="BV75" s="39"/>
    </row>
    <row r="76" spans="2:74" ht="30" x14ac:dyDescent="0.25">
      <c r="B76" s="136">
        <v>63</v>
      </c>
      <c r="C76" s="194" t="s">
        <v>351</v>
      </c>
      <c r="D76" s="198" t="s">
        <v>352</v>
      </c>
      <c r="E76" s="195" t="s">
        <v>353</v>
      </c>
      <c r="F76" s="131"/>
      <c r="G76" s="199" t="s">
        <v>195</v>
      </c>
      <c r="H76" s="200" t="s">
        <v>94</v>
      </c>
      <c r="I76" s="201" t="str">
        <f t="shared" si="0"/>
        <v>R</v>
      </c>
      <c r="J76" s="202">
        <v>3</v>
      </c>
      <c r="K76" s="149"/>
      <c r="L76" s="203">
        <v>0</v>
      </c>
      <c r="M76" s="88"/>
      <c r="N76" s="40">
        <f t="shared" si="1"/>
        <v>12.281250000000002</v>
      </c>
      <c r="O76" s="58">
        <f t="shared" si="6"/>
        <v>4.5000000000000018</v>
      </c>
      <c r="P76" s="58">
        <f t="shared" si="7"/>
        <v>329.99999999999989</v>
      </c>
      <c r="Q76" s="231">
        <v>0.54861111111111105</v>
      </c>
      <c r="R76" s="128"/>
      <c r="S76" s="103">
        <f t="shared" si="2"/>
        <v>0</v>
      </c>
      <c r="T76" s="49">
        <f t="shared" si="8"/>
        <v>4.53125</v>
      </c>
      <c r="U76" s="36">
        <f t="shared" si="9"/>
        <v>3</v>
      </c>
      <c r="V76" s="36">
        <f t="shared" si="10"/>
        <v>5</v>
      </c>
      <c r="W76" s="36">
        <f t="shared" si="11"/>
        <v>7</v>
      </c>
      <c r="X76" s="36">
        <f t="shared" si="12"/>
        <v>2</v>
      </c>
      <c r="Y76" s="36">
        <f t="shared" si="13"/>
        <v>5</v>
      </c>
      <c r="Z76" s="36">
        <f t="shared" si="14"/>
        <v>7</v>
      </c>
      <c r="AA76" s="36">
        <f t="shared" si="15"/>
        <v>3</v>
      </c>
      <c r="AB76" s="48">
        <f t="shared" si="16"/>
        <v>4.25</v>
      </c>
      <c r="AC76" s="87"/>
      <c r="AD76" s="87"/>
      <c r="AE76" s="87"/>
      <c r="AF76" s="87"/>
      <c r="AG76" s="87"/>
      <c r="AH76" s="87"/>
      <c r="AI76" s="87"/>
      <c r="AJ76" s="87"/>
      <c r="AK76" s="205">
        <v>9</v>
      </c>
      <c r="AL76" s="206">
        <v>8</v>
      </c>
      <c r="AM76" s="206">
        <v>9</v>
      </c>
      <c r="AN76" s="206">
        <v>7</v>
      </c>
      <c r="AO76" s="206">
        <v>9</v>
      </c>
      <c r="AP76" s="206">
        <v>9</v>
      </c>
      <c r="AQ76" s="206">
        <v>5</v>
      </c>
      <c r="AR76" s="207">
        <v>5</v>
      </c>
      <c r="AS76" s="40">
        <f t="shared" si="17"/>
        <v>3.25</v>
      </c>
      <c r="AT76" s="156">
        <f t="shared" si="18"/>
        <v>0</v>
      </c>
      <c r="AU76" s="209">
        <v>5</v>
      </c>
      <c r="AV76" s="161">
        <f t="shared" si="19"/>
        <v>0</v>
      </c>
      <c r="AW76" s="165"/>
      <c r="AX76" s="36" t="str">
        <f t="shared" si="20"/>
        <v>YA</v>
      </c>
      <c r="AY76" s="170">
        <f t="shared" si="21"/>
        <v>0.76</v>
      </c>
      <c r="AZ76" s="10"/>
      <c r="BA76" s="235">
        <v>0.25</v>
      </c>
      <c r="BB76" s="86">
        <f t="shared" si="22"/>
        <v>8</v>
      </c>
      <c r="BC76" s="225">
        <v>8</v>
      </c>
      <c r="BD76" s="37"/>
      <c r="BE76" s="86">
        <f t="shared" si="5"/>
        <v>0</v>
      </c>
      <c r="BF76" s="38"/>
      <c r="BG76" s="188"/>
      <c r="BH76" s="208"/>
      <c r="BI76" s="209"/>
      <c r="BJ76" s="86">
        <f t="shared" si="23"/>
        <v>5</v>
      </c>
      <c r="BK76" s="227">
        <v>5</v>
      </c>
      <c r="BL76" s="178"/>
      <c r="BM76" s="91"/>
      <c r="BN76" s="91"/>
      <c r="BO76" s="91"/>
      <c r="BP76" s="91"/>
      <c r="BQ76" s="91"/>
      <c r="BR76" s="91"/>
      <c r="BS76" s="91"/>
      <c r="BT76" s="91"/>
      <c r="BU76" s="91"/>
      <c r="BV76" s="39"/>
    </row>
    <row r="77" spans="2:74" x14ac:dyDescent="0.25">
      <c r="B77" s="136">
        <v>64</v>
      </c>
      <c r="C77" s="194" t="s">
        <v>354</v>
      </c>
      <c r="D77" s="138" t="s">
        <v>161</v>
      </c>
      <c r="E77" s="196" t="s">
        <v>289</v>
      </c>
      <c r="F77" s="131"/>
      <c r="G77" s="144" t="s">
        <v>195</v>
      </c>
      <c r="H77" s="145" t="s">
        <v>94</v>
      </c>
      <c r="I77" s="146" t="str">
        <f t="shared" si="0"/>
        <v>R</v>
      </c>
      <c r="J77" s="148">
        <v>3</v>
      </c>
      <c r="K77" s="149"/>
      <c r="L77" s="149">
        <v>0</v>
      </c>
      <c r="M77" s="88"/>
      <c r="N77" s="40">
        <f t="shared" si="1"/>
        <v>11.19791666666667</v>
      </c>
      <c r="O77" s="58">
        <f t="shared" si="6"/>
        <v>4.4166666666666696</v>
      </c>
      <c r="P77" s="82">
        <f t="shared" si="7"/>
        <v>334.99999999999983</v>
      </c>
      <c r="Q77" s="229">
        <v>0.55208333333333326</v>
      </c>
      <c r="R77" s="93"/>
      <c r="S77" s="103">
        <f t="shared" si="2"/>
        <v>0</v>
      </c>
      <c r="T77" s="49">
        <f t="shared" si="8"/>
        <v>3.53125</v>
      </c>
      <c r="U77" s="36">
        <f t="shared" si="9"/>
        <v>2</v>
      </c>
      <c r="V77" s="36">
        <f t="shared" si="10"/>
        <v>5</v>
      </c>
      <c r="W77" s="36">
        <f t="shared" si="11"/>
        <v>7</v>
      </c>
      <c r="X77" s="36">
        <f t="shared" si="12"/>
        <v>6</v>
      </c>
      <c r="Y77" s="36">
        <f t="shared" si="13"/>
        <v>5</v>
      </c>
      <c r="Z77" s="36">
        <f t="shared" si="14"/>
        <v>2</v>
      </c>
      <c r="AA77" s="36">
        <f t="shared" si="15"/>
        <v>0</v>
      </c>
      <c r="AB77" s="48">
        <f t="shared" si="16"/>
        <v>1.25</v>
      </c>
      <c r="AK77" s="150">
        <v>8</v>
      </c>
      <c r="AL77" s="151">
        <v>8</v>
      </c>
      <c r="AM77" s="151">
        <v>9</v>
      </c>
      <c r="AN77" s="151">
        <v>3</v>
      </c>
      <c r="AO77" s="151">
        <v>9</v>
      </c>
      <c r="AP77" s="151">
        <v>4</v>
      </c>
      <c r="AQ77" s="151">
        <v>2</v>
      </c>
      <c r="AR77" s="152">
        <v>2</v>
      </c>
      <c r="AS77" s="40">
        <f t="shared" si="17"/>
        <v>3.25</v>
      </c>
      <c r="AT77" s="156">
        <f t="shared" si="18"/>
        <v>0</v>
      </c>
      <c r="AU77" s="153">
        <v>5</v>
      </c>
      <c r="AV77" s="161">
        <f t="shared" si="19"/>
        <v>0</v>
      </c>
      <c r="AW77" s="165"/>
      <c r="AX77" s="36" t="str">
        <f t="shared" si="20"/>
        <v>YA</v>
      </c>
      <c r="AY77" s="170">
        <f t="shared" si="21"/>
        <v>0.76</v>
      </c>
      <c r="AZ77" s="10"/>
      <c r="BA77" s="155">
        <v>0.25</v>
      </c>
      <c r="BB77" s="86">
        <f t="shared" si="22"/>
        <v>8</v>
      </c>
      <c r="BC77" s="224">
        <v>8</v>
      </c>
      <c r="BD77" s="37"/>
      <c r="BE77" s="86">
        <f t="shared" si="5"/>
        <v>0</v>
      </c>
      <c r="BF77" s="38"/>
      <c r="BG77" s="188"/>
      <c r="BH77" s="154"/>
      <c r="BI77" s="153"/>
      <c r="BJ77" s="86">
        <f t="shared" si="23"/>
        <v>5</v>
      </c>
      <c r="BK77" s="226">
        <v>5</v>
      </c>
      <c r="BL77" s="178"/>
      <c r="BM77" s="91"/>
      <c r="BN77" s="91"/>
      <c r="BO77" s="91"/>
      <c r="BP77" s="91"/>
      <c r="BQ77" s="91"/>
      <c r="BR77" s="91"/>
      <c r="BS77" s="91"/>
      <c r="BT77" s="91"/>
      <c r="BU77" s="91"/>
      <c r="BV77" s="39"/>
    </row>
    <row r="78" spans="2:74" x14ac:dyDescent="0.25">
      <c r="B78" s="136">
        <v>65</v>
      </c>
      <c r="C78" s="137" t="s">
        <v>88</v>
      </c>
      <c r="D78" s="138" t="s">
        <v>162</v>
      </c>
      <c r="E78" s="196" t="s">
        <v>19</v>
      </c>
      <c r="F78" s="131"/>
      <c r="G78" s="144" t="s">
        <v>195</v>
      </c>
      <c r="H78" s="145" t="s">
        <v>95</v>
      </c>
      <c r="I78" s="146" t="str">
        <f t="shared" ref="I78:I117" si="24">IF(W78&gt;0,IF(X78-W78&gt;0,"I","R"),"R")</f>
        <v>R</v>
      </c>
      <c r="J78" s="148">
        <v>-1</v>
      </c>
      <c r="K78" s="149"/>
      <c r="L78" s="149">
        <v>3</v>
      </c>
      <c r="M78" s="88"/>
      <c r="N78" s="40">
        <f t="shared" ref="N78:N117" si="25">IF(I78="I",0,IF(AX78="YA",O78+T78+AS78,0))</f>
        <v>7.8229166666666687</v>
      </c>
      <c r="O78" s="58">
        <f t="shared" ref="O78:O117" si="26">IF(P78="-",5,IF(10-(P78/60)&gt;10,10+(P78/60*10),10-(P78/60)))</f>
        <v>3.9166666666666687</v>
      </c>
      <c r="P78" s="82">
        <f t="shared" ref="P78:P117" si="27">IF(Q78="-","-",IF((Q78-$P$11)*1440&gt;1,(Q78-$P$11)*1440,-1*(Q78-$P$11)*1440))</f>
        <v>364.99999999999989</v>
      </c>
      <c r="Q78" s="230">
        <v>0.57291666666666663</v>
      </c>
      <c r="R78" s="96"/>
      <c r="S78" s="103">
        <f t="shared" ref="S78:S117" si="28">IF(L78=0,0,IF(L78=1,R78+$M$13,IF(L78=2,R78+$M$14,IF(L78=3,R78+$M$15,IF(L78=4,R78+$M$16,0)))))</f>
        <v>0.99930555555555556</v>
      </c>
      <c r="T78" s="49">
        <f t="shared" ref="T78:T117" si="29">SUM(U78:AB78)/8</f>
        <v>1.90625</v>
      </c>
      <c r="U78" s="36">
        <f t="shared" ref="U78:U117" si="30">AK78-$AC$13</f>
        <v>0</v>
      </c>
      <c r="V78" s="36">
        <f t="shared" ref="V78:V117" si="31">AL78-$AD$13</f>
        <v>5</v>
      </c>
      <c r="W78" s="36">
        <f t="shared" ref="W78:W117" si="32">AM78-$AE$13</f>
        <v>6</v>
      </c>
      <c r="X78" s="36">
        <f t="shared" ref="X78:X117" si="33">$AF$13-AN78</f>
        <v>3</v>
      </c>
      <c r="Y78" s="36">
        <f t="shared" ref="Y78:Y117" si="34">AO78-$AG$13</f>
        <v>0</v>
      </c>
      <c r="Z78" s="36">
        <f t="shared" ref="Z78:Z117" si="35">AP78-$AH$13</f>
        <v>0</v>
      </c>
      <c r="AA78" s="36">
        <f t="shared" ref="AA78:AA117" si="36">AQ78-$AH$13</f>
        <v>-1</v>
      </c>
      <c r="AB78" s="48">
        <f t="shared" ref="AB78:AB117" si="37">AR78-$AJ$13</f>
        <v>2.25</v>
      </c>
      <c r="AK78" s="150">
        <v>6</v>
      </c>
      <c r="AL78" s="151">
        <v>8</v>
      </c>
      <c r="AM78" s="151">
        <v>8</v>
      </c>
      <c r="AN78" s="151">
        <v>6</v>
      </c>
      <c r="AO78" s="151">
        <v>4</v>
      </c>
      <c r="AP78" s="151">
        <v>2</v>
      </c>
      <c r="AQ78" s="151">
        <v>1</v>
      </c>
      <c r="AR78" s="152">
        <v>3</v>
      </c>
      <c r="AS78" s="40">
        <f t="shared" ref="AS78:AS117" si="38">(AT78+BB78+BE78+BJ78)/4</f>
        <v>2</v>
      </c>
      <c r="AT78" s="156">
        <f t="shared" ref="AT78:AT117" si="39">AU78*AV78</f>
        <v>0</v>
      </c>
      <c r="AU78" s="153">
        <v>5</v>
      </c>
      <c r="AV78" s="161">
        <f t="shared" ref="AV78:AV117" si="40">IF(AW78=1,1,IF(AW78=2,0.9,IF(AW78=3,0.8,IF(AW78=4,0.7,IF(AW78=5,0.6,IF(AW78=6,0.5,IF(AW78=7,0.4,IF(AW78=8,0.3,IF(AW78=9,0.2,IF(AW78=10,0.1,IF(AW78=0,0,0)))))))))))</f>
        <v>0</v>
      </c>
      <c r="AW78" s="165"/>
      <c r="AX78" s="36" t="str">
        <f t="shared" ref="AX78:AX117" si="41">IF($AZ$13&gt;=BA78,"YA","TIDAK")</f>
        <v>YA</v>
      </c>
      <c r="AY78" s="170">
        <f t="shared" ref="AY78:AY117" si="42">IF($AZ$13-BA78&gt;0,$AZ$13-BA78,"0")</f>
        <v>0.26</v>
      </c>
      <c r="AZ78" s="10"/>
      <c r="BA78" s="155">
        <v>0.75</v>
      </c>
      <c r="BB78" s="86">
        <f t="shared" ref="BB78:BB117" si="43">BC78+BD78</f>
        <v>5</v>
      </c>
      <c r="BC78" s="224">
        <v>5</v>
      </c>
      <c r="BD78" s="37"/>
      <c r="BE78" s="86">
        <f t="shared" ref="BE78:BE117" si="44">BF78*BH78*BI78</f>
        <v>0</v>
      </c>
      <c r="BF78" s="38"/>
      <c r="BG78" s="188"/>
      <c r="BH78" s="154"/>
      <c r="BI78" s="153"/>
      <c r="BJ78" s="86">
        <f t="shared" ref="BJ78:BJ117" si="45">SUM(BK78:BV78)</f>
        <v>3</v>
      </c>
      <c r="BK78" s="226">
        <v>3</v>
      </c>
      <c r="BL78" s="178"/>
      <c r="BM78" s="91"/>
      <c r="BN78" s="91"/>
      <c r="BO78" s="91"/>
      <c r="BP78" s="91"/>
      <c r="BQ78" s="91"/>
      <c r="BR78" s="91"/>
      <c r="BS78" s="91"/>
      <c r="BT78" s="91"/>
      <c r="BU78" s="91"/>
      <c r="BV78" s="39"/>
    </row>
    <row r="79" spans="2:74" x14ac:dyDescent="0.25">
      <c r="B79" s="136">
        <v>66</v>
      </c>
      <c r="C79" s="194" t="s">
        <v>88</v>
      </c>
      <c r="D79" s="198" t="s">
        <v>333</v>
      </c>
      <c r="E79" s="213" t="s">
        <v>334</v>
      </c>
      <c r="F79" s="131"/>
      <c r="G79" s="199" t="s">
        <v>195</v>
      </c>
      <c r="H79" s="200" t="s">
        <v>94</v>
      </c>
      <c r="I79" s="201" t="str">
        <f t="shared" si="24"/>
        <v>R</v>
      </c>
      <c r="J79" s="202">
        <v>3</v>
      </c>
      <c r="K79" s="149"/>
      <c r="L79" s="203">
        <v>0</v>
      </c>
      <c r="M79" s="88"/>
      <c r="N79" s="40">
        <f t="shared" si="25"/>
        <v>10.947916666666668</v>
      </c>
      <c r="O79" s="58">
        <f t="shared" si="26"/>
        <v>3.1666666666666687</v>
      </c>
      <c r="P79" s="84">
        <f t="shared" si="27"/>
        <v>409.99999999999989</v>
      </c>
      <c r="Q79" s="230">
        <v>0.60416666666666663</v>
      </c>
      <c r="R79" s="106"/>
      <c r="S79" s="103">
        <f t="shared" si="28"/>
        <v>0</v>
      </c>
      <c r="T79" s="49">
        <f t="shared" si="29"/>
        <v>4.53125</v>
      </c>
      <c r="U79" s="36">
        <f t="shared" si="30"/>
        <v>3</v>
      </c>
      <c r="V79" s="36">
        <f t="shared" si="31"/>
        <v>5</v>
      </c>
      <c r="W79" s="36">
        <f t="shared" si="32"/>
        <v>7</v>
      </c>
      <c r="X79" s="36">
        <f t="shared" si="33"/>
        <v>2</v>
      </c>
      <c r="Y79" s="36">
        <f t="shared" si="34"/>
        <v>5</v>
      </c>
      <c r="Z79" s="36">
        <f t="shared" si="35"/>
        <v>7</v>
      </c>
      <c r="AA79" s="36">
        <f t="shared" si="36"/>
        <v>3</v>
      </c>
      <c r="AB79" s="48">
        <f t="shared" si="37"/>
        <v>4.25</v>
      </c>
      <c r="AC79" s="87"/>
      <c r="AD79" s="87"/>
      <c r="AE79" s="87"/>
      <c r="AF79" s="87"/>
      <c r="AG79" s="87"/>
      <c r="AH79" s="87"/>
      <c r="AI79" s="87"/>
      <c r="AJ79" s="87"/>
      <c r="AK79" s="205">
        <v>9</v>
      </c>
      <c r="AL79" s="206">
        <v>8</v>
      </c>
      <c r="AM79" s="206">
        <v>9</v>
      </c>
      <c r="AN79" s="206">
        <v>7</v>
      </c>
      <c r="AO79" s="206">
        <v>9</v>
      </c>
      <c r="AP79" s="206">
        <v>9</v>
      </c>
      <c r="AQ79" s="206">
        <v>5</v>
      </c>
      <c r="AR79" s="207">
        <v>5</v>
      </c>
      <c r="AS79" s="40">
        <f t="shared" si="38"/>
        <v>3.25</v>
      </c>
      <c r="AT79" s="156">
        <f t="shared" si="39"/>
        <v>0</v>
      </c>
      <c r="AU79" s="209">
        <v>5</v>
      </c>
      <c r="AV79" s="161">
        <f t="shared" si="40"/>
        <v>0</v>
      </c>
      <c r="AW79" s="165"/>
      <c r="AX79" s="36" t="str">
        <f t="shared" si="41"/>
        <v>YA</v>
      </c>
      <c r="AY79" s="170">
        <f t="shared" si="42"/>
        <v>0.76</v>
      </c>
      <c r="AZ79" s="10"/>
      <c r="BA79" s="235">
        <v>0.25</v>
      </c>
      <c r="BB79" s="86">
        <f t="shared" si="43"/>
        <v>8</v>
      </c>
      <c r="BC79" s="225">
        <v>8</v>
      </c>
      <c r="BD79" s="37"/>
      <c r="BE79" s="86">
        <f t="shared" si="44"/>
        <v>0</v>
      </c>
      <c r="BF79" s="38"/>
      <c r="BG79" s="188"/>
      <c r="BH79" s="208"/>
      <c r="BI79" s="209"/>
      <c r="BJ79" s="86">
        <f t="shared" si="45"/>
        <v>5</v>
      </c>
      <c r="BK79" s="227">
        <v>5</v>
      </c>
      <c r="BL79" s="178"/>
      <c r="BM79" s="91"/>
      <c r="BN79" s="91"/>
      <c r="BO79" s="91"/>
      <c r="BP79" s="91"/>
      <c r="BQ79" s="91"/>
      <c r="BR79" s="91"/>
      <c r="BS79" s="91"/>
      <c r="BT79" s="91"/>
      <c r="BU79" s="91"/>
      <c r="BV79" s="39"/>
    </row>
    <row r="80" spans="2:74" ht="30" x14ac:dyDescent="0.25">
      <c r="B80" s="136">
        <v>67</v>
      </c>
      <c r="C80" s="194" t="s">
        <v>335</v>
      </c>
      <c r="D80" s="138" t="s">
        <v>163</v>
      </c>
      <c r="E80" s="196" t="s">
        <v>325</v>
      </c>
      <c r="F80" s="131"/>
      <c r="G80" s="144" t="s">
        <v>195</v>
      </c>
      <c r="H80" s="145" t="s">
        <v>94</v>
      </c>
      <c r="I80" s="146" t="str">
        <f t="shared" si="24"/>
        <v>I</v>
      </c>
      <c r="J80" s="148">
        <v>2</v>
      </c>
      <c r="K80" s="149"/>
      <c r="L80" s="149">
        <v>0</v>
      </c>
      <c r="M80" s="88"/>
      <c r="N80" s="40">
        <f t="shared" si="25"/>
        <v>0</v>
      </c>
      <c r="O80" s="58">
        <f t="shared" si="26"/>
        <v>3.0833333333333348</v>
      </c>
      <c r="P80" s="84">
        <f t="shared" si="27"/>
        <v>414.99999999999989</v>
      </c>
      <c r="Q80" s="229">
        <v>0.60763888888888884</v>
      </c>
      <c r="R80" s="106"/>
      <c r="S80" s="103">
        <f t="shared" si="28"/>
        <v>0</v>
      </c>
      <c r="T80" s="49">
        <f t="shared" si="29"/>
        <v>2.78125</v>
      </c>
      <c r="U80" s="36">
        <f t="shared" si="30"/>
        <v>2</v>
      </c>
      <c r="V80" s="36">
        <f t="shared" si="31"/>
        <v>5</v>
      </c>
      <c r="W80" s="36">
        <f t="shared" si="32"/>
        <v>4</v>
      </c>
      <c r="X80" s="36">
        <f t="shared" si="33"/>
        <v>6</v>
      </c>
      <c r="Y80" s="36">
        <f t="shared" si="34"/>
        <v>2</v>
      </c>
      <c r="Z80" s="36">
        <f t="shared" si="35"/>
        <v>2</v>
      </c>
      <c r="AA80" s="36">
        <f t="shared" si="36"/>
        <v>0</v>
      </c>
      <c r="AB80" s="48">
        <f t="shared" si="37"/>
        <v>1.25</v>
      </c>
      <c r="AK80" s="150">
        <v>8</v>
      </c>
      <c r="AL80" s="151">
        <v>8</v>
      </c>
      <c r="AM80" s="151">
        <v>6</v>
      </c>
      <c r="AN80" s="151">
        <v>3</v>
      </c>
      <c r="AO80" s="151">
        <v>6</v>
      </c>
      <c r="AP80" s="151">
        <v>4</v>
      </c>
      <c r="AQ80" s="151">
        <v>2</v>
      </c>
      <c r="AR80" s="152">
        <v>2</v>
      </c>
      <c r="AS80" s="40">
        <f t="shared" si="38"/>
        <v>3.25</v>
      </c>
      <c r="AT80" s="156">
        <f t="shared" si="39"/>
        <v>0</v>
      </c>
      <c r="AU80" s="153">
        <v>5</v>
      </c>
      <c r="AV80" s="161">
        <f t="shared" si="40"/>
        <v>0</v>
      </c>
      <c r="AW80" s="165"/>
      <c r="AX80" s="36" t="str">
        <f t="shared" si="41"/>
        <v>YA</v>
      </c>
      <c r="AY80" s="170">
        <f t="shared" si="42"/>
        <v>0.51</v>
      </c>
      <c r="AZ80" s="10"/>
      <c r="BA80" s="155">
        <v>0.5</v>
      </c>
      <c r="BB80" s="86">
        <f t="shared" si="43"/>
        <v>8</v>
      </c>
      <c r="BC80" s="224">
        <v>8</v>
      </c>
      <c r="BD80" s="37"/>
      <c r="BE80" s="86">
        <f t="shared" si="44"/>
        <v>0</v>
      </c>
      <c r="BF80" s="38"/>
      <c r="BG80" s="188"/>
      <c r="BH80" s="154"/>
      <c r="BI80" s="153"/>
      <c r="BJ80" s="86">
        <f t="shared" si="45"/>
        <v>5</v>
      </c>
      <c r="BK80" s="226">
        <v>5</v>
      </c>
      <c r="BL80" s="178"/>
      <c r="BM80" s="91"/>
      <c r="BN80" s="91"/>
      <c r="BO80" s="91"/>
      <c r="BP80" s="91"/>
      <c r="BQ80" s="91"/>
      <c r="BR80" s="91"/>
      <c r="BS80" s="91"/>
      <c r="BT80" s="91"/>
      <c r="BU80" s="91"/>
      <c r="BV80" s="39"/>
    </row>
    <row r="81" spans="2:74" ht="30" x14ac:dyDescent="0.25">
      <c r="B81" s="136">
        <v>68</v>
      </c>
      <c r="C81" s="137" t="s">
        <v>88</v>
      </c>
      <c r="D81" s="138" t="s">
        <v>164</v>
      </c>
      <c r="E81" s="196" t="s">
        <v>290</v>
      </c>
      <c r="F81" s="131"/>
      <c r="G81" s="144" t="s">
        <v>195</v>
      </c>
      <c r="H81" s="145" t="s">
        <v>94</v>
      </c>
      <c r="I81" s="146" t="str">
        <f t="shared" si="24"/>
        <v>R</v>
      </c>
      <c r="J81" s="148">
        <v>3</v>
      </c>
      <c r="K81" s="149"/>
      <c r="L81" s="149">
        <v>0</v>
      </c>
      <c r="M81" s="88"/>
      <c r="N81" s="40">
        <f t="shared" si="25"/>
        <v>10.864583333333336</v>
      </c>
      <c r="O81" s="58">
        <f t="shared" si="26"/>
        <v>2.0833333333333366</v>
      </c>
      <c r="P81" s="81">
        <f t="shared" si="27"/>
        <v>474.99999999999983</v>
      </c>
      <c r="Q81" s="230">
        <v>0.64930555555555547</v>
      </c>
      <c r="R81" s="96"/>
      <c r="S81" s="103">
        <f t="shared" si="28"/>
        <v>0</v>
      </c>
      <c r="T81" s="49">
        <f t="shared" si="29"/>
        <v>4.78125</v>
      </c>
      <c r="U81" s="36">
        <f t="shared" si="30"/>
        <v>3</v>
      </c>
      <c r="V81" s="36">
        <f t="shared" si="31"/>
        <v>5</v>
      </c>
      <c r="W81" s="36">
        <f t="shared" si="32"/>
        <v>7</v>
      </c>
      <c r="X81" s="36">
        <f t="shared" si="33"/>
        <v>4</v>
      </c>
      <c r="Y81" s="36">
        <f t="shared" si="34"/>
        <v>5</v>
      </c>
      <c r="Z81" s="36">
        <f t="shared" si="35"/>
        <v>7</v>
      </c>
      <c r="AA81" s="36">
        <f t="shared" si="36"/>
        <v>1</v>
      </c>
      <c r="AB81" s="48">
        <f t="shared" si="37"/>
        <v>6.25</v>
      </c>
      <c r="AK81" s="150">
        <v>9</v>
      </c>
      <c r="AL81" s="151">
        <v>8</v>
      </c>
      <c r="AM81" s="151">
        <v>9</v>
      </c>
      <c r="AN81" s="151">
        <v>5</v>
      </c>
      <c r="AO81" s="151">
        <v>9</v>
      </c>
      <c r="AP81" s="151">
        <v>9</v>
      </c>
      <c r="AQ81" s="151">
        <v>3</v>
      </c>
      <c r="AR81" s="152">
        <v>7</v>
      </c>
      <c r="AS81" s="40">
        <f t="shared" si="38"/>
        <v>4</v>
      </c>
      <c r="AT81" s="156">
        <f t="shared" si="39"/>
        <v>0</v>
      </c>
      <c r="AU81" s="153">
        <v>5</v>
      </c>
      <c r="AV81" s="161">
        <f t="shared" si="40"/>
        <v>0</v>
      </c>
      <c r="AW81" s="165"/>
      <c r="AX81" s="36" t="str">
        <f t="shared" si="41"/>
        <v>YA</v>
      </c>
      <c r="AY81" s="170">
        <f t="shared" si="42"/>
        <v>0.76</v>
      </c>
      <c r="AZ81" s="10"/>
      <c r="BA81" s="155">
        <v>0.25</v>
      </c>
      <c r="BB81" s="86">
        <f t="shared" si="43"/>
        <v>8</v>
      </c>
      <c r="BC81" s="224">
        <v>8</v>
      </c>
      <c r="BD81" s="37"/>
      <c r="BE81" s="86">
        <f t="shared" si="44"/>
        <v>0</v>
      </c>
      <c r="BF81" s="38"/>
      <c r="BG81" s="188"/>
      <c r="BH81" s="154"/>
      <c r="BI81" s="153"/>
      <c r="BJ81" s="86">
        <f t="shared" si="45"/>
        <v>8</v>
      </c>
      <c r="BK81" s="226">
        <v>8</v>
      </c>
      <c r="BL81" s="178"/>
      <c r="BM81" s="91"/>
      <c r="BN81" s="91"/>
      <c r="BO81" s="91"/>
      <c r="BP81" s="91"/>
      <c r="BQ81" s="91"/>
      <c r="BR81" s="91"/>
      <c r="BS81" s="91"/>
      <c r="BT81" s="91"/>
      <c r="BU81" s="91"/>
      <c r="BV81" s="39"/>
    </row>
    <row r="82" spans="2:74" x14ac:dyDescent="0.25">
      <c r="B82" s="136">
        <v>69</v>
      </c>
      <c r="C82" s="210" t="s">
        <v>355</v>
      </c>
      <c r="D82" s="198" t="s">
        <v>333</v>
      </c>
      <c r="E82" s="213" t="s">
        <v>334</v>
      </c>
      <c r="F82" s="131"/>
      <c r="G82" s="199" t="s">
        <v>195</v>
      </c>
      <c r="H82" s="200" t="s">
        <v>94</v>
      </c>
      <c r="I82" s="201" t="str">
        <f t="shared" si="24"/>
        <v>R</v>
      </c>
      <c r="J82" s="202">
        <v>3</v>
      </c>
      <c r="K82" s="149"/>
      <c r="L82" s="203">
        <v>0</v>
      </c>
      <c r="M82" s="88"/>
      <c r="N82" s="40">
        <f t="shared" si="25"/>
        <v>9.6979166666666696</v>
      </c>
      <c r="O82" s="58">
        <f t="shared" si="26"/>
        <v>1.9166666666666696</v>
      </c>
      <c r="P82" s="83">
        <f t="shared" si="27"/>
        <v>484.99999999999977</v>
      </c>
      <c r="Q82" s="231">
        <v>0.65624999999999989</v>
      </c>
      <c r="R82" s="128"/>
      <c r="S82" s="103">
        <f t="shared" si="28"/>
        <v>0</v>
      </c>
      <c r="T82" s="49">
        <f t="shared" si="29"/>
        <v>4.53125</v>
      </c>
      <c r="U82" s="36">
        <f t="shared" si="30"/>
        <v>3</v>
      </c>
      <c r="V82" s="36">
        <f t="shared" si="31"/>
        <v>5</v>
      </c>
      <c r="W82" s="36">
        <f t="shared" si="32"/>
        <v>7</v>
      </c>
      <c r="X82" s="36">
        <f t="shared" si="33"/>
        <v>2</v>
      </c>
      <c r="Y82" s="36">
        <f t="shared" si="34"/>
        <v>5</v>
      </c>
      <c r="Z82" s="36">
        <f t="shared" si="35"/>
        <v>7</v>
      </c>
      <c r="AA82" s="36">
        <f t="shared" si="36"/>
        <v>3</v>
      </c>
      <c r="AB82" s="48">
        <f t="shared" si="37"/>
        <v>4.25</v>
      </c>
      <c r="AC82" s="87"/>
      <c r="AD82" s="87"/>
      <c r="AE82" s="87"/>
      <c r="AF82" s="87"/>
      <c r="AG82" s="87"/>
      <c r="AH82" s="87"/>
      <c r="AI82" s="87"/>
      <c r="AJ82" s="87"/>
      <c r="AK82" s="205">
        <v>9</v>
      </c>
      <c r="AL82" s="206">
        <v>8</v>
      </c>
      <c r="AM82" s="206">
        <v>9</v>
      </c>
      <c r="AN82" s="206">
        <v>7</v>
      </c>
      <c r="AO82" s="206">
        <v>9</v>
      </c>
      <c r="AP82" s="206">
        <v>9</v>
      </c>
      <c r="AQ82" s="206">
        <v>5</v>
      </c>
      <c r="AR82" s="207">
        <v>5</v>
      </c>
      <c r="AS82" s="40">
        <f t="shared" si="38"/>
        <v>3.25</v>
      </c>
      <c r="AT82" s="156">
        <f t="shared" si="39"/>
        <v>0</v>
      </c>
      <c r="AU82" s="209">
        <v>5</v>
      </c>
      <c r="AV82" s="161">
        <f t="shared" si="40"/>
        <v>0</v>
      </c>
      <c r="AW82" s="165"/>
      <c r="AX82" s="36" t="str">
        <f t="shared" si="41"/>
        <v>YA</v>
      </c>
      <c r="AY82" s="170">
        <f t="shared" si="42"/>
        <v>0.76</v>
      </c>
      <c r="AZ82" s="10"/>
      <c r="BA82" s="235">
        <v>0.25</v>
      </c>
      <c r="BB82" s="86">
        <f t="shared" si="43"/>
        <v>8</v>
      </c>
      <c r="BC82" s="225">
        <v>8</v>
      </c>
      <c r="BD82" s="37"/>
      <c r="BE82" s="86">
        <f t="shared" si="44"/>
        <v>0</v>
      </c>
      <c r="BF82" s="38"/>
      <c r="BG82" s="188"/>
      <c r="BH82" s="208"/>
      <c r="BI82" s="209"/>
      <c r="BJ82" s="86">
        <f t="shared" si="45"/>
        <v>5</v>
      </c>
      <c r="BK82" s="227">
        <v>5</v>
      </c>
      <c r="BL82" s="178"/>
      <c r="BM82" s="91"/>
      <c r="BN82" s="91"/>
      <c r="BO82" s="91"/>
      <c r="BP82" s="91"/>
      <c r="BQ82" s="91"/>
      <c r="BR82" s="91"/>
      <c r="BS82" s="91"/>
      <c r="BT82" s="91"/>
      <c r="BU82" s="91"/>
      <c r="BV82" s="39"/>
    </row>
    <row r="83" spans="2:74" ht="30" x14ac:dyDescent="0.25">
      <c r="B83" s="136">
        <v>70</v>
      </c>
      <c r="C83" s="137" t="s">
        <v>89</v>
      </c>
      <c r="D83" s="138" t="s">
        <v>165</v>
      </c>
      <c r="E83" s="196" t="s">
        <v>291</v>
      </c>
      <c r="F83" s="131"/>
      <c r="G83" s="144" t="s">
        <v>321</v>
      </c>
      <c r="H83" s="145" t="s">
        <v>95</v>
      </c>
      <c r="I83" s="146" t="str">
        <f t="shared" si="24"/>
        <v>R</v>
      </c>
      <c r="J83" s="148">
        <v>-1</v>
      </c>
      <c r="K83" s="149"/>
      <c r="L83" s="149">
        <v>3</v>
      </c>
      <c r="M83" s="88"/>
      <c r="N83" s="40">
        <f t="shared" si="25"/>
        <v>7.7395833333333375</v>
      </c>
      <c r="O83" s="58">
        <f t="shared" si="26"/>
        <v>1.8333333333333375</v>
      </c>
      <c r="P83" s="83">
        <f t="shared" si="27"/>
        <v>489.99999999999977</v>
      </c>
      <c r="Q83" s="204">
        <v>0.6597222222222221</v>
      </c>
      <c r="R83" s="92"/>
      <c r="S83" s="103">
        <f t="shared" si="28"/>
        <v>0.99930555555555556</v>
      </c>
      <c r="T83" s="49">
        <f t="shared" si="29"/>
        <v>2.15625</v>
      </c>
      <c r="U83" s="36">
        <f t="shared" si="30"/>
        <v>-1</v>
      </c>
      <c r="V83" s="36">
        <f t="shared" si="31"/>
        <v>2</v>
      </c>
      <c r="W83" s="36">
        <f t="shared" si="32"/>
        <v>3</v>
      </c>
      <c r="X83" s="36">
        <f t="shared" si="33"/>
        <v>3</v>
      </c>
      <c r="Y83" s="36">
        <f t="shared" si="34"/>
        <v>1</v>
      </c>
      <c r="Z83" s="36">
        <f t="shared" si="35"/>
        <v>3</v>
      </c>
      <c r="AA83" s="36">
        <f t="shared" si="36"/>
        <v>1</v>
      </c>
      <c r="AB83" s="48">
        <f t="shared" si="37"/>
        <v>5.25</v>
      </c>
      <c r="AK83" s="150">
        <v>5</v>
      </c>
      <c r="AL83" s="151">
        <v>5</v>
      </c>
      <c r="AM83" s="151">
        <v>5</v>
      </c>
      <c r="AN83" s="151">
        <v>6</v>
      </c>
      <c r="AO83" s="151">
        <v>5</v>
      </c>
      <c r="AP83" s="151">
        <v>5</v>
      </c>
      <c r="AQ83" s="151">
        <v>3</v>
      </c>
      <c r="AR83" s="152">
        <v>6</v>
      </c>
      <c r="AS83" s="40">
        <f t="shared" si="38"/>
        <v>3.75</v>
      </c>
      <c r="AT83" s="156">
        <f t="shared" si="39"/>
        <v>0</v>
      </c>
      <c r="AU83" s="153">
        <v>8</v>
      </c>
      <c r="AV83" s="161">
        <f t="shared" si="40"/>
        <v>0</v>
      </c>
      <c r="AW83" s="165"/>
      <c r="AX83" s="36" t="str">
        <f t="shared" si="41"/>
        <v>YA</v>
      </c>
      <c r="AY83" s="170">
        <f t="shared" si="42"/>
        <v>0.26</v>
      </c>
      <c r="AZ83" s="10"/>
      <c r="BA83" s="155">
        <v>0.75</v>
      </c>
      <c r="BB83" s="86">
        <f t="shared" si="43"/>
        <v>7</v>
      </c>
      <c r="BC83" s="224">
        <v>7</v>
      </c>
      <c r="BD83" s="37"/>
      <c r="BE83" s="86">
        <f t="shared" si="44"/>
        <v>0</v>
      </c>
      <c r="BF83" s="38"/>
      <c r="BG83" s="188"/>
      <c r="BH83" s="154"/>
      <c r="BI83" s="153"/>
      <c r="BJ83" s="86">
        <f t="shared" si="45"/>
        <v>8</v>
      </c>
      <c r="BK83" s="226">
        <v>8</v>
      </c>
      <c r="BL83" s="178"/>
      <c r="BM83" s="91"/>
      <c r="BN83" s="91"/>
      <c r="BO83" s="91"/>
      <c r="BP83" s="91"/>
      <c r="BQ83" s="91"/>
      <c r="BR83" s="91"/>
      <c r="BS83" s="91"/>
      <c r="BT83" s="91"/>
      <c r="BU83" s="91"/>
      <c r="BV83" s="39"/>
    </row>
    <row r="84" spans="2:74" ht="30" x14ac:dyDescent="0.25">
      <c r="B84" s="136">
        <v>71</v>
      </c>
      <c r="C84" s="137" t="s">
        <v>88</v>
      </c>
      <c r="D84" s="138" t="s">
        <v>166</v>
      </c>
      <c r="E84" s="196" t="s">
        <v>27</v>
      </c>
      <c r="F84" s="131"/>
      <c r="G84" s="144" t="s">
        <v>195</v>
      </c>
      <c r="H84" s="145" t="s">
        <v>95</v>
      </c>
      <c r="I84" s="146" t="str">
        <f t="shared" si="24"/>
        <v>R</v>
      </c>
      <c r="J84" s="148">
        <v>3</v>
      </c>
      <c r="K84" s="149"/>
      <c r="L84" s="149">
        <v>0</v>
      </c>
      <c r="M84" s="88"/>
      <c r="N84" s="40">
        <f t="shared" si="25"/>
        <v>7.8229166666666679</v>
      </c>
      <c r="O84" s="58">
        <f t="shared" si="26"/>
        <v>1.6666666666666679</v>
      </c>
      <c r="P84" s="58">
        <f t="shared" si="27"/>
        <v>499.99999999999989</v>
      </c>
      <c r="Q84" s="231">
        <v>0.66666666666666663</v>
      </c>
      <c r="R84" s="94"/>
      <c r="S84" s="103">
        <f t="shared" si="28"/>
        <v>0</v>
      </c>
      <c r="T84" s="49">
        <f t="shared" si="29"/>
        <v>2.15625</v>
      </c>
      <c r="U84" s="36">
        <f t="shared" si="30"/>
        <v>0</v>
      </c>
      <c r="V84" s="36">
        <f t="shared" si="31"/>
        <v>5</v>
      </c>
      <c r="W84" s="36">
        <f t="shared" si="32"/>
        <v>6</v>
      </c>
      <c r="X84" s="36">
        <f t="shared" si="33"/>
        <v>5</v>
      </c>
      <c r="Y84" s="36">
        <f t="shared" si="34"/>
        <v>0</v>
      </c>
      <c r="Z84" s="36">
        <f t="shared" si="35"/>
        <v>0</v>
      </c>
      <c r="AA84" s="36">
        <f t="shared" si="36"/>
        <v>-1</v>
      </c>
      <c r="AB84" s="48">
        <f t="shared" si="37"/>
        <v>2.25</v>
      </c>
      <c r="AK84" s="150">
        <v>6</v>
      </c>
      <c r="AL84" s="151">
        <v>8</v>
      </c>
      <c r="AM84" s="151">
        <v>8</v>
      </c>
      <c r="AN84" s="151">
        <v>4</v>
      </c>
      <c r="AO84" s="151">
        <v>4</v>
      </c>
      <c r="AP84" s="151">
        <v>2</v>
      </c>
      <c r="AQ84" s="151">
        <v>1</v>
      </c>
      <c r="AR84" s="152">
        <v>3</v>
      </c>
      <c r="AS84" s="40">
        <f t="shared" si="38"/>
        <v>4</v>
      </c>
      <c r="AT84" s="156">
        <f t="shared" si="39"/>
        <v>0</v>
      </c>
      <c r="AU84" s="153">
        <v>10</v>
      </c>
      <c r="AV84" s="161">
        <f t="shared" si="40"/>
        <v>0</v>
      </c>
      <c r="AW84" s="165"/>
      <c r="AX84" s="36" t="str">
        <f t="shared" si="41"/>
        <v>YA</v>
      </c>
      <c r="AY84" s="170">
        <f t="shared" si="42"/>
        <v>0.76</v>
      </c>
      <c r="AZ84" s="10"/>
      <c r="BA84" s="155">
        <v>0.25</v>
      </c>
      <c r="BB84" s="86">
        <f t="shared" si="43"/>
        <v>9</v>
      </c>
      <c r="BC84" s="224">
        <v>9</v>
      </c>
      <c r="BD84" s="37"/>
      <c r="BE84" s="86">
        <f t="shared" si="44"/>
        <v>0</v>
      </c>
      <c r="BF84" s="38"/>
      <c r="BG84" s="188"/>
      <c r="BH84" s="154"/>
      <c r="BI84" s="153"/>
      <c r="BJ84" s="86">
        <f t="shared" si="45"/>
        <v>7</v>
      </c>
      <c r="BK84" s="226">
        <v>7</v>
      </c>
      <c r="BL84" s="178"/>
      <c r="BM84" s="91"/>
      <c r="BN84" s="91"/>
      <c r="BO84" s="91"/>
      <c r="BP84" s="91"/>
      <c r="BQ84" s="91"/>
      <c r="BR84" s="91"/>
      <c r="BS84" s="91"/>
      <c r="BT84" s="91"/>
      <c r="BU84" s="91"/>
      <c r="BV84" s="39"/>
    </row>
    <row r="85" spans="2:74" x14ac:dyDescent="0.25">
      <c r="B85" s="136">
        <v>72</v>
      </c>
      <c r="C85" s="139" t="s">
        <v>292</v>
      </c>
      <c r="D85" s="138" t="s">
        <v>167</v>
      </c>
      <c r="E85" s="196" t="s">
        <v>25</v>
      </c>
      <c r="F85" s="131"/>
      <c r="G85" s="144" t="s">
        <v>195</v>
      </c>
      <c r="H85" s="145" t="s">
        <v>93</v>
      </c>
      <c r="I85" s="146" t="str">
        <f t="shared" si="24"/>
        <v>R</v>
      </c>
      <c r="J85" s="148">
        <v>3</v>
      </c>
      <c r="K85" s="149"/>
      <c r="L85" s="149">
        <v>0</v>
      </c>
      <c r="M85" s="88"/>
      <c r="N85" s="40">
        <f t="shared" si="25"/>
        <v>7.8229166666666679</v>
      </c>
      <c r="O85" s="58">
        <f t="shared" si="26"/>
        <v>1.6666666666666679</v>
      </c>
      <c r="P85" s="84">
        <f t="shared" si="27"/>
        <v>499.99999999999989</v>
      </c>
      <c r="Q85" s="231">
        <v>0.66666666666666663</v>
      </c>
      <c r="R85" s="106"/>
      <c r="S85" s="103">
        <f t="shared" si="28"/>
        <v>0</v>
      </c>
      <c r="T85" s="49">
        <f t="shared" si="29"/>
        <v>2.15625</v>
      </c>
      <c r="U85" s="36">
        <f t="shared" si="30"/>
        <v>0</v>
      </c>
      <c r="V85" s="36">
        <f t="shared" si="31"/>
        <v>5</v>
      </c>
      <c r="W85" s="36">
        <f t="shared" si="32"/>
        <v>6</v>
      </c>
      <c r="X85" s="36">
        <f t="shared" si="33"/>
        <v>5</v>
      </c>
      <c r="Y85" s="36">
        <f t="shared" si="34"/>
        <v>0</v>
      </c>
      <c r="Z85" s="36">
        <f t="shared" si="35"/>
        <v>0</v>
      </c>
      <c r="AA85" s="36">
        <f t="shared" si="36"/>
        <v>-1</v>
      </c>
      <c r="AB85" s="48">
        <f t="shared" si="37"/>
        <v>2.25</v>
      </c>
      <c r="AK85" s="150">
        <v>6</v>
      </c>
      <c r="AL85" s="151">
        <v>8</v>
      </c>
      <c r="AM85" s="151">
        <v>8</v>
      </c>
      <c r="AN85" s="151">
        <v>4</v>
      </c>
      <c r="AO85" s="151">
        <v>4</v>
      </c>
      <c r="AP85" s="151">
        <v>2</v>
      </c>
      <c r="AQ85" s="151">
        <v>1</v>
      </c>
      <c r="AR85" s="152">
        <v>3</v>
      </c>
      <c r="AS85" s="40">
        <f t="shared" si="38"/>
        <v>4</v>
      </c>
      <c r="AT85" s="156">
        <f t="shared" si="39"/>
        <v>0</v>
      </c>
      <c r="AU85" s="153">
        <v>4</v>
      </c>
      <c r="AV85" s="161">
        <f t="shared" si="40"/>
        <v>0</v>
      </c>
      <c r="AW85" s="165"/>
      <c r="AX85" s="36" t="str">
        <f t="shared" si="41"/>
        <v>YA</v>
      </c>
      <c r="AY85" s="170">
        <f t="shared" si="42"/>
        <v>0.76</v>
      </c>
      <c r="AZ85" s="10"/>
      <c r="BA85" s="155">
        <v>0.25</v>
      </c>
      <c r="BB85" s="86">
        <f t="shared" si="43"/>
        <v>10</v>
      </c>
      <c r="BC85" s="224">
        <v>10</v>
      </c>
      <c r="BD85" s="37"/>
      <c r="BE85" s="86">
        <f t="shared" si="44"/>
        <v>0</v>
      </c>
      <c r="BF85" s="38"/>
      <c r="BG85" s="188"/>
      <c r="BH85" s="154">
        <v>1</v>
      </c>
      <c r="BI85" s="153">
        <v>8</v>
      </c>
      <c r="BJ85" s="86">
        <f t="shared" si="45"/>
        <v>6</v>
      </c>
      <c r="BK85" s="226">
        <v>6</v>
      </c>
      <c r="BL85" s="178"/>
      <c r="BM85" s="91"/>
      <c r="BN85" s="91"/>
      <c r="BO85" s="91"/>
      <c r="BP85" s="91"/>
      <c r="BQ85" s="91"/>
      <c r="BR85" s="91"/>
      <c r="BS85" s="91"/>
      <c r="BT85" s="91"/>
      <c r="BU85" s="91"/>
      <c r="BV85" s="39"/>
    </row>
    <row r="86" spans="2:74" ht="30" x14ac:dyDescent="0.25">
      <c r="B86" s="136">
        <v>73</v>
      </c>
      <c r="C86" s="137" t="s">
        <v>88</v>
      </c>
      <c r="D86" s="138" t="s">
        <v>168</v>
      </c>
      <c r="E86" s="196" t="s">
        <v>107</v>
      </c>
      <c r="F86" s="131"/>
      <c r="G86" s="144" t="s">
        <v>195</v>
      </c>
      <c r="H86" s="145" t="s">
        <v>93</v>
      </c>
      <c r="I86" s="146" t="str">
        <f t="shared" si="24"/>
        <v>R</v>
      </c>
      <c r="J86" s="148">
        <v>2</v>
      </c>
      <c r="K86" s="149"/>
      <c r="L86" s="149">
        <v>0</v>
      </c>
      <c r="M86" s="88"/>
      <c r="N86" s="40">
        <f t="shared" si="25"/>
        <v>9.1979166666666661</v>
      </c>
      <c r="O86" s="58">
        <f t="shared" si="26"/>
        <v>1.1666666666666661</v>
      </c>
      <c r="P86" s="83">
        <f t="shared" si="27"/>
        <v>530</v>
      </c>
      <c r="Q86" s="229">
        <v>0.6875</v>
      </c>
      <c r="R86" s="94"/>
      <c r="S86" s="103">
        <f t="shared" si="28"/>
        <v>0</v>
      </c>
      <c r="T86" s="49">
        <f t="shared" si="29"/>
        <v>3.78125</v>
      </c>
      <c r="U86" s="36">
        <f t="shared" si="30"/>
        <v>3</v>
      </c>
      <c r="V86" s="36">
        <f t="shared" si="31"/>
        <v>6</v>
      </c>
      <c r="W86" s="36">
        <f t="shared" si="32"/>
        <v>6</v>
      </c>
      <c r="X86" s="36">
        <f t="shared" si="33"/>
        <v>3</v>
      </c>
      <c r="Y86" s="36">
        <f t="shared" si="34"/>
        <v>1</v>
      </c>
      <c r="Z86" s="36">
        <f t="shared" si="35"/>
        <v>4</v>
      </c>
      <c r="AA86" s="36">
        <f t="shared" si="36"/>
        <v>3</v>
      </c>
      <c r="AB86" s="48">
        <f t="shared" si="37"/>
        <v>4.25</v>
      </c>
      <c r="AK86" s="150">
        <v>9</v>
      </c>
      <c r="AL86" s="151">
        <v>9</v>
      </c>
      <c r="AM86" s="151">
        <v>8</v>
      </c>
      <c r="AN86" s="151">
        <v>6</v>
      </c>
      <c r="AO86" s="151">
        <v>5</v>
      </c>
      <c r="AP86" s="151">
        <v>6</v>
      </c>
      <c r="AQ86" s="151">
        <v>5</v>
      </c>
      <c r="AR86" s="152">
        <v>5</v>
      </c>
      <c r="AS86" s="40">
        <f t="shared" si="38"/>
        <v>4.25</v>
      </c>
      <c r="AT86" s="156">
        <f t="shared" si="39"/>
        <v>0</v>
      </c>
      <c r="AU86" s="153">
        <v>8</v>
      </c>
      <c r="AV86" s="161">
        <f t="shared" si="40"/>
        <v>0</v>
      </c>
      <c r="AW86" s="165"/>
      <c r="AX86" s="36" t="str">
        <f t="shared" si="41"/>
        <v>YA</v>
      </c>
      <c r="AY86" s="170">
        <f t="shared" si="42"/>
        <v>0.51</v>
      </c>
      <c r="AZ86" s="10"/>
      <c r="BA86" s="155">
        <v>0.5</v>
      </c>
      <c r="BB86" s="86">
        <f t="shared" si="43"/>
        <v>10</v>
      </c>
      <c r="BC86" s="224">
        <v>10</v>
      </c>
      <c r="BD86" s="37"/>
      <c r="BE86" s="86">
        <f t="shared" si="44"/>
        <v>0</v>
      </c>
      <c r="BF86" s="38"/>
      <c r="BG86" s="188"/>
      <c r="BH86" s="154">
        <v>1</v>
      </c>
      <c r="BI86" s="153">
        <v>8</v>
      </c>
      <c r="BJ86" s="86">
        <f t="shared" si="45"/>
        <v>7</v>
      </c>
      <c r="BK86" s="226">
        <v>7</v>
      </c>
      <c r="BL86" s="178"/>
      <c r="BM86" s="91"/>
      <c r="BN86" s="91"/>
      <c r="BO86" s="91"/>
      <c r="BP86" s="91"/>
      <c r="BQ86" s="91"/>
      <c r="BR86" s="91"/>
      <c r="BS86" s="91"/>
      <c r="BT86" s="91"/>
      <c r="BU86" s="91"/>
      <c r="BV86" s="39"/>
    </row>
    <row r="87" spans="2:74" ht="30" x14ac:dyDescent="0.25">
      <c r="B87" s="136">
        <v>74</v>
      </c>
      <c r="C87" s="137" t="s">
        <v>249</v>
      </c>
      <c r="D87" s="138" t="s">
        <v>169</v>
      </c>
      <c r="E87" s="196" t="s">
        <v>293</v>
      </c>
      <c r="F87" s="132"/>
      <c r="G87" s="144" t="s">
        <v>195</v>
      </c>
      <c r="H87" s="145" t="s">
        <v>93</v>
      </c>
      <c r="I87" s="146" t="str">
        <f t="shared" si="24"/>
        <v>R</v>
      </c>
      <c r="J87" s="148">
        <v>3</v>
      </c>
      <c r="K87" s="149"/>
      <c r="L87" s="149">
        <v>0</v>
      </c>
      <c r="M87" s="88"/>
      <c r="N87" s="40">
        <f t="shared" si="25"/>
        <v>8.6979166666666679</v>
      </c>
      <c r="O87" s="58">
        <f t="shared" si="26"/>
        <v>0.16666666666666785</v>
      </c>
      <c r="P87" s="82">
        <f t="shared" si="27"/>
        <v>589.99999999999989</v>
      </c>
      <c r="Q87" s="230">
        <v>0.72916666666666663</v>
      </c>
      <c r="R87" s="96"/>
      <c r="S87" s="103">
        <f t="shared" si="28"/>
        <v>0</v>
      </c>
      <c r="T87" s="49">
        <f t="shared" si="29"/>
        <v>4.53125</v>
      </c>
      <c r="U87" s="36">
        <f t="shared" si="30"/>
        <v>3</v>
      </c>
      <c r="V87" s="36">
        <f t="shared" si="31"/>
        <v>5</v>
      </c>
      <c r="W87" s="36">
        <f t="shared" si="32"/>
        <v>7</v>
      </c>
      <c r="X87" s="36">
        <f t="shared" si="33"/>
        <v>2</v>
      </c>
      <c r="Y87" s="36">
        <f t="shared" si="34"/>
        <v>5</v>
      </c>
      <c r="Z87" s="36">
        <f t="shared" si="35"/>
        <v>7</v>
      </c>
      <c r="AA87" s="36">
        <f t="shared" si="36"/>
        <v>3</v>
      </c>
      <c r="AB87" s="48">
        <f t="shared" si="37"/>
        <v>4.25</v>
      </c>
      <c r="AK87" s="150">
        <v>9</v>
      </c>
      <c r="AL87" s="151">
        <v>8</v>
      </c>
      <c r="AM87" s="151">
        <v>9</v>
      </c>
      <c r="AN87" s="151">
        <v>7</v>
      </c>
      <c r="AO87" s="151">
        <v>9</v>
      </c>
      <c r="AP87" s="151">
        <v>9</v>
      </c>
      <c r="AQ87" s="151">
        <v>5</v>
      </c>
      <c r="AR87" s="152">
        <v>5</v>
      </c>
      <c r="AS87" s="40">
        <f t="shared" si="38"/>
        <v>4</v>
      </c>
      <c r="AT87" s="156">
        <f t="shared" si="39"/>
        <v>0</v>
      </c>
      <c r="AU87" s="153">
        <v>5</v>
      </c>
      <c r="AV87" s="163">
        <f t="shared" si="40"/>
        <v>0</v>
      </c>
      <c r="AW87" s="165"/>
      <c r="AX87" s="36" t="str">
        <f t="shared" si="41"/>
        <v>YA</v>
      </c>
      <c r="AY87" s="170">
        <f t="shared" si="42"/>
        <v>0.76</v>
      </c>
      <c r="AZ87" s="10"/>
      <c r="BA87" s="155">
        <v>0.25</v>
      </c>
      <c r="BB87" s="86">
        <f t="shared" si="43"/>
        <v>8</v>
      </c>
      <c r="BC87" s="224">
        <v>8</v>
      </c>
      <c r="BD87" s="37"/>
      <c r="BE87" s="86">
        <f t="shared" si="44"/>
        <v>0</v>
      </c>
      <c r="BF87" s="38"/>
      <c r="BG87" s="192"/>
      <c r="BH87" s="154">
        <v>1</v>
      </c>
      <c r="BI87" s="153"/>
      <c r="BJ87" s="86">
        <f t="shared" si="45"/>
        <v>8</v>
      </c>
      <c r="BK87" s="226">
        <v>8</v>
      </c>
      <c r="BL87" s="178"/>
      <c r="BM87" s="91"/>
      <c r="BN87" s="91"/>
      <c r="BO87" s="91"/>
      <c r="BP87" s="91"/>
      <c r="BQ87" s="91"/>
      <c r="BR87" s="91"/>
      <c r="BS87" s="91"/>
      <c r="BT87" s="91"/>
      <c r="BU87" s="91"/>
      <c r="BV87" s="39"/>
    </row>
    <row r="88" spans="2:74" x14ac:dyDescent="0.25">
      <c r="B88" s="136">
        <v>75</v>
      </c>
      <c r="C88" s="194" t="s">
        <v>294</v>
      </c>
      <c r="D88" s="198" t="s">
        <v>341</v>
      </c>
      <c r="E88" s="195" t="s">
        <v>342</v>
      </c>
      <c r="F88" s="132"/>
      <c r="G88" s="199" t="s">
        <v>195</v>
      </c>
      <c r="H88" s="200" t="s">
        <v>94</v>
      </c>
      <c r="I88" s="201" t="str">
        <f t="shared" si="24"/>
        <v>R</v>
      </c>
      <c r="J88" s="202">
        <v>3</v>
      </c>
      <c r="K88" s="149"/>
      <c r="L88" s="203">
        <v>0</v>
      </c>
      <c r="M88" s="88"/>
      <c r="N88" s="40">
        <f t="shared" si="25"/>
        <v>7.7812500000000018</v>
      </c>
      <c r="O88" s="58">
        <f t="shared" si="26"/>
        <v>1.7763568394002505E-15</v>
      </c>
      <c r="P88" s="82">
        <f t="shared" si="27"/>
        <v>599.99999999999989</v>
      </c>
      <c r="Q88" s="231">
        <v>0.73611111111111105</v>
      </c>
      <c r="R88" s="128"/>
      <c r="S88" s="103">
        <f t="shared" si="28"/>
        <v>0</v>
      </c>
      <c r="T88" s="49">
        <f t="shared" si="29"/>
        <v>4.53125</v>
      </c>
      <c r="U88" s="36">
        <f t="shared" si="30"/>
        <v>3</v>
      </c>
      <c r="V88" s="36">
        <f t="shared" si="31"/>
        <v>5</v>
      </c>
      <c r="W88" s="36">
        <f t="shared" si="32"/>
        <v>7</v>
      </c>
      <c r="X88" s="36">
        <f t="shared" si="33"/>
        <v>2</v>
      </c>
      <c r="Y88" s="36">
        <f t="shared" si="34"/>
        <v>5</v>
      </c>
      <c r="Z88" s="36">
        <f t="shared" si="35"/>
        <v>7</v>
      </c>
      <c r="AA88" s="36">
        <f t="shared" si="36"/>
        <v>3</v>
      </c>
      <c r="AB88" s="48">
        <f t="shared" si="37"/>
        <v>4.25</v>
      </c>
      <c r="AC88" s="87"/>
      <c r="AD88" s="87"/>
      <c r="AE88" s="87"/>
      <c r="AF88" s="87"/>
      <c r="AG88" s="87"/>
      <c r="AH88" s="87"/>
      <c r="AI88" s="87"/>
      <c r="AJ88" s="87"/>
      <c r="AK88" s="205">
        <v>9</v>
      </c>
      <c r="AL88" s="206">
        <v>8</v>
      </c>
      <c r="AM88" s="206">
        <v>9</v>
      </c>
      <c r="AN88" s="206">
        <v>7</v>
      </c>
      <c r="AO88" s="206">
        <v>9</v>
      </c>
      <c r="AP88" s="206">
        <v>9</v>
      </c>
      <c r="AQ88" s="206">
        <v>5</v>
      </c>
      <c r="AR88" s="207">
        <v>5</v>
      </c>
      <c r="AS88" s="40">
        <f t="shared" si="38"/>
        <v>3.25</v>
      </c>
      <c r="AT88" s="156">
        <f t="shared" si="39"/>
        <v>0</v>
      </c>
      <c r="AU88" s="209">
        <v>5</v>
      </c>
      <c r="AV88" s="163">
        <f t="shared" si="40"/>
        <v>0</v>
      </c>
      <c r="AW88" s="165"/>
      <c r="AX88" s="36" t="str">
        <f t="shared" si="41"/>
        <v>YA</v>
      </c>
      <c r="AY88" s="170">
        <f t="shared" si="42"/>
        <v>0.76</v>
      </c>
      <c r="AZ88" s="10"/>
      <c r="BA88" s="235">
        <v>0.25</v>
      </c>
      <c r="BB88" s="86">
        <f t="shared" si="43"/>
        <v>8</v>
      </c>
      <c r="BC88" s="225">
        <v>8</v>
      </c>
      <c r="BD88" s="37"/>
      <c r="BE88" s="86">
        <f t="shared" si="44"/>
        <v>0</v>
      </c>
      <c r="BF88" s="38"/>
      <c r="BG88" s="192"/>
      <c r="BH88" s="208"/>
      <c r="BI88" s="209"/>
      <c r="BJ88" s="86">
        <f t="shared" si="45"/>
        <v>5</v>
      </c>
      <c r="BK88" s="227">
        <v>5</v>
      </c>
      <c r="BL88" s="178"/>
      <c r="BM88" s="91"/>
      <c r="BN88" s="91"/>
      <c r="BO88" s="91"/>
      <c r="BP88" s="91"/>
      <c r="BQ88" s="91"/>
      <c r="BR88" s="91"/>
      <c r="BS88" s="91"/>
      <c r="BT88" s="91"/>
      <c r="BU88" s="91"/>
      <c r="BV88" s="39"/>
    </row>
    <row r="89" spans="2:74" x14ac:dyDescent="0.25">
      <c r="B89" s="136">
        <v>76</v>
      </c>
      <c r="C89" s="194" t="s">
        <v>343</v>
      </c>
      <c r="D89" s="198" t="s">
        <v>333</v>
      </c>
      <c r="E89" s="213" t="s">
        <v>334</v>
      </c>
      <c r="F89" s="132"/>
      <c r="G89" s="199" t="s">
        <v>195</v>
      </c>
      <c r="H89" s="200" t="s">
        <v>94</v>
      </c>
      <c r="I89" s="201" t="str">
        <f t="shared" si="24"/>
        <v>R</v>
      </c>
      <c r="J89" s="202">
        <v>3</v>
      </c>
      <c r="K89" s="149"/>
      <c r="L89" s="203">
        <v>0</v>
      </c>
      <c r="M89" s="88"/>
      <c r="N89" s="40">
        <f t="shared" si="25"/>
        <v>7.6979166666666679</v>
      </c>
      <c r="O89" s="58">
        <f t="shared" si="26"/>
        <v>-8.3333333333332149E-2</v>
      </c>
      <c r="P89" s="82">
        <f t="shared" si="27"/>
        <v>604.99999999999989</v>
      </c>
      <c r="Q89" s="231">
        <v>0.73958333333333326</v>
      </c>
      <c r="R89" s="128"/>
      <c r="S89" s="103">
        <f t="shared" si="28"/>
        <v>0</v>
      </c>
      <c r="T89" s="49">
        <f t="shared" si="29"/>
        <v>4.53125</v>
      </c>
      <c r="U89" s="36">
        <f t="shared" si="30"/>
        <v>3</v>
      </c>
      <c r="V89" s="36">
        <f t="shared" si="31"/>
        <v>5</v>
      </c>
      <c r="W89" s="36">
        <f t="shared" si="32"/>
        <v>7</v>
      </c>
      <c r="X89" s="36">
        <f t="shared" si="33"/>
        <v>2</v>
      </c>
      <c r="Y89" s="36">
        <f t="shared" si="34"/>
        <v>5</v>
      </c>
      <c r="Z89" s="36">
        <f t="shared" si="35"/>
        <v>7</v>
      </c>
      <c r="AA89" s="36">
        <f t="shared" si="36"/>
        <v>3</v>
      </c>
      <c r="AB89" s="48">
        <f t="shared" si="37"/>
        <v>4.25</v>
      </c>
      <c r="AC89" s="87"/>
      <c r="AD89" s="87"/>
      <c r="AE89" s="87"/>
      <c r="AF89" s="87"/>
      <c r="AG89" s="87"/>
      <c r="AH89" s="87"/>
      <c r="AI89" s="87"/>
      <c r="AJ89" s="87"/>
      <c r="AK89" s="205">
        <v>9</v>
      </c>
      <c r="AL89" s="206">
        <v>8</v>
      </c>
      <c r="AM89" s="206">
        <v>9</v>
      </c>
      <c r="AN89" s="206">
        <v>7</v>
      </c>
      <c r="AO89" s="206">
        <v>9</v>
      </c>
      <c r="AP89" s="206">
        <v>9</v>
      </c>
      <c r="AQ89" s="206">
        <v>5</v>
      </c>
      <c r="AR89" s="207">
        <v>5</v>
      </c>
      <c r="AS89" s="40">
        <f t="shared" si="38"/>
        <v>3.25</v>
      </c>
      <c r="AT89" s="156">
        <f t="shared" si="39"/>
        <v>0</v>
      </c>
      <c r="AU89" s="209">
        <v>5</v>
      </c>
      <c r="AV89" s="163">
        <f t="shared" si="40"/>
        <v>0</v>
      </c>
      <c r="AW89" s="165"/>
      <c r="AX89" s="36" t="str">
        <f t="shared" si="41"/>
        <v>YA</v>
      </c>
      <c r="AY89" s="170">
        <f t="shared" si="42"/>
        <v>0.76</v>
      </c>
      <c r="AZ89" s="10"/>
      <c r="BA89" s="235">
        <v>0.25</v>
      </c>
      <c r="BB89" s="86">
        <f t="shared" si="43"/>
        <v>8</v>
      </c>
      <c r="BC89" s="225">
        <v>8</v>
      </c>
      <c r="BD89" s="37"/>
      <c r="BE89" s="86">
        <f t="shared" si="44"/>
        <v>0</v>
      </c>
      <c r="BF89" s="38"/>
      <c r="BG89" s="192"/>
      <c r="BH89" s="208"/>
      <c r="BI89" s="209"/>
      <c r="BJ89" s="86">
        <f t="shared" si="45"/>
        <v>5</v>
      </c>
      <c r="BK89" s="227">
        <v>5</v>
      </c>
      <c r="BL89" s="178"/>
      <c r="BM89" s="91"/>
      <c r="BN89" s="91"/>
      <c r="BO89" s="91"/>
      <c r="BP89" s="91"/>
      <c r="BQ89" s="91"/>
      <c r="BR89" s="91"/>
      <c r="BS89" s="91"/>
      <c r="BT89" s="91"/>
      <c r="BU89" s="91"/>
      <c r="BV89" s="39"/>
    </row>
    <row r="90" spans="2:74" s="87" customFormat="1" x14ac:dyDescent="0.25">
      <c r="B90" s="136">
        <v>40</v>
      </c>
      <c r="C90" s="194" t="s">
        <v>335</v>
      </c>
      <c r="D90" s="198" t="s">
        <v>349</v>
      </c>
      <c r="E90" s="195" t="s">
        <v>350</v>
      </c>
      <c r="F90" s="131"/>
      <c r="G90" s="199" t="s">
        <v>195</v>
      </c>
      <c r="H90" s="200" t="s">
        <v>94</v>
      </c>
      <c r="I90" s="201" t="str">
        <f t="shared" si="24"/>
        <v>R</v>
      </c>
      <c r="J90" s="202">
        <v>3</v>
      </c>
      <c r="K90" s="149"/>
      <c r="L90" s="203">
        <v>0</v>
      </c>
      <c r="M90" s="88"/>
      <c r="N90" s="40">
        <f t="shared" si="25"/>
        <v>7.6145833333333357</v>
      </c>
      <c r="O90" s="58">
        <f t="shared" si="26"/>
        <v>-0.1666666666666643</v>
      </c>
      <c r="P90" s="82">
        <f t="shared" si="27"/>
        <v>609.99999999999989</v>
      </c>
      <c r="Q90" s="229">
        <v>0.74305555555555547</v>
      </c>
      <c r="R90" s="127"/>
      <c r="S90" s="103">
        <f t="shared" si="28"/>
        <v>0</v>
      </c>
      <c r="T90" s="49">
        <f t="shared" si="29"/>
        <v>4.53125</v>
      </c>
      <c r="U90" s="36">
        <f t="shared" si="30"/>
        <v>3</v>
      </c>
      <c r="V90" s="36">
        <f t="shared" si="31"/>
        <v>5</v>
      </c>
      <c r="W90" s="36">
        <f t="shared" si="32"/>
        <v>7</v>
      </c>
      <c r="X90" s="36">
        <f t="shared" si="33"/>
        <v>2</v>
      </c>
      <c r="Y90" s="36">
        <f t="shared" si="34"/>
        <v>5</v>
      </c>
      <c r="Z90" s="36">
        <f t="shared" si="35"/>
        <v>7</v>
      </c>
      <c r="AA90" s="36">
        <f t="shared" si="36"/>
        <v>3</v>
      </c>
      <c r="AB90" s="48">
        <f t="shared" si="37"/>
        <v>4.25</v>
      </c>
      <c r="AK90" s="205">
        <v>9</v>
      </c>
      <c r="AL90" s="206">
        <v>8</v>
      </c>
      <c r="AM90" s="206">
        <v>9</v>
      </c>
      <c r="AN90" s="206">
        <v>7</v>
      </c>
      <c r="AO90" s="206">
        <v>9</v>
      </c>
      <c r="AP90" s="206">
        <v>9</v>
      </c>
      <c r="AQ90" s="206">
        <v>5</v>
      </c>
      <c r="AR90" s="207">
        <v>5</v>
      </c>
      <c r="AS90" s="40">
        <f t="shared" si="38"/>
        <v>3.25</v>
      </c>
      <c r="AT90" s="156">
        <f t="shared" si="39"/>
        <v>0</v>
      </c>
      <c r="AU90" s="209">
        <v>5</v>
      </c>
      <c r="AV90" s="161">
        <f t="shared" si="40"/>
        <v>0</v>
      </c>
      <c r="AW90" s="165"/>
      <c r="AX90" s="36" t="str">
        <f t="shared" si="41"/>
        <v>YA</v>
      </c>
      <c r="AY90" s="170">
        <f t="shared" si="42"/>
        <v>0.76</v>
      </c>
      <c r="AZ90" s="10"/>
      <c r="BA90" s="235">
        <v>0.25</v>
      </c>
      <c r="BB90" s="86">
        <f t="shared" si="43"/>
        <v>8</v>
      </c>
      <c r="BC90" s="225">
        <v>8</v>
      </c>
      <c r="BD90" s="37"/>
      <c r="BE90" s="86">
        <f t="shared" si="44"/>
        <v>0</v>
      </c>
      <c r="BF90" s="38"/>
      <c r="BG90" s="188"/>
      <c r="BH90" s="208"/>
      <c r="BI90" s="209"/>
      <c r="BJ90" s="86">
        <f t="shared" si="45"/>
        <v>5</v>
      </c>
      <c r="BK90" s="227">
        <v>5</v>
      </c>
      <c r="BL90" s="178"/>
      <c r="BM90" s="91"/>
      <c r="BN90" s="91"/>
      <c r="BO90" s="91"/>
      <c r="BP90" s="91"/>
      <c r="BQ90" s="91"/>
      <c r="BR90" s="91"/>
      <c r="BS90" s="91"/>
      <c r="BT90" s="91"/>
      <c r="BU90" s="91"/>
      <c r="BV90" s="39"/>
    </row>
    <row r="91" spans="2:74" x14ac:dyDescent="0.25">
      <c r="B91" s="136">
        <v>77</v>
      </c>
      <c r="C91" s="194" t="s">
        <v>356</v>
      </c>
      <c r="D91" s="138" t="s">
        <v>170</v>
      </c>
      <c r="E91" s="196" t="s">
        <v>295</v>
      </c>
      <c r="F91" s="131"/>
      <c r="G91" s="144" t="s">
        <v>195</v>
      </c>
      <c r="H91" s="145" t="s">
        <v>94</v>
      </c>
      <c r="I91" s="146" t="str">
        <f t="shared" si="24"/>
        <v>R</v>
      </c>
      <c r="J91" s="148">
        <v>3</v>
      </c>
      <c r="K91" s="149"/>
      <c r="L91" s="149">
        <v>0</v>
      </c>
      <c r="M91" s="88"/>
      <c r="N91" s="40">
        <f t="shared" si="25"/>
        <v>7.9062500000000036</v>
      </c>
      <c r="O91" s="58">
        <f t="shared" si="26"/>
        <v>-0.24999999999999645</v>
      </c>
      <c r="P91" s="82">
        <f t="shared" si="27"/>
        <v>614.99999999999977</v>
      </c>
      <c r="Q91" s="204">
        <v>0.74652777777777768</v>
      </c>
      <c r="R91" s="92"/>
      <c r="S91" s="103">
        <f t="shared" si="28"/>
        <v>0</v>
      </c>
      <c r="T91" s="49">
        <f t="shared" si="29"/>
        <v>4.90625</v>
      </c>
      <c r="U91" s="36">
        <f t="shared" si="30"/>
        <v>3</v>
      </c>
      <c r="V91" s="36">
        <f t="shared" si="31"/>
        <v>5</v>
      </c>
      <c r="W91" s="36">
        <f t="shared" si="32"/>
        <v>7</v>
      </c>
      <c r="X91" s="36">
        <f t="shared" si="33"/>
        <v>5</v>
      </c>
      <c r="Y91" s="36">
        <f t="shared" si="34"/>
        <v>5</v>
      </c>
      <c r="Z91" s="36">
        <f t="shared" si="35"/>
        <v>7</v>
      </c>
      <c r="AA91" s="36">
        <f t="shared" si="36"/>
        <v>1</v>
      </c>
      <c r="AB91" s="48">
        <f t="shared" si="37"/>
        <v>6.25</v>
      </c>
      <c r="AK91" s="150">
        <v>9</v>
      </c>
      <c r="AL91" s="151">
        <v>8</v>
      </c>
      <c r="AM91" s="151">
        <v>9</v>
      </c>
      <c r="AN91" s="151">
        <v>4</v>
      </c>
      <c r="AO91" s="151">
        <v>9</v>
      </c>
      <c r="AP91" s="151">
        <v>9</v>
      </c>
      <c r="AQ91" s="151">
        <v>3</v>
      </c>
      <c r="AR91" s="152">
        <v>7</v>
      </c>
      <c r="AS91" s="40">
        <f t="shared" si="38"/>
        <v>3.25</v>
      </c>
      <c r="AT91" s="156">
        <f t="shared" si="39"/>
        <v>0</v>
      </c>
      <c r="AU91" s="153">
        <v>5</v>
      </c>
      <c r="AV91" s="161">
        <f t="shared" si="40"/>
        <v>0</v>
      </c>
      <c r="AW91" s="165"/>
      <c r="AX91" s="36" t="str">
        <f t="shared" si="41"/>
        <v>YA</v>
      </c>
      <c r="AY91" s="170">
        <f t="shared" si="42"/>
        <v>0.76</v>
      </c>
      <c r="AZ91" s="10"/>
      <c r="BA91" s="155">
        <v>0.25</v>
      </c>
      <c r="BB91" s="86">
        <f t="shared" si="43"/>
        <v>8</v>
      </c>
      <c r="BC91" s="224">
        <v>8</v>
      </c>
      <c r="BD91" s="37"/>
      <c r="BE91" s="86">
        <f t="shared" si="44"/>
        <v>0</v>
      </c>
      <c r="BF91" s="38"/>
      <c r="BG91" s="188"/>
      <c r="BH91" s="154"/>
      <c r="BI91" s="153"/>
      <c r="BJ91" s="86">
        <f t="shared" si="45"/>
        <v>5</v>
      </c>
      <c r="BK91" s="226">
        <v>5</v>
      </c>
      <c r="BL91" s="178"/>
      <c r="BM91" s="91"/>
      <c r="BN91" s="91"/>
      <c r="BO91" s="91"/>
      <c r="BP91" s="91"/>
      <c r="BQ91" s="91"/>
      <c r="BR91" s="91"/>
      <c r="BS91" s="91"/>
      <c r="BT91" s="91"/>
      <c r="BU91" s="91"/>
      <c r="BV91" s="39"/>
    </row>
    <row r="92" spans="2:74" ht="30" x14ac:dyDescent="0.25">
      <c r="B92" s="136">
        <v>78</v>
      </c>
      <c r="C92" s="137" t="s">
        <v>249</v>
      </c>
      <c r="D92" s="138" t="s">
        <v>171</v>
      </c>
      <c r="E92" s="196" t="s">
        <v>296</v>
      </c>
      <c r="F92" s="129"/>
      <c r="G92" s="144" t="s">
        <v>195</v>
      </c>
      <c r="H92" s="145" t="s">
        <v>93</v>
      </c>
      <c r="I92" s="146" t="str">
        <f t="shared" si="24"/>
        <v>R</v>
      </c>
      <c r="J92" s="148">
        <v>3</v>
      </c>
      <c r="K92" s="149"/>
      <c r="L92" s="149">
        <v>0</v>
      </c>
      <c r="M92" s="88"/>
      <c r="N92" s="40">
        <f t="shared" si="25"/>
        <v>5.6979166666666661</v>
      </c>
      <c r="O92" s="58">
        <f t="shared" si="26"/>
        <v>-0.33333333333333393</v>
      </c>
      <c r="P92" s="58">
        <f t="shared" si="27"/>
        <v>620</v>
      </c>
      <c r="Q92" s="204">
        <v>0.75</v>
      </c>
      <c r="R92" s="92"/>
      <c r="S92" s="103">
        <f t="shared" si="28"/>
        <v>0</v>
      </c>
      <c r="T92" s="49">
        <f t="shared" si="29"/>
        <v>2.53125</v>
      </c>
      <c r="U92" s="36">
        <f t="shared" si="30"/>
        <v>2</v>
      </c>
      <c r="V92" s="36">
        <f t="shared" si="31"/>
        <v>5</v>
      </c>
      <c r="W92" s="36">
        <f t="shared" si="32"/>
        <v>6</v>
      </c>
      <c r="X92" s="36">
        <f t="shared" si="33"/>
        <v>3</v>
      </c>
      <c r="Y92" s="36">
        <f t="shared" si="34"/>
        <v>1</v>
      </c>
      <c r="Z92" s="36">
        <f t="shared" si="35"/>
        <v>2</v>
      </c>
      <c r="AA92" s="36">
        <f t="shared" si="36"/>
        <v>0</v>
      </c>
      <c r="AB92" s="48">
        <f t="shared" si="37"/>
        <v>1.25</v>
      </c>
      <c r="AK92" s="150">
        <v>8</v>
      </c>
      <c r="AL92" s="151">
        <v>8</v>
      </c>
      <c r="AM92" s="151">
        <v>8</v>
      </c>
      <c r="AN92" s="151">
        <v>6</v>
      </c>
      <c r="AO92" s="151">
        <v>5</v>
      </c>
      <c r="AP92" s="151">
        <v>4</v>
      </c>
      <c r="AQ92" s="151">
        <v>2</v>
      </c>
      <c r="AR92" s="152">
        <v>2</v>
      </c>
      <c r="AS92" s="40">
        <f t="shared" si="38"/>
        <v>3.5</v>
      </c>
      <c r="AT92" s="156">
        <f t="shared" si="39"/>
        <v>0</v>
      </c>
      <c r="AU92" s="153">
        <v>5</v>
      </c>
      <c r="AV92" s="161">
        <f t="shared" si="40"/>
        <v>0</v>
      </c>
      <c r="AW92" s="165"/>
      <c r="AX92" s="36" t="str">
        <f t="shared" si="41"/>
        <v>YA</v>
      </c>
      <c r="AY92" s="170">
        <f t="shared" si="42"/>
        <v>0.76</v>
      </c>
      <c r="AZ92" s="10"/>
      <c r="BA92" s="155">
        <v>0.25</v>
      </c>
      <c r="BB92" s="86">
        <f t="shared" si="43"/>
        <v>8</v>
      </c>
      <c r="BC92" s="224">
        <v>8</v>
      </c>
      <c r="BD92" s="37"/>
      <c r="BE92" s="86">
        <f t="shared" si="44"/>
        <v>0</v>
      </c>
      <c r="BF92" s="38"/>
      <c r="BG92" s="190"/>
      <c r="BH92" s="154">
        <v>1</v>
      </c>
      <c r="BI92" s="153">
        <v>5</v>
      </c>
      <c r="BJ92" s="86">
        <f t="shared" si="45"/>
        <v>6</v>
      </c>
      <c r="BK92" s="226">
        <v>6</v>
      </c>
      <c r="BL92" s="178"/>
      <c r="BM92" s="91"/>
      <c r="BN92" s="91"/>
      <c r="BO92" s="91"/>
      <c r="BP92" s="91"/>
      <c r="BQ92" s="91"/>
      <c r="BR92" s="91"/>
      <c r="BS92" s="91"/>
      <c r="BT92" s="91"/>
      <c r="BU92" s="91"/>
      <c r="BV92" s="39"/>
    </row>
    <row r="93" spans="2:74" x14ac:dyDescent="0.25">
      <c r="B93" s="136">
        <v>79</v>
      </c>
      <c r="C93" s="137" t="s">
        <v>89</v>
      </c>
      <c r="D93" s="138" t="s">
        <v>172</v>
      </c>
      <c r="E93" s="196" t="s">
        <v>91</v>
      </c>
      <c r="F93" s="131"/>
      <c r="G93" s="144" t="s">
        <v>242</v>
      </c>
      <c r="H93" s="145" t="s">
        <v>94</v>
      </c>
      <c r="I93" s="146" t="str">
        <f t="shared" si="24"/>
        <v>R</v>
      </c>
      <c r="J93" s="148">
        <v>-1</v>
      </c>
      <c r="K93" s="149"/>
      <c r="L93" s="149">
        <v>3</v>
      </c>
      <c r="M93" s="88"/>
      <c r="N93" s="40">
        <f t="shared" si="25"/>
        <v>4.5729166666666661</v>
      </c>
      <c r="O93" s="58">
        <f t="shared" si="26"/>
        <v>-0.33333333333333393</v>
      </c>
      <c r="P93" s="82">
        <f t="shared" si="27"/>
        <v>620</v>
      </c>
      <c r="Q93" s="230">
        <v>0.75</v>
      </c>
      <c r="R93" s="96"/>
      <c r="S93" s="103">
        <f t="shared" si="28"/>
        <v>0.99930555555555556</v>
      </c>
      <c r="T93" s="49">
        <f t="shared" si="29"/>
        <v>2.15625</v>
      </c>
      <c r="U93" s="36">
        <f t="shared" si="30"/>
        <v>-1</v>
      </c>
      <c r="V93" s="36">
        <f t="shared" si="31"/>
        <v>2</v>
      </c>
      <c r="W93" s="36">
        <f t="shared" si="32"/>
        <v>3</v>
      </c>
      <c r="X93" s="36">
        <f t="shared" si="33"/>
        <v>3</v>
      </c>
      <c r="Y93" s="36">
        <f t="shared" si="34"/>
        <v>1</v>
      </c>
      <c r="Z93" s="36">
        <f t="shared" si="35"/>
        <v>3</v>
      </c>
      <c r="AA93" s="36">
        <f t="shared" si="36"/>
        <v>1</v>
      </c>
      <c r="AB93" s="48">
        <f t="shared" si="37"/>
        <v>5.25</v>
      </c>
      <c r="AK93" s="150">
        <v>5</v>
      </c>
      <c r="AL93" s="151">
        <v>5</v>
      </c>
      <c r="AM93" s="151">
        <v>5</v>
      </c>
      <c r="AN93" s="151">
        <v>6</v>
      </c>
      <c r="AO93" s="151">
        <v>5</v>
      </c>
      <c r="AP93" s="151">
        <v>5</v>
      </c>
      <c r="AQ93" s="151">
        <v>3</v>
      </c>
      <c r="AR93" s="152">
        <v>6</v>
      </c>
      <c r="AS93" s="40">
        <f t="shared" si="38"/>
        <v>2.75</v>
      </c>
      <c r="AT93" s="156">
        <f t="shared" si="39"/>
        <v>0</v>
      </c>
      <c r="AU93" s="153">
        <v>3</v>
      </c>
      <c r="AV93" s="161">
        <f t="shared" si="40"/>
        <v>0</v>
      </c>
      <c r="AW93" s="165"/>
      <c r="AX93" s="36" t="str">
        <f t="shared" si="41"/>
        <v>YA</v>
      </c>
      <c r="AY93" s="170">
        <f t="shared" si="42"/>
        <v>0.26</v>
      </c>
      <c r="AZ93" s="10"/>
      <c r="BA93" s="155">
        <v>0.75</v>
      </c>
      <c r="BB93" s="86">
        <f t="shared" si="43"/>
        <v>6</v>
      </c>
      <c r="BC93" s="224">
        <v>6</v>
      </c>
      <c r="BD93" s="37"/>
      <c r="BE93" s="86">
        <f t="shared" si="44"/>
        <v>0</v>
      </c>
      <c r="BF93" s="38"/>
      <c r="BG93" s="188"/>
      <c r="BH93" s="154"/>
      <c r="BI93" s="153"/>
      <c r="BJ93" s="86">
        <f t="shared" si="45"/>
        <v>5</v>
      </c>
      <c r="BK93" s="226">
        <v>5</v>
      </c>
      <c r="BL93" s="178"/>
      <c r="BM93" s="91"/>
      <c r="BN93" s="91"/>
      <c r="BO93" s="91"/>
      <c r="BP93" s="91"/>
      <c r="BQ93" s="91"/>
      <c r="BR93" s="91"/>
      <c r="BS93" s="91"/>
      <c r="BT93" s="91"/>
      <c r="BU93" s="91"/>
      <c r="BV93" s="39"/>
    </row>
    <row r="94" spans="2:74" ht="30" x14ac:dyDescent="0.25">
      <c r="B94" s="136">
        <v>80</v>
      </c>
      <c r="C94" s="142" t="s">
        <v>297</v>
      </c>
      <c r="D94" s="138" t="s">
        <v>173</v>
      </c>
      <c r="E94" s="196" t="s">
        <v>298</v>
      </c>
      <c r="F94" s="131"/>
      <c r="G94" s="144" t="s">
        <v>317</v>
      </c>
      <c r="H94" s="145" t="s">
        <v>95</v>
      </c>
      <c r="I94" s="146" t="str">
        <f t="shared" si="24"/>
        <v>R</v>
      </c>
      <c r="J94" s="148">
        <v>-1</v>
      </c>
      <c r="K94" s="149"/>
      <c r="L94" s="149">
        <v>3</v>
      </c>
      <c r="M94" s="88"/>
      <c r="N94" s="40">
        <f t="shared" si="25"/>
        <v>7.4479166666666661</v>
      </c>
      <c r="O94" s="58">
        <f t="shared" si="26"/>
        <v>-0.83333333333333393</v>
      </c>
      <c r="P94" s="84">
        <f t="shared" si="27"/>
        <v>650</v>
      </c>
      <c r="Q94" s="230">
        <v>0.77083333333333337</v>
      </c>
      <c r="R94" s="96"/>
      <c r="S94" s="103">
        <f t="shared" si="28"/>
        <v>0.99930555555555556</v>
      </c>
      <c r="T94" s="49">
        <f t="shared" si="29"/>
        <v>5.03125</v>
      </c>
      <c r="U94" s="36">
        <f t="shared" si="30"/>
        <v>3</v>
      </c>
      <c r="V94" s="36">
        <f t="shared" si="31"/>
        <v>5</v>
      </c>
      <c r="W94" s="36">
        <f t="shared" si="32"/>
        <v>7</v>
      </c>
      <c r="X94" s="36">
        <f t="shared" si="33"/>
        <v>6</v>
      </c>
      <c r="Y94" s="36">
        <f t="shared" si="34"/>
        <v>5</v>
      </c>
      <c r="Z94" s="36">
        <f t="shared" si="35"/>
        <v>7</v>
      </c>
      <c r="AA94" s="36">
        <f t="shared" si="36"/>
        <v>1</v>
      </c>
      <c r="AB94" s="48">
        <f t="shared" si="37"/>
        <v>6.25</v>
      </c>
      <c r="AK94" s="150">
        <v>9</v>
      </c>
      <c r="AL94" s="151">
        <v>8</v>
      </c>
      <c r="AM94" s="151">
        <v>9</v>
      </c>
      <c r="AN94" s="151">
        <v>3</v>
      </c>
      <c r="AO94" s="151">
        <v>9</v>
      </c>
      <c r="AP94" s="151">
        <v>9</v>
      </c>
      <c r="AQ94" s="151">
        <v>3</v>
      </c>
      <c r="AR94" s="152">
        <v>7</v>
      </c>
      <c r="AS94" s="40">
        <f t="shared" si="38"/>
        <v>3.25</v>
      </c>
      <c r="AT94" s="156">
        <f t="shared" si="39"/>
        <v>0</v>
      </c>
      <c r="AU94" s="153">
        <v>6</v>
      </c>
      <c r="AV94" s="161">
        <f t="shared" si="40"/>
        <v>0</v>
      </c>
      <c r="AW94" s="165"/>
      <c r="AX94" s="36" t="str">
        <f t="shared" si="41"/>
        <v>YA</v>
      </c>
      <c r="AY94" s="170">
        <f t="shared" si="42"/>
        <v>0.26</v>
      </c>
      <c r="AZ94" s="10"/>
      <c r="BA94" s="155">
        <v>0.75</v>
      </c>
      <c r="BB94" s="86">
        <f t="shared" si="43"/>
        <v>7</v>
      </c>
      <c r="BC94" s="224">
        <v>7</v>
      </c>
      <c r="BD94" s="37"/>
      <c r="BE94" s="86">
        <f t="shared" si="44"/>
        <v>0</v>
      </c>
      <c r="BF94" s="38"/>
      <c r="BG94" s="188"/>
      <c r="BH94" s="154"/>
      <c r="BI94" s="153"/>
      <c r="BJ94" s="86">
        <f t="shared" si="45"/>
        <v>6</v>
      </c>
      <c r="BK94" s="226">
        <v>6</v>
      </c>
      <c r="BL94" s="178"/>
      <c r="BM94" s="91"/>
      <c r="BN94" s="91"/>
      <c r="BO94" s="91"/>
      <c r="BP94" s="91"/>
      <c r="BQ94" s="91"/>
      <c r="BR94" s="91"/>
      <c r="BS94" s="91"/>
      <c r="BT94" s="91"/>
      <c r="BU94" s="91"/>
      <c r="BV94" s="39"/>
    </row>
    <row r="95" spans="2:74" ht="30" x14ac:dyDescent="0.25">
      <c r="B95" s="136">
        <v>81</v>
      </c>
      <c r="C95" s="142" t="s">
        <v>299</v>
      </c>
      <c r="D95" s="138" t="s">
        <v>174</v>
      </c>
      <c r="E95" s="196" t="s">
        <v>28</v>
      </c>
      <c r="F95" s="131"/>
      <c r="G95" s="144" t="s">
        <v>318</v>
      </c>
      <c r="H95" s="145" t="s">
        <v>93</v>
      </c>
      <c r="I95" s="146" t="str">
        <f t="shared" si="24"/>
        <v>R</v>
      </c>
      <c r="J95" s="148">
        <v>-1</v>
      </c>
      <c r="K95" s="149"/>
      <c r="L95" s="149">
        <v>3</v>
      </c>
      <c r="M95" s="88"/>
      <c r="N95" s="40">
        <f t="shared" si="25"/>
        <v>4.1979166666666661</v>
      </c>
      <c r="O95" s="58">
        <f t="shared" si="26"/>
        <v>-0.83333333333333393</v>
      </c>
      <c r="P95" s="82">
        <f t="shared" si="27"/>
        <v>650</v>
      </c>
      <c r="Q95" s="230">
        <v>0.77083333333333337</v>
      </c>
      <c r="R95" s="96"/>
      <c r="S95" s="103">
        <f t="shared" si="28"/>
        <v>0.99930555555555556</v>
      </c>
      <c r="T95" s="49">
        <f t="shared" si="29"/>
        <v>2.53125</v>
      </c>
      <c r="U95" s="36">
        <f t="shared" si="30"/>
        <v>2</v>
      </c>
      <c r="V95" s="36">
        <f t="shared" si="31"/>
        <v>5</v>
      </c>
      <c r="W95" s="36">
        <f t="shared" si="32"/>
        <v>6</v>
      </c>
      <c r="X95" s="36">
        <f t="shared" si="33"/>
        <v>3</v>
      </c>
      <c r="Y95" s="36">
        <f t="shared" si="34"/>
        <v>1</v>
      </c>
      <c r="Z95" s="36">
        <f t="shared" si="35"/>
        <v>2</v>
      </c>
      <c r="AA95" s="36">
        <f t="shared" si="36"/>
        <v>0</v>
      </c>
      <c r="AB95" s="48">
        <f t="shared" si="37"/>
        <v>1.25</v>
      </c>
      <c r="AK95" s="150">
        <v>8</v>
      </c>
      <c r="AL95" s="151">
        <v>8</v>
      </c>
      <c r="AM95" s="151">
        <v>8</v>
      </c>
      <c r="AN95" s="151">
        <v>6</v>
      </c>
      <c r="AO95" s="151">
        <v>5</v>
      </c>
      <c r="AP95" s="151">
        <v>4</v>
      </c>
      <c r="AQ95" s="151">
        <v>2</v>
      </c>
      <c r="AR95" s="152">
        <v>2</v>
      </c>
      <c r="AS95" s="40">
        <f t="shared" si="38"/>
        <v>2.5</v>
      </c>
      <c r="AT95" s="156">
        <f t="shared" si="39"/>
        <v>0</v>
      </c>
      <c r="AU95" s="153">
        <v>3</v>
      </c>
      <c r="AV95" s="161">
        <f t="shared" si="40"/>
        <v>0</v>
      </c>
      <c r="AW95" s="165"/>
      <c r="AX95" s="36" t="str">
        <f t="shared" si="41"/>
        <v>YA</v>
      </c>
      <c r="AY95" s="170">
        <f t="shared" si="42"/>
        <v>0.76</v>
      </c>
      <c r="AZ95" s="10"/>
      <c r="BA95" s="155">
        <v>0.25</v>
      </c>
      <c r="BB95" s="86">
        <f t="shared" si="43"/>
        <v>5</v>
      </c>
      <c r="BC95" s="224">
        <v>5</v>
      </c>
      <c r="BD95" s="37"/>
      <c r="BE95" s="86">
        <f t="shared" si="44"/>
        <v>0</v>
      </c>
      <c r="BF95" s="38"/>
      <c r="BG95" s="188"/>
      <c r="BH95" s="154"/>
      <c r="BI95" s="153"/>
      <c r="BJ95" s="86">
        <f t="shared" si="45"/>
        <v>5</v>
      </c>
      <c r="BK95" s="226">
        <v>5</v>
      </c>
      <c r="BL95" s="178"/>
      <c r="BM95" s="91"/>
      <c r="BN95" s="91"/>
      <c r="BO95" s="91"/>
      <c r="BP95" s="91"/>
      <c r="BQ95" s="91"/>
      <c r="BR95" s="91"/>
      <c r="BS95" s="91"/>
      <c r="BT95" s="91"/>
      <c r="BU95" s="91"/>
      <c r="BV95" s="39"/>
    </row>
    <row r="96" spans="2:74" x14ac:dyDescent="0.25">
      <c r="B96" s="136">
        <v>82</v>
      </c>
      <c r="C96" s="210" t="s">
        <v>348</v>
      </c>
      <c r="D96" s="198" t="s">
        <v>333</v>
      </c>
      <c r="E96" s="195" t="s">
        <v>334</v>
      </c>
      <c r="F96" s="131"/>
      <c r="G96" s="199" t="s">
        <v>195</v>
      </c>
      <c r="H96" s="200" t="s">
        <v>94</v>
      </c>
      <c r="I96" s="201" t="str">
        <f t="shared" si="24"/>
        <v>R</v>
      </c>
      <c r="J96" s="202">
        <v>3</v>
      </c>
      <c r="K96" s="149"/>
      <c r="L96" s="203">
        <v>0</v>
      </c>
      <c r="M96" s="88"/>
      <c r="N96" s="40">
        <f t="shared" si="25"/>
        <v>6.4479166666666679</v>
      </c>
      <c r="O96" s="58">
        <f t="shared" si="26"/>
        <v>-1.3333333333333321</v>
      </c>
      <c r="P96" s="82">
        <f t="shared" si="27"/>
        <v>679.99999999999989</v>
      </c>
      <c r="Q96" s="231">
        <v>0.79166666666666663</v>
      </c>
      <c r="R96" s="128"/>
      <c r="S96" s="103">
        <f t="shared" si="28"/>
        <v>0</v>
      </c>
      <c r="T96" s="49">
        <f t="shared" si="29"/>
        <v>4.53125</v>
      </c>
      <c r="U96" s="36">
        <f t="shared" si="30"/>
        <v>3</v>
      </c>
      <c r="V96" s="36">
        <f t="shared" si="31"/>
        <v>5</v>
      </c>
      <c r="W96" s="36">
        <f t="shared" si="32"/>
        <v>7</v>
      </c>
      <c r="X96" s="36">
        <f t="shared" si="33"/>
        <v>2</v>
      </c>
      <c r="Y96" s="36">
        <f t="shared" si="34"/>
        <v>5</v>
      </c>
      <c r="Z96" s="36">
        <f t="shared" si="35"/>
        <v>7</v>
      </c>
      <c r="AA96" s="36">
        <f t="shared" si="36"/>
        <v>3</v>
      </c>
      <c r="AB96" s="48">
        <f t="shared" si="37"/>
        <v>4.25</v>
      </c>
      <c r="AC96" s="87"/>
      <c r="AD96" s="87"/>
      <c r="AE96" s="87"/>
      <c r="AF96" s="87"/>
      <c r="AG96" s="87"/>
      <c r="AH96" s="87"/>
      <c r="AI96" s="87"/>
      <c r="AJ96" s="87"/>
      <c r="AK96" s="205">
        <v>9</v>
      </c>
      <c r="AL96" s="206">
        <v>8</v>
      </c>
      <c r="AM96" s="206">
        <v>9</v>
      </c>
      <c r="AN96" s="206">
        <v>7</v>
      </c>
      <c r="AO96" s="206">
        <v>9</v>
      </c>
      <c r="AP96" s="206">
        <v>9</v>
      </c>
      <c r="AQ96" s="206">
        <v>5</v>
      </c>
      <c r="AR96" s="207">
        <v>5</v>
      </c>
      <c r="AS96" s="40">
        <f t="shared" si="38"/>
        <v>3.25</v>
      </c>
      <c r="AT96" s="156">
        <f t="shared" si="39"/>
        <v>0</v>
      </c>
      <c r="AU96" s="209">
        <v>5</v>
      </c>
      <c r="AV96" s="161">
        <f t="shared" si="40"/>
        <v>0</v>
      </c>
      <c r="AW96" s="165"/>
      <c r="AX96" s="36" t="str">
        <f t="shared" si="41"/>
        <v>YA</v>
      </c>
      <c r="AY96" s="170">
        <f t="shared" si="42"/>
        <v>0.76</v>
      </c>
      <c r="AZ96" s="10"/>
      <c r="BA96" s="235">
        <v>0.25</v>
      </c>
      <c r="BB96" s="86">
        <f t="shared" si="43"/>
        <v>8</v>
      </c>
      <c r="BC96" s="225">
        <v>8</v>
      </c>
      <c r="BD96" s="37"/>
      <c r="BE96" s="86">
        <f t="shared" si="44"/>
        <v>0</v>
      </c>
      <c r="BF96" s="38"/>
      <c r="BG96" s="188"/>
      <c r="BH96" s="208"/>
      <c r="BI96" s="209"/>
      <c r="BJ96" s="86">
        <f t="shared" si="45"/>
        <v>5</v>
      </c>
      <c r="BK96" s="227">
        <v>5</v>
      </c>
      <c r="BL96" s="178"/>
      <c r="BM96" s="91"/>
      <c r="BN96" s="91"/>
      <c r="BO96" s="91"/>
      <c r="BP96" s="91"/>
      <c r="BQ96" s="91"/>
      <c r="BR96" s="91"/>
      <c r="BS96" s="91"/>
      <c r="BT96" s="91"/>
      <c r="BU96" s="91"/>
      <c r="BV96" s="39"/>
    </row>
    <row r="97" spans="2:74" x14ac:dyDescent="0.25">
      <c r="B97" s="136">
        <v>83</v>
      </c>
      <c r="C97" s="194" t="s">
        <v>335</v>
      </c>
      <c r="D97" s="198" t="s">
        <v>349</v>
      </c>
      <c r="E97" s="195" t="s">
        <v>350</v>
      </c>
      <c r="F97" s="131"/>
      <c r="G97" s="199" t="s">
        <v>195</v>
      </c>
      <c r="H97" s="200" t="s">
        <v>94</v>
      </c>
      <c r="I97" s="201" t="str">
        <f t="shared" si="24"/>
        <v>R</v>
      </c>
      <c r="J97" s="202">
        <v>3</v>
      </c>
      <c r="K97" s="149"/>
      <c r="L97" s="203">
        <v>0</v>
      </c>
      <c r="M97" s="88"/>
      <c r="N97" s="40">
        <f t="shared" si="25"/>
        <v>6.3645833333333357</v>
      </c>
      <c r="O97" s="58">
        <f t="shared" si="26"/>
        <v>-1.4166666666666643</v>
      </c>
      <c r="P97" s="82">
        <f t="shared" si="27"/>
        <v>684.99999999999989</v>
      </c>
      <c r="Q97" s="231">
        <v>0.79513888888888884</v>
      </c>
      <c r="R97" s="128"/>
      <c r="S97" s="103">
        <f t="shared" si="28"/>
        <v>0</v>
      </c>
      <c r="T97" s="49">
        <f t="shared" si="29"/>
        <v>4.53125</v>
      </c>
      <c r="U97" s="36">
        <f t="shared" si="30"/>
        <v>3</v>
      </c>
      <c r="V97" s="36">
        <f t="shared" si="31"/>
        <v>5</v>
      </c>
      <c r="W97" s="36">
        <f t="shared" si="32"/>
        <v>7</v>
      </c>
      <c r="X97" s="36">
        <f t="shared" si="33"/>
        <v>2</v>
      </c>
      <c r="Y97" s="36">
        <f t="shared" si="34"/>
        <v>5</v>
      </c>
      <c r="Z97" s="36">
        <f t="shared" si="35"/>
        <v>7</v>
      </c>
      <c r="AA97" s="36">
        <f t="shared" si="36"/>
        <v>3</v>
      </c>
      <c r="AB97" s="48">
        <f t="shared" si="37"/>
        <v>4.25</v>
      </c>
      <c r="AC97" s="87"/>
      <c r="AD97" s="87"/>
      <c r="AE97" s="87"/>
      <c r="AF97" s="87"/>
      <c r="AG97" s="87"/>
      <c r="AH97" s="87"/>
      <c r="AI97" s="87"/>
      <c r="AJ97" s="87"/>
      <c r="AK97" s="205">
        <v>9</v>
      </c>
      <c r="AL97" s="206">
        <v>8</v>
      </c>
      <c r="AM97" s="206">
        <v>9</v>
      </c>
      <c r="AN97" s="206">
        <v>7</v>
      </c>
      <c r="AO97" s="206">
        <v>9</v>
      </c>
      <c r="AP97" s="206">
        <v>9</v>
      </c>
      <c r="AQ97" s="206">
        <v>5</v>
      </c>
      <c r="AR97" s="207">
        <v>5</v>
      </c>
      <c r="AS97" s="40">
        <f t="shared" si="38"/>
        <v>3.25</v>
      </c>
      <c r="AT97" s="156">
        <f t="shared" si="39"/>
        <v>0</v>
      </c>
      <c r="AU97" s="209">
        <v>5</v>
      </c>
      <c r="AV97" s="161">
        <f t="shared" si="40"/>
        <v>0</v>
      </c>
      <c r="AW97" s="165"/>
      <c r="AX97" s="36" t="str">
        <f t="shared" si="41"/>
        <v>YA</v>
      </c>
      <c r="AY97" s="170">
        <f t="shared" si="42"/>
        <v>0.76</v>
      </c>
      <c r="AZ97" s="10"/>
      <c r="BA97" s="235">
        <v>0.25</v>
      </c>
      <c r="BB97" s="86">
        <f t="shared" si="43"/>
        <v>8</v>
      </c>
      <c r="BC97" s="225">
        <v>8</v>
      </c>
      <c r="BD97" s="37"/>
      <c r="BE97" s="86">
        <f t="shared" si="44"/>
        <v>0</v>
      </c>
      <c r="BF97" s="38"/>
      <c r="BG97" s="188"/>
      <c r="BH97" s="208"/>
      <c r="BI97" s="209"/>
      <c r="BJ97" s="86">
        <f t="shared" si="45"/>
        <v>5</v>
      </c>
      <c r="BK97" s="227">
        <v>5</v>
      </c>
      <c r="BL97" s="178"/>
      <c r="BM97" s="91"/>
      <c r="BN97" s="91"/>
      <c r="BO97" s="91"/>
      <c r="BP97" s="91"/>
      <c r="BQ97" s="91"/>
      <c r="BR97" s="91"/>
      <c r="BS97" s="91"/>
      <c r="BT97" s="91"/>
      <c r="BU97" s="91"/>
      <c r="BV97" s="39"/>
    </row>
    <row r="98" spans="2:74" ht="30" x14ac:dyDescent="0.25">
      <c r="B98" s="136">
        <v>84</v>
      </c>
      <c r="C98" s="194" t="s">
        <v>351</v>
      </c>
      <c r="D98" s="198" t="s">
        <v>352</v>
      </c>
      <c r="E98" s="195" t="s">
        <v>353</v>
      </c>
      <c r="F98" s="131"/>
      <c r="G98" s="199" t="s">
        <v>195</v>
      </c>
      <c r="H98" s="200" t="s">
        <v>94</v>
      </c>
      <c r="I98" s="201" t="str">
        <f t="shared" si="24"/>
        <v>R</v>
      </c>
      <c r="J98" s="202">
        <v>3</v>
      </c>
      <c r="K98" s="149"/>
      <c r="L98" s="203">
        <v>0</v>
      </c>
      <c r="M98" s="88"/>
      <c r="N98" s="40">
        <f t="shared" si="25"/>
        <v>6.2812500000000018</v>
      </c>
      <c r="O98" s="58">
        <f t="shared" si="26"/>
        <v>-1.4999999999999982</v>
      </c>
      <c r="P98" s="82">
        <f t="shared" si="27"/>
        <v>689.99999999999989</v>
      </c>
      <c r="Q98" s="231">
        <v>0.79861111111111105</v>
      </c>
      <c r="R98" s="128"/>
      <c r="S98" s="103">
        <f t="shared" si="28"/>
        <v>0</v>
      </c>
      <c r="T98" s="49">
        <f t="shared" si="29"/>
        <v>4.53125</v>
      </c>
      <c r="U98" s="36">
        <f t="shared" si="30"/>
        <v>3</v>
      </c>
      <c r="V98" s="36">
        <f t="shared" si="31"/>
        <v>5</v>
      </c>
      <c r="W98" s="36">
        <f t="shared" si="32"/>
        <v>7</v>
      </c>
      <c r="X98" s="36">
        <f t="shared" si="33"/>
        <v>2</v>
      </c>
      <c r="Y98" s="36">
        <f t="shared" si="34"/>
        <v>5</v>
      </c>
      <c r="Z98" s="36">
        <f t="shared" si="35"/>
        <v>7</v>
      </c>
      <c r="AA98" s="36">
        <f t="shared" si="36"/>
        <v>3</v>
      </c>
      <c r="AB98" s="48">
        <f t="shared" si="37"/>
        <v>4.25</v>
      </c>
      <c r="AC98" s="87"/>
      <c r="AD98" s="87"/>
      <c r="AE98" s="87"/>
      <c r="AF98" s="87"/>
      <c r="AG98" s="87"/>
      <c r="AH98" s="87"/>
      <c r="AI98" s="87"/>
      <c r="AJ98" s="87"/>
      <c r="AK98" s="205">
        <v>9</v>
      </c>
      <c r="AL98" s="206">
        <v>8</v>
      </c>
      <c r="AM98" s="206">
        <v>9</v>
      </c>
      <c r="AN98" s="206">
        <v>7</v>
      </c>
      <c r="AO98" s="206">
        <v>9</v>
      </c>
      <c r="AP98" s="206">
        <v>9</v>
      </c>
      <c r="AQ98" s="206">
        <v>5</v>
      </c>
      <c r="AR98" s="207">
        <v>5</v>
      </c>
      <c r="AS98" s="40">
        <f t="shared" si="38"/>
        <v>3.25</v>
      </c>
      <c r="AT98" s="156">
        <f t="shared" si="39"/>
        <v>0</v>
      </c>
      <c r="AU98" s="209">
        <v>5</v>
      </c>
      <c r="AV98" s="161">
        <f t="shared" si="40"/>
        <v>0</v>
      </c>
      <c r="AW98" s="165"/>
      <c r="AX98" s="36" t="str">
        <f t="shared" si="41"/>
        <v>YA</v>
      </c>
      <c r="AY98" s="170">
        <f t="shared" si="42"/>
        <v>0.76</v>
      </c>
      <c r="AZ98" s="10"/>
      <c r="BA98" s="235">
        <v>0.25</v>
      </c>
      <c r="BB98" s="86">
        <f t="shared" si="43"/>
        <v>8</v>
      </c>
      <c r="BC98" s="225">
        <v>8</v>
      </c>
      <c r="BD98" s="37"/>
      <c r="BE98" s="86">
        <f t="shared" si="44"/>
        <v>0</v>
      </c>
      <c r="BF98" s="38"/>
      <c r="BG98" s="188"/>
      <c r="BH98" s="208"/>
      <c r="BI98" s="209"/>
      <c r="BJ98" s="86">
        <f t="shared" si="45"/>
        <v>5</v>
      </c>
      <c r="BK98" s="227">
        <v>5</v>
      </c>
      <c r="BL98" s="178"/>
      <c r="BM98" s="91"/>
      <c r="BN98" s="91"/>
      <c r="BO98" s="91"/>
      <c r="BP98" s="91"/>
      <c r="BQ98" s="91"/>
      <c r="BR98" s="91"/>
      <c r="BS98" s="91"/>
      <c r="BT98" s="91"/>
      <c r="BU98" s="91"/>
      <c r="BV98" s="39"/>
    </row>
    <row r="99" spans="2:74" ht="30" x14ac:dyDescent="0.25">
      <c r="B99" s="136">
        <v>85</v>
      </c>
      <c r="C99" s="194" t="s">
        <v>354</v>
      </c>
      <c r="D99" s="138" t="s">
        <v>175</v>
      </c>
      <c r="E99" s="196" t="s">
        <v>300</v>
      </c>
      <c r="F99" s="131"/>
      <c r="G99" s="144" t="s">
        <v>195</v>
      </c>
      <c r="H99" s="145" t="s">
        <v>94</v>
      </c>
      <c r="I99" s="146" t="str">
        <f t="shared" si="24"/>
        <v>R</v>
      </c>
      <c r="J99" s="148">
        <v>3</v>
      </c>
      <c r="K99" s="149"/>
      <c r="L99" s="149">
        <v>0</v>
      </c>
      <c r="M99" s="88"/>
      <c r="N99" s="40">
        <f t="shared" si="25"/>
        <v>5.1979166666666679</v>
      </c>
      <c r="O99" s="58">
        <f t="shared" si="26"/>
        <v>-1.5833333333333321</v>
      </c>
      <c r="P99" s="82">
        <f t="shared" si="27"/>
        <v>694.99999999999989</v>
      </c>
      <c r="Q99" s="204">
        <v>0.80208333333333326</v>
      </c>
      <c r="R99" s="92"/>
      <c r="S99" s="103">
        <f t="shared" si="28"/>
        <v>0</v>
      </c>
      <c r="T99" s="49">
        <f t="shared" si="29"/>
        <v>3.53125</v>
      </c>
      <c r="U99" s="36">
        <f t="shared" si="30"/>
        <v>2</v>
      </c>
      <c r="V99" s="36">
        <f t="shared" si="31"/>
        <v>5</v>
      </c>
      <c r="W99" s="36">
        <f t="shared" si="32"/>
        <v>7</v>
      </c>
      <c r="X99" s="36">
        <f t="shared" si="33"/>
        <v>6</v>
      </c>
      <c r="Y99" s="36">
        <f t="shared" si="34"/>
        <v>5</v>
      </c>
      <c r="Z99" s="36">
        <f t="shared" si="35"/>
        <v>2</v>
      </c>
      <c r="AA99" s="36">
        <f t="shared" si="36"/>
        <v>0</v>
      </c>
      <c r="AB99" s="48">
        <f t="shared" si="37"/>
        <v>1.25</v>
      </c>
      <c r="AK99" s="150">
        <v>8</v>
      </c>
      <c r="AL99" s="151">
        <v>8</v>
      </c>
      <c r="AM99" s="151">
        <v>9</v>
      </c>
      <c r="AN99" s="151">
        <v>3</v>
      </c>
      <c r="AO99" s="151">
        <v>9</v>
      </c>
      <c r="AP99" s="151">
        <v>4</v>
      </c>
      <c r="AQ99" s="151">
        <v>2</v>
      </c>
      <c r="AR99" s="152">
        <v>2</v>
      </c>
      <c r="AS99" s="40">
        <f t="shared" si="38"/>
        <v>3.25</v>
      </c>
      <c r="AT99" s="156">
        <f t="shared" si="39"/>
        <v>0</v>
      </c>
      <c r="AU99" s="153">
        <v>5</v>
      </c>
      <c r="AV99" s="161">
        <f t="shared" si="40"/>
        <v>0</v>
      </c>
      <c r="AW99" s="165"/>
      <c r="AX99" s="36" t="str">
        <f t="shared" si="41"/>
        <v>YA</v>
      </c>
      <c r="AY99" s="170">
        <f t="shared" si="42"/>
        <v>0.76</v>
      </c>
      <c r="AZ99" s="10"/>
      <c r="BA99" s="155">
        <v>0.25</v>
      </c>
      <c r="BB99" s="86">
        <f t="shared" si="43"/>
        <v>8</v>
      </c>
      <c r="BC99" s="224">
        <v>8</v>
      </c>
      <c r="BD99" s="37"/>
      <c r="BE99" s="86">
        <f t="shared" si="44"/>
        <v>0</v>
      </c>
      <c r="BF99" s="38"/>
      <c r="BG99" s="188"/>
      <c r="BH99" s="154"/>
      <c r="BI99" s="153"/>
      <c r="BJ99" s="86">
        <f t="shared" si="45"/>
        <v>5</v>
      </c>
      <c r="BK99" s="226">
        <v>5</v>
      </c>
      <c r="BL99" s="178"/>
      <c r="BM99" s="91"/>
      <c r="BN99" s="91"/>
      <c r="BO99" s="91"/>
      <c r="BP99" s="91"/>
      <c r="BQ99" s="91"/>
      <c r="BR99" s="91"/>
      <c r="BS99" s="91"/>
      <c r="BT99" s="91"/>
      <c r="BU99" s="91"/>
      <c r="BV99" s="39"/>
    </row>
    <row r="100" spans="2:74" x14ac:dyDescent="0.25">
      <c r="B100" s="136">
        <v>86</v>
      </c>
      <c r="C100" s="139" t="s">
        <v>301</v>
      </c>
      <c r="D100" s="138" t="s">
        <v>176</v>
      </c>
      <c r="E100" s="196" t="s">
        <v>26</v>
      </c>
      <c r="F100" s="129"/>
      <c r="G100" s="144" t="s">
        <v>195</v>
      </c>
      <c r="H100" s="145" t="s">
        <v>95</v>
      </c>
      <c r="I100" s="146" t="str">
        <f t="shared" si="24"/>
        <v>R</v>
      </c>
      <c r="J100" s="148">
        <v>1</v>
      </c>
      <c r="K100" s="149"/>
      <c r="L100" s="149">
        <v>2</v>
      </c>
      <c r="M100" s="88"/>
      <c r="N100" s="40">
        <f t="shared" si="25"/>
        <v>3.8229166666666661</v>
      </c>
      <c r="O100" s="58">
        <f t="shared" si="26"/>
        <v>-1.8333333333333339</v>
      </c>
      <c r="P100" s="58">
        <f t="shared" si="27"/>
        <v>710</v>
      </c>
      <c r="Q100" s="204">
        <v>0.8125</v>
      </c>
      <c r="R100" s="92"/>
      <c r="S100" s="103">
        <f t="shared" si="28"/>
        <v>0.5</v>
      </c>
      <c r="T100" s="49">
        <f t="shared" si="29"/>
        <v>2.15625</v>
      </c>
      <c r="U100" s="36">
        <f t="shared" si="30"/>
        <v>0</v>
      </c>
      <c r="V100" s="36">
        <f t="shared" si="31"/>
        <v>5</v>
      </c>
      <c r="W100" s="36">
        <f t="shared" si="32"/>
        <v>6</v>
      </c>
      <c r="X100" s="36">
        <f t="shared" si="33"/>
        <v>5</v>
      </c>
      <c r="Y100" s="36">
        <f t="shared" si="34"/>
        <v>0</v>
      </c>
      <c r="Z100" s="36">
        <f t="shared" si="35"/>
        <v>0</v>
      </c>
      <c r="AA100" s="36">
        <f t="shared" si="36"/>
        <v>-1</v>
      </c>
      <c r="AB100" s="48">
        <f t="shared" si="37"/>
        <v>2.25</v>
      </c>
      <c r="AK100" s="150">
        <v>6</v>
      </c>
      <c r="AL100" s="151">
        <v>8</v>
      </c>
      <c r="AM100" s="151">
        <v>8</v>
      </c>
      <c r="AN100" s="151">
        <v>4</v>
      </c>
      <c r="AO100" s="151">
        <v>4</v>
      </c>
      <c r="AP100" s="151">
        <v>2</v>
      </c>
      <c r="AQ100" s="151">
        <v>1</v>
      </c>
      <c r="AR100" s="152">
        <v>3</v>
      </c>
      <c r="AS100" s="40">
        <f t="shared" si="38"/>
        <v>3.5</v>
      </c>
      <c r="AT100" s="156">
        <f t="shared" si="39"/>
        <v>0</v>
      </c>
      <c r="AU100" s="153">
        <v>6</v>
      </c>
      <c r="AV100" s="161">
        <f t="shared" si="40"/>
        <v>0</v>
      </c>
      <c r="AW100" s="165"/>
      <c r="AX100" s="36" t="str">
        <f t="shared" si="41"/>
        <v>YA</v>
      </c>
      <c r="AY100" s="170">
        <f t="shared" si="42"/>
        <v>0.51</v>
      </c>
      <c r="AZ100" s="10"/>
      <c r="BA100" s="155">
        <v>0.5</v>
      </c>
      <c r="BB100" s="86">
        <f t="shared" si="43"/>
        <v>8</v>
      </c>
      <c r="BC100" s="224">
        <v>8</v>
      </c>
      <c r="BD100" s="37"/>
      <c r="BE100" s="86">
        <f t="shared" si="44"/>
        <v>0</v>
      </c>
      <c r="BF100" s="42"/>
      <c r="BG100" s="190"/>
      <c r="BH100" s="154">
        <v>1</v>
      </c>
      <c r="BI100" s="153">
        <v>6</v>
      </c>
      <c r="BJ100" s="86">
        <f t="shared" si="45"/>
        <v>6</v>
      </c>
      <c r="BK100" s="226">
        <v>6</v>
      </c>
      <c r="BL100" s="178"/>
      <c r="BM100" s="91"/>
      <c r="BN100" s="91"/>
      <c r="BO100" s="91"/>
      <c r="BP100" s="91"/>
      <c r="BQ100" s="91"/>
      <c r="BR100" s="91"/>
      <c r="BS100" s="91"/>
      <c r="BT100" s="91"/>
      <c r="BU100" s="91"/>
      <c r="BV100" s="39"/>
    </row>
    <row r="101" spans="2:74" x14ac:dyDescent="0.25">
      <c r="B101" s="136">
        <v>87</v>
      </c>
      <c r="C101" s="137" t="s">
        <v>88</v>
      </c>
      <c r="D101" s="138" t="s">
        <v>177</v>
      </c>
      <c r="E101" s="196" t="s">
        <v>30</v>
      </c>
      <c r="F101" s="131"/>
      <c r="G101" s="144" t="s">
        <v>195</v>
      </c>
      <c r="H101" s="145" t="s">
        <v>95</v>
      </c>
      <c r="I101" s="146" t="str">
        <f t="shared" si="24"/>
        <v>R</v>
      </c>
      <c r="J101" s="148">
        <v>2</v>
      </c>
      <c r="K101" s="149"/>
      <c r="L101" s="149">
        <v>0</v>
      </c>
      <c r="M101" s="88"/>
      <c r="N101" s="40">
        <f t="shared" si="25"/>
        <v>2.8229166666666661</v>
      </c>
      <c r="O101" s="58">
        <f t="shared" si="26"/>
        <v>-1.8333333333333339</v>
      </c>
      <c r="P101" s="82">
        <f t="shared" si="27"/>
        <v>710</v>
      </c>
      <c r="Q101" s="229">
        <v>0.8125</v>
      </c>
      <c r="R101" s="93"/>
      <c r="S101" s="103">
        <f t="shared" si="28"/>
        <v>0</v>
      </c>
      <c r="T101" s="49">
        <f t="shared" si="29"/>
        <v>1.90625</v>
      </c>
      <c r="U101" s="36">
        <f t="shared" si="30"/>
        <v>0</v>
      </c>
      <c r="V101" s="36">
        <f t="shared" si="31"/>
        <v>5</v>
      </c>
      <c r="W101" s="36">
        <f t="shared" si="32"/>
        <v>6</v>
      </c>
      <c r="X101" s="36">
        <f t="shared" si="33"/>
        <v>3</v>
      </c>
      <c r="Y101" s="36">
        <f t="shared" si="34"/>
        <v>0</v>
      </c>
      <c r="Z101" s="36">
        <f t="shared" si="35"/>
        <v>0</v>
      </c>
      <c r="AA101" s="36">
        <f t="shared" si="36"/>
        <v>-1</v>
      </c>
      <c r="AB101" s="48">
        <f t="shared" si="37"/>
        <v>2.25</v>
      </c>
      <c r="AK101" s="150">
        <v>6</v>
      </c>
      <c r="AL101" s="151">
        <v>8</v>
      </c>
      <c r="AM101" s="151">
        <v>8</v>
      </c>
      <c r="AN101" s="151">
        <v>6</v>
      </c>
      <c r="AO101" s="151">
        <v>4</v>
      </c>
      <c r="AP101" s="151">
        <v>2</v>
      </c>
      <c r="AQ101" s="151">
        <v>1</v>
      </c>
      <c r="AR101" s="152">
        <v>3</v>
      </c>
      <c r="AS101" s="40">
        <f t="shared" si="38"/>
        <v>2.75</v>
      </c>
      <c r="AT101" s="156">
        <f t="shared" si="39"/>
        <v>0</v>
      </c>
      <c r="AU101" s="153">
        <v>8</v>
      </c>
      <c r="AV101" s="161">
        <f t="shared" si="40"/>
        <v>0</v>
      </c>
      <c r="AW101" s="165"/>
      <c r="AX101" s="36" t="str">
        <f t="shared" si="41"/>
        <v>YA</v>
      </c>
      <c r="AY101" s="170">
        <f t="shared" si="42"/>
        <v>0.76</v>
      </c>
      <c r="AZ101" s="10"/>
      <c r="BA101" s="155">
        <v>0.25</v>
      </c>
      <c r="BB101" s="86">
        <f t="shared" si="43"/>
        <v>6</v>
      </c>
      <c r="BC101" s="224">
        <v>6</v>
      </c>
      <c r="BD101" s="37"/>
      <c r="BE101" s="86">
        <f t="shared" si="44"/>
        <v>0</v>
      </c>
      <c r="BF101" s="38"/>
      <c r="BG101" s="188"/>
      <c r="BH101" s="154"/>
      <c r="BI101" s="153"/>
      <c r="BJ101" s="86">
        <f t="shared" si="45"/>
        <v>5</v>
      </c>
      <c r="BK101" s="226">
        <v>5</v>
      </c>
      <c r="BL101" s="178"/>
      <c r="BM101" s="91"/>
      <c r="BN101" s="91"/>
      <c r="BO101" s="91"/>
      <c r="BP101" s="91"/>
      <c r="BQ101" s="91"/>
      <c r="BR101" s="91"/>
      <c r="BS101" s="91"/>
      <c r="BT101" s="91"/>
      <c r="BU101" s="91"/>
      <c r="BV101" s="39"/>
    </row>
    <row r="102" spans="2:74" x14ac:dyDescent="0.25">
      <c r="B102" s="136">
        <v>88</v>
      </c>
      <c r="C102" s="210" t="s">
        <v>88</v>
      </c>
      <c r="D102" s="198" t="s">
        <v>333</v>
      </c>
      <c r="E102" s="213" t="s">
        <v>334</v>
      </c>
      <c r="F102" s="131"/>
      <c r="G102" s="199" t="s">
        <v>195</v>
      </c>
      <c r="H102" s="200" t="s">
        <v>94</v>
      </c>
      <c r="I102" s="201" t="str">
        <f t="shared" si="24"/>
        <v>R</v>
      </c>
      <c r="J102" s="202">
        <v>3</v>
      </c>
      <c r="K102" s="149"/>
      <c r="L102" s="203">
        <v>0</v>
      </c>
      <c r="M102" s="88"/>
      <c r="N102" s="40">
        <f t="shared" si="25"/>
        <v>5.4479166666666679</v>
      </c>
      <c r="O102" s="58">
        <f t="shared" si="26"/>
        <v>-2.3333333333333321</v>
      </c>
      <c r="P102" s="58">
        <f t="shared" si="27"/>
        <v>739.99999999999989</v>
      </c>
      <c r="Q102" s="229">
        <v>0.83333333333333337</v>
      </c>
      <c r="R102" s="127"/>
      <c r="S102" s="103">
        <f t="shared" si="28"/>
        <v>0</v>
      </c>
      <c r="T102" s="49">
        <f t="shared" si="29"/>
        <v>4.53125</v>
      </c>
      <c r="U102" s="36">
        <f t="shared" si="30"/>
        <v>3</v>
      </c>
      <c r="V102" s="36">
        <f t="shared" si="31"/>
        <v>5</v>
      </c>
      <c r="W102" s="36">
        <f t="shared" si="32"/>
        <v>7</v>
      </c>
      <c r="X102" s="36">
        <f t="shared" si="33"/>
        <v>2</v>
      </c>
      <c r="Y102" s="36">
        <f t="shared" si="34"/>
        <v>5</v>
      </c>
      <c r="Z102" s="36">
        <f t="shared" si="35"/>
        <v>7</v>
      </c>
      <c r="AA102" s="36">
        <f t="shared" si="36"/>
        <v>3</v>
      </c>
      <c r="AB102" s="48">
        <f t="shared" si="37"/>
        <v>4.25</v>
      </c>
      <c r="AC102" s="87"/>
      <c r="AD102" s="87"/>
      <c r="AE102" s="87"/>
      <c r="AF102" s="87"/>
      <c r="AG102" s="87"/>
      <c r="AH102" s="87"/>
      <c r="AI102" s="87"/>
      <c r="AJ102" s="87"/>
      <c r="AK102" s="205">
        <v>9</v>
      </c>
      <c r="AL102" s="206">
        <v>8</v>
      </c>
      <c r="AM102" s="206">
        <v>9</v>
      </c>
      <c r="AN102" s="206">
        <v>7</v>
      </c>
      <c r="AO102" s="206">
        <v>9</v>
      </c>
      <c r="AP102" s="206">
        <v>9</v>
      </c>
      <c r="AQ102" s="206">
        <v>5</v>
      </c>
      <c r="AR102" s="207">
        <v>5</v>
      </c>
      <c r="AS102" s="40">
        <f t="shared" si="38"/>
        <v>3.25</v>
      </c>
      <c r="AT102" s="156">
        <f t="shared" si="39"/>
        <v>0</v>
      </c>
      <c r="AU102" s="209">
        <v>5</v>
      </c>
      <c r="AV102" s="161">
        <f t="shared" si="40"/>
        <v>0</v>
      </c>
      <c r="AW102" s="165"/>
      <c r="AX102" s="36" t="str">
        <f t="shared" si="41"/>
        <v>YA</v>
      </c>
      <c r="AY102" s="170">
        <f t="shared" si="42"/>
        <v>0.76</v>
      </c>
      <c r="AZ102" s="10"/>
      <c r="BA102" s="235">
        <v>0.25</v>
      </c>
      <c r="BB102" s="86">
        <f t="shared" si="43"/>
        <v>8</v>
      </c>
      <c r="BC102" s="225">
        <v>8</v>
      </c>
      <c r="BD102" s="37"/>
      <c r="BE102" s="86">
        <f t="shared" si="44"/>
        <v>0</v>
      </c>
      <c r="BF102" s="38"/>
      <c r="BG102" s="188"/>
      <c r="BH102" s="208"/>
      <c r="BI102" s="209"/>
      <c r="BJ102" s="86">
        <f t="shared" si="45"/>
        <v>5</v>
      </c>
      <c r="BK102" s="227">
        <v>5</v>
      </c>
      <c r="BL102" s="178"/>
      <c r="BM102" s="91"/>
      <c r="BN102" s="91"/>
      <c r="BO102" s="91"/>
      <c r="BP102" s="91"/>
      <c r="BQ102" s="91"/>
      <c r="BR102" s="91"/>
      <c r="BS102" s="91"/>
      <c r="BT102" s="91"/>
      <c r="BU102" s="91"/>
      <c r="BV102" s="39"/>
    </row>
    <row r="103" spans="2:74" ht="30" x14ac:dyDescent="0.25">
      <c r="B103" s="136">
        <v>89</v>
      </c>
      <c r="C103" s="194" t="s">
        <v>335</v>
      </c>
      <c r="D103" s="138" t="s">
        <v>178</v>
      </c>
      <c r="E103" s="196" t="s">
        <v>302</v>
      </c>
      <c r="F103" s="131"/>
      <c r="G103" s="144" t="s">
        <v>195</v>
      </c>
      <c r="H103" s="145" t="s">
        <v>94</v>
      </c>
      <c r="I103" s="146" t="str">
        <f t="shared" si="24"/>
        <v>I</v>
      </c>
      <c r="J103" s="148">
        <v>2</v>
      </c>
      <c r="K103" s="149"/>
      <c r="L103" s="149">
        <v>0</v>
      </c>
      <c r="M103" s="88"/>
      <c r="N103" s="40">
        <f t="shared" si="25"/>
        <v>0</v>
      </c>
      <c r="O103" s="58">
        <f t="shared" si="26"/>
        <v>-2.4166666666666679</v>
      </c>
      <c r="P103" s="58">
        <f t="shared" si="27"/>
        <v>745.00000000000011</v>
      </c>
      <c r="Q103" s="229">
        <v>0.83680555555555558</v>
      </c>
      <c r="R103" s="93"/>
      <c r="S103" s="103">
        <f t="shared" si="28"/>
        <v>0</v>
      </c>
      <c r="T103" s="49">
        <f t="shared" si="29"/>
        <v>2.78125</v>
      </c>
      <c r="U103" s="36">
        <f t="shared" si="30"/>
        <v>2</v>
      </c>
      <c r="V103" s="36">
        <f t="shared" si="31"/>
        <v>5</v>
      </c>
      <c r="W103" s="36">
        <f t="shared" si="32"/>
        <v>4</v>
      </c>
      <c r="X103" s="36">
        <f t="shared" si="33"/>
        <v>6</v>
      </c>
      <c r="Y103" s="36">
        <f t="shared" si="34"/>
        <v>2</v>
      </c>
      <c r="Z103" s="36">
        <f t="shared" si="35"/>
        <v>2</v>
      </c>
      <c r="AA103" s="36">
        <f t="shared" si="36"/>
        <v>0</v>
      </c>
      <c r="AB103" s="48">
        <f t="shared" si="37"/>
        <v>1.25</v>
      </c>
      <c r="AK103" s="150">
        <v>8</v>
      </c>
      <c r="AL103" s="151">
        <v>8</v>
      </c>
      <c r="AM103" s="151">
        <v>6</v>
      </c>
      <c r="AN103" s="151">
        <v>3</v>
      </c>
      <c r="AO103" s="151">
        <v>6</v>
      </c>
      <c r="AP103" s="151">
        <v>4</v>
      </c>
      <c r="AQ103" s="151">
        <v>2</v>
      </c>
      <c r="AR103" s="152">
        <v>2</v>
      </c>
      <c r="AS103" s="40">
        <f t="shared" si="38"/>
        <v>3.25</v>
      </c>
      <c r="AT103" s="156">
        <f t="shared" si="39"/>
        <v>0</v>
      </c>
      <c r="AU103" s="153">
        <v>5</v>
      </c>
      <c r="AV103" s="161">
        <f t="shared" si="40"/>
        <v>0</v>
      </c>
      <c r="AW103" s="165"/>
      <c r="AX103" s="36" t="str">
        <f t="shared" si="41"/>
        <v>YA</v>
      </c>
      <c r="AY103" s="170">
        <f t="shared" si="42"/>
        <v>0.51</v>
      </c>
      <c r="AZ103" s="10"/>
      <c r="BA103" s="155">
        <v>0.5</v>
      </c>
      <c r="BB103" s="86">
        <f t="shared" si="43"/>
        <v>8</v>
      </c>
      <c r="BC103" s="224">
        <v>8</v>
      </c>
      <c r="BD103" s="37"/>
      <c r="BE103" s="86">
        <f t="shared" si="44"/>
        <v>0</v>
      </c>
      <c r="BF103" s="38"/>
      <c r="BG103" s="188"/>
      <c r="BH103" s="154"/>
      <c r="BI103" s="153"/>
      <c r="BJ103" s="86">
        <f t="shared" si="45"/>
        <v>5</v>
      </c>
      <c r="BK103" s="226">
        <v>5</v>
      </c>
      <c r="BL103" s="178"/>
      <c r="BM103" s="91"/>
      <c r="BN103" s="91"/>
      <c r="BO103" s="91"/>
      <c r="BP103" s="91"/>
      <c r="BQ103" s="91"/>
      <c r="BR103" s="91"/>
      <c r="BS103" s="91"/>
      <c r="BT103" s="91"/>
      <c r="BU103" s="91"/>
      <c r="BV103" s="39"/>
    </row>
    <row r="104" spans="2:74" ht="30" x14ac:dyDescent="0.25">
      <c r="B104" s="136">
        <v>90</v>
      </c>
      <c r="C104" s="137" t="s">
        <v>88</v>
      </c>
      <c r="D104" s="138" t="s">
        <v>179</v>
      </c>
      <c r="E104" s="196" t="s">
        <v>303</v>
      </c>
      <c r="F104" s="131"/>
      <c r="G104" s="144" t="s">
        <v>195</v>
      </c>
      <c r="H104" s="145" t="s">
        <v>94</v>
      </c>
      <c r="I104" s="146" t="str">
        <f t="shared" si="24"/>
        <v>R</v>
      </c>
      <c r="J104" s="148">
        <v>3</v>
      </c>
      <c r="K104" s="149"/>
      <c r="L104" s="149">
        <v>0</v>
      </c>
      <c r="M104" s="88"/>
      <c r="N104" s="40">
        <f t="shared" si="25"/>
        <v>5.3645833333333357</v>
      </c>
      <c r="O104" s="58">
        <f t="shared" si="26"/>
        <v>-3.4166666666666643</v>
      </c>
      <c r="P104" s="58">
        <f t="shared" si="27"/>
        <v>804.99999999999989</v>
      </c>
      <c r="Q104" s="231">
        <v>0.87847222222222221</v>
      </c>
      <c r="R104" s="94"/>
      <c r="S104" s="105">
        <f t="shared" si="28"/>
        <v>0</v>
      </c>
      <c r="T104" s="49">
        <f t="shared" si="29"/>
        <v>4.78125</v>
      </c>
      <c r="U104" s="36">
        <f t="shared" si="30"/>
        <v>3</v>
      </c>
      <c r="V104" s="36">
        <f t="shared" si="31"/>
        <v>5</v>
      </c>
      <c r="W104" s="36">
        <f t="shared" si="32"/>
        <v>7</v>
      </c>
      <c r="X104" s="36">
        <f t="shared" si="33"/>
        <v>4</v>
      </c>
      <c r="Y104" s="36">
        <f t="shared" si="34"/>
        <v>5</v>
      </c>
      <c r="Z104" s="36">
        <f t="shared" si="35"/>
        <v>7</v>
      </c>
      <c r="AA104" s="36">
        <f t="shared" si="36"/>
        <v>1</v>
      </c>
      <c r="AB104" s="48">
        <f t="shared" si="37"/>
        <v>6.25</v>
      </c>
      <c r="AK104" s="150">
        <v>9</v>
      </c>
      <c r="AL104" s="151">
        <v>8</v>
      </c>
      <c r="AM104" s="151">
        <v>9</v>
      </c>
      <c r="AN104" s="151">
        <v>5</v>
      </c>
      <c r="AO104" s="151">
        <v>9</v>
      </c>
      <c r="AP104" s="151">
        <v>9</v>
      </c>
      <c r="AQ104" s="151">
        <v>3</v>
      </c>
      <c r="AR104" s="152">
        <v>7</v>
      </c>
      <c r="AS104" s="40">
        <f t="shared" si="38"/>
        <v>4</v>
      </c>
      <c r="AT104" s="156">
        <f t="shared" si="39"/>
        <v>0</v>
      </c>
      <c r="AU104" s="153">
        <v>6</v>
      </c>
      <c r="AV104" s="161">
        <f t="shared" si="40"/>
        <v>0</v>
      </c>
      <c r="AW104" s="165"/>
      <c r="AX104" s="36" t="str">
        <f t="shared" si="41"/>
        <v>YA</v>
      </c>
      <c r="AY104" s="170">
        <f t="shared" si="42"/>
        <v>0.76</v>
      </c>
      <c r="AZ104" s="10"/>
      <c r="BA104" s="155">
        <v>0.25</v>
      </c>
      <c r="BB104" s="86">
        <f t="shared" si="43"/>
        <v>8</v>
      </c>
      <c r="BC104" s="224">
        <v>8</v>
      </c>
      <c r="BD104" s="37"/>
      <c r="BE104" s="86">
        <f t="shared" si="44"/>
        <v>0</v>
      </c>
      <c r="BF104" s="38"/>
      <c r="BG104" s="188"/>
      <c r="BH104" s="154"/>
      <c r="BI104" s="153"/>
      <c r="BJ104" s="86">
        <f t="shared" si="45"/>
        <v>8</v>
      </c>
      <c r="BK104" s="226">
        <v>8</v>
      </c>
      <c r="BL104" s="178"/>
      <c r="BM104" s="91"/>
      <c r="BN104" s="91"/>
      <c r="BO104" s="91"/>
      <c r="BP104" s="91"/>
      <c r="BQ104" s="91"/>
      <c r="BR104" s="91"/>
      <c r="BS104" s="91"/>
      <c r="BT104" s="91"/>
      <c r="BU104" s="91"/>
      <c r="BV104" s="39"/>
    </row>
    <row r="105" spans="2:74" x14ac:dyDescent="0.25">
      <c r="B105" s="136">
        <v>91</v>
      </c>
      <c r="C105" s="210" t="s">
        <v>357</v>
      </c>
      <c r="D105" s="198" t="s">
        <v>333</v>
      </c>
      <c r="E105" s="213" t="s">
        <v>334</v>
      </c>
      <c r="F105" s="131"/>
      <c r="G105" s="199" t="s">
        <v>195</v>
      </c>
      <c r="H105" s="200" t="s">
        <v>94</v>
      </c>
      <c r="I105" s="201" t="str">
        <f t="shared" si="24"/>
        <v>R</v>
      </c>
      <c r="J105" s="202">
        <v>3</v>
      </c>
      <c r="K105" s="149"/>
      <c r="L105" s="203">
        <v>0</v>
      </c>
      <c r="M105" s="88"/>
      <c r="N105" s="40">
        <f t="shared" si="25"/>
        <v>4.1979166666666696</v>
      </c>
      <c r="O105" s="58">
        <f t="shared" si="26"/>
        <v>-3.5833333333333304</v>
      </c>
      <c r="P105" s="58">
        <f t="shared" si="27"/>
        <v>814.99999999999977</v>
      </c>
      <c r="Q105" s="231">
        <v>0.88541666666666663</v>
      </c>
      <c r="R105" s="128"/>
      <c r="S105" s="105">
        <f t="shared" si="28"/>
        <v>0</v>
      </c>
      <c r="T105" s="49">
        <f t="shared" si="29"/>
        <v>4.53125</v>
      </c>
      <c r="U105" s="36">
        <f t="shared" si="30"/>
        <v>3</v>
      </c>
      <c r="V105" s="36">
        <f t="shared" si="31"/>
        <v>5</v>
      </c>
      <c r="W105" s="36">
        <f t="shared" si="32"/>
        <v>7</v>
      </c>
      <c r="X105" s="36">
        <f t="shared" si="33"/>
        <v>2</v>
      </c>
      <c r="Y105" s="36">
        <f t="shared" si="34"/>
        <v>5</v>
      </c>
      <c r="Z105" s="36">
        <f t="shared" si="35"/>
        <v>7</v>
      </c>
      <c r="AA105" s="36">
        <f t="shared" si="36"/>
        <v>3</v>
      </c>
      <c r="AB105" s="48">
        <f t="shared" si="37"/>
        <v>4.25</v>
      </c>
      <c r="AC105" s="87"/>
      <c r="AD105" s="87"/>
      <c r="AE105" s="87"/>
      <c r="AF105" s="87"/>
      <c r="AG105" s="87"/>
      <c r="AH105" s="87"/>
      <c r="AI105" s="87"/>
      <c r="AJ105" s="87"/>
      <c r="AK105" s="205">
        <v>9</v>
      </c>
      <c r="AL105" s="206">
        <v>8</v>
      </c>
      <c r="AM105" s="206">
        <v>9</v>
      </c>
      <c r="AN105" s="206">
        <v>7</v>
      </c>
      <c r="AO105" s="206">
        <v>9</v>
      </c>
      <c r="AP105" s="206">
        <v>9</v>
      </c>
      <c r="AQ105" s="206">
        <v>5</v>
      </c>
      <c r="AR105" s="207">
        <v>5</v>
      </c>
      <c r="AS105" s="40">
        <f t="shared" si="38"/>
        <v>3.25</v>
      </c>
      <c r="AT105" s="156">
        <f t="shared" si="39"/>
        <v>0</v>
      </c>
      <c r="AU105" s="209">
        <v>5</v>
      </c>
      <c r="AV105" s="161">
        <f t="shared" si="40"/>
        <v>0</v>
      </c>
      <c r="AW105" s="165"/>
      <c r="AX105" s="36" t="str">
        <f t="shared" si="41"/>
        <v>YA</v>
      </c>
      <c r="AY105" s="170">
        <f t="shared" si="42"/>
        <v>0.76</v>
      </c>
      <c r="AZ105" s="10"/>
      <c r="BA105" s="235">
        <v>0.25</v>
      </c>
      <c r="BB105" s="86">
        <f t="shared" si="43"/>
        <v>8</v>
      </c>
      <c r="BC105" s="225">
        <v>8</v>
      </c>
      <c r="BD105" s="37"/>
      <c r="BE105" s="86">
        <f t="shared" si="44"/>
        <v>0</v>
      </c>
      <c r="BF105" s="38"/>
      <c r="BG105" s="188"/>
      <c r="BH105" s="208"/>
      <c r="BI105" s="209"/>
      <c r="BJ105" s="86">
        <f t="shared" si="45"/>
        <v>5</v>
      </c>
      <c r="BK105" s="227">
        <v>5</v>
      </c>
      <c r="BL105" s="178"/>
      <c r="BM105" s="91"/>
      <c r="BN105" s="91"/>
      <c r="BO105" s="91"/>
      <c r="BP105" s="91"/>
      <c r="BQ105" s="91"/>
      <c r="BR105" s="91"/>
      <c r="BS105" s="91"/>
      <c r="BT105" s="91"/>
      <c r="BU105" s="91"/>
      <c r="BV105" s="39"/>
    </row>
    <row r="106" spans="2:74" ht="30" x14ac:dyDescent="0.25">
      <c r="B106" s="136">
        <v>92</v>
      </c>
      <c r="C106" s="137" t="s">
        <v>88</v>
      </c>
      <c r="D106" s="138" t="s">
        <v>180</v>
      </c>
      <c r="E106" s="196" t="s">
        <v>304</v>
      </c>
      <c r="F106" s="131"/>
      <c r="G106" s="144" t="s">
        <v>318</v>
      </c>
      <c r="H106" s="145" t="s">
        <v>93</v>
      </c>
      <c r="I106" s="146" t="str">
        <f t="shared" si="24"/>
        <v>R</v>
      </c>
      <c r="J106" s="148">
        <v>-1</v>
      </c>
      <c r="K106" s="149"/>
      <c r="L106" s="149">
        <v>3</v>
      </c>
      <c r="M106" s="88"/>
      <c r="N106" s="40">
        <f t="shared" si="25"/>
        <v>2.4895833333333339</v>
      </c>
      <c r="O106" s="58">
        <f t="shared" si="26"/>
        <v>-3.6666666666666661</v>
      </c>
      <c r="P106" s="82">
        <f t="shared" si="27"/>
        <v>820</v>
      </c>
      <c r="Q106" s="230">
        <v>0.88888888888888884</v>
      </c>
      <c r="R106" s="96"/>
      <c r="S106" s="103">
        <f t="shared" si="28"/>
        <v>0.99930555555555556</v>
      </c>
      <c r="T106" s="49">
        <f t="shared" si="29"/>
        <v>2.15625</v>
      </c>
      <c r="U106" s="36">
        <f t="shared" si="30"/>
        <v>-1</v>
      </c>
      <c r="V106" s="36">
        <f t="shared" si="31"/>
        <v>2</v>
      </c>
      <c r="W106" s="36">
        <f t="shared" si="32"/>
        <v>3</v>
      </c>
      <c r="X106" s="36">
        <f t="shared" si="33"/>
        <v>3</v>
      </c>
      <c r="Y106" s="36">
        <f t="shared" si="34"/>
        <v>1</v>
      </c>
      <c r="Z106" s="36">
        <f t="shared" si="35"/>
        <v>3</v>
      </c>
      <c r="AA106" s="36">
        <f t="shared" si="36"/>
        <v>1</v>
      </c>
      <c r="AB106" s="48">
        <f t="shared" si="37"/>
        <v>5.25</v>
      </c>
      <c r="AK106" s="150">
        <v>5</v>
      </c>
      <c r="AL106" s="151">
        <v>5</v>
      </c>
      <c r="AM106" s="151">
        <v>5</v>
      </c>
      <c r="AN106" s="151">
        <v>6</v>
      </c>
      <c r="AO106" s="151">
        <v>5</v>
      </c>
      <c r="AP106" s="151">
        <v>5</v>
      </c>
      <c r="AQ106" s="151">
        <v>3</v>
      </c>
      <c r="AR106" s="152">
        <v>6</v>
      </c>
      <c r="AS106" s="40">
        <f t="shared" si="38"/>
        <v>4</v>
      </c>
      <c r="AT106" s="156">
        <f t="shared" si="39"/>
        <v>0</v>
      </c>
      <c r="AU106" s="153">
        <v>5</v>
      </c>
      <c r="AV106" s="161">
        <f t="shared" si="40"/>
        <v>0</v>
      </c>
      <c r="AW106" s="165"/>
      <c r="AX106" s="36" t="str">
        <f t="shared" si="41"/>
        <v>YA</v>
      </c>
      <c r="AY106" s="170">
        <f t="shared" si="42"/>
        <v>0.26</v>
      </c>
      <c r="AZ106" s="10"/>
      <c r="BA106" s="155">
        <v>0.75</v>
      </c>
      <c r="BB106" s="86">
        <f t="shared" si="43"/>
        <v>10</v>
      </c>
      <c r="BC106" s="224">
        <v>10</v>
      </c>
      <c r="BD106" s="37"/>
      <c r="BE106" s="86">
        <f t="shared" si="44"/>
        <v>0</v>
      </c>
      <c r="BF106" s="38"/>
      <c r="BG106" s="188"/>
      <c r="BH106" s="154"/>
      <c r="BI106" s="153"/>
      <c r="BJ106" s="86">
        <f t="shared" si="45"/>
        <v>6</v>
      </c>
      <c r="BK106" s="226">
        <v>6</v>
      </c>
      <c r="BL106" s="178"/>
      <c r="BM106" s="91"/>
      <c r="BN106" s="91"/>
      <c r="BO106" s="91"/>
      <c r="BP106" s="91"/>
      <c r="BQ106" s="91"/>
      <c r="BR106" s="91"/>
      <c r="BS106" s="91"/>
      <c r="BT106" s="91"/>
      <c r="BU106" s="91"/>
      <c r="BV106" s="39"/>
    </row>
    <row r="107" spans="2:74" x14ac:dyDescent="0.25">
      <c r="B107" s="136">
        <v>93</v>
      </c>
      <c r="C107" s="137" t="s">
        <v>327</v>
      </c>
      <c r="D107" s="138" t="s">
        <v>181</v>
      </c>
      <c r="E107" s="196" t="s">
        <v>305</v>
      </c>
      <c r="F107" s="131"/>
      <c r="G107" s="144" t="s">
        <v>242</v>
      </c>
      <c r="H107" s="145" t="s">
        <v>95</v>
      </c>
      <c r="I107" s="146" t="str">
        <f t="shared" si="24"/>
        <v>R</v>
      </c>
      <c r="J107" s="148">
        <v>2</v>
      </c>
      <c r="K107" s="149"/>
      <c r="L107" s="149">
        <v>0</v>
      </c>
      <c r="M107" s="88"/>
      <c r="N107" s="40">
        <f t="shared" si="25"/>
        <v>-0.5104166666666643</v>
      </c>
      <c r="O107" s="58">
        <f t="shared" si="26"/>
        <v>-5.6666666666666643</v>
      </c>
      <c r="P107" s="84">
        <f t="shared" si="27"/>
        <v>939.99999999999989</v>
      </c>
      <c r="Q107" s="232">
        <v>0.97222222222222221</v>
      </c>
      <c r="R107" s="100"/>
      <c r="S107" s="103">
        <f t="shared" si="28"/>
        <v>0</v>
      </c>
      <c r="T107" s="49">
        <f t="shared" si="29"/>
        <v>2.15625</v>
      </c>
      <c r="U107" s="36">
        <f t="shared" si="30"/>
        <v>-1</v>
      </c>
      <c r="V107" s="36">
        <f t="shared" si="31"/>
        <v>2</v>
      </c>
      <c r="W107" s="36">
        <f t="shared" si="32"/>
        <v>3</v>
      </c>
      <c r="X107" s="36">
        <f t="shared" si="33"/>
        <v>3</v>
      </c>
      <c r="Y107" s="36">
        <f t="shared" si="34"/>
        <v>1</v>
      </c>
      <c r="Z107" s="36">
        <f t="shared" si="35"/>
        <v>3</v>
      </c>
      <c r="AA107" s="36">
        <f t="shared" si="36"/>
        <v>1</v>
      </c>
      <c r="AB107" s="48">
        <f t="shared" si="37"/>
        <v>5.25</v>
      </c>
      <c r="AK107" s="150">
        <v>5</v>
      </c>
      <c r="AL107" s="151">
        <v>5</v>
      </c>
      <c r="AM107" s="151">
        <v>5</v>
      </c>
      <c r="AN107" s="151">
        <v>6</v>
      </c>
      <c r="AO107" s="151">
        <v>5</v>
      </c>
      <c r="AP107" s="151">
        <v>5</v>
      </c>
      <c r="AQ107" s="151">
        <v>3</v>
      </c>
      <c r="AR107" s="152">
        <v>6</v>
      </c>
      <c r="AS107" s="40">
        <f t="shared" si="38"/>
        <v>3</v>
      </c>
      <c r="AT107" s="156">
        <f t="shared" si="39"/>
        <v>0</v>
      </c>
      <c r="AU107" s="153">
        <v>3</v>
      </c>
      <c r="AV107" s="161">
        <f t="shared" si="40"/>
        <v>0</v>
      </c>
      <c r="AW107" s="165"/>
      <c r="AX107" s="36" t="str">
        <f t="shared" si="41"/>
        <v>YA</v>
      </c>
      <c r="AY107" s="170">
        <f t="shared" si="42"/>
        <v>0.76</v>
      </c>
      <c r="AZ107" s="10"/>
      <c r="BA107" s="155">
        <v>0.25</v>
      </c>
      <c r="BB107" s="86">
        <f t="shared" si="43"/>
        <v>6</v>
      </c>
      <c r="BC107" s="224">
        <v>6</v>
      </c>
      <c r="BD107" s="37"/>
      <c r="BE107" s="86">
        <f t="shared" si="44"/>
        <v>0</v>
      </c>
      <c r="BF107" s="38"/>
      <c r="BG107" s="188"/>
      <c r="BH107" s="154"/>
      <c r="BI107" s="153"/>
      <c r="BJ107" s="86">
        <f t="shared" si="45"/>
        <v>6</v>
      </c>
      <c r="BK107" s="226">
        <v>6</v>
      </c>
      <c r="BL107" s="178"/>
      <c r="BM107" s="91"/>
      <c r="BN107" s="91"/>
      <c r="BO107" s="91"/>
      <c r="BP107" s="91"/>
      <c r="BQ107" s="91"/>
      <c r="BR107" s="91"/>
      <c r="BS107" s="91"/>
      <c r="BT107" s="91"/>
      <c r="BU107" s="91"/>
      <c r="BV107" s="39"/>
    </row>
    <row r="108" spans="2:74" ht="30" x14ac:dyDescent="0.25">
      <c r="B108" s="136">
        <v>94</v>
      </c>
      <c r="C108" s="137" t="s">
        <v>88</v>
      </c>
      <c r="D108" s="138" t="s">
        <v>182</v>
      </c>
      <c r="E108" s="196" t="s">
        <v>306</v>
      </c>
      <c r="F108" s="131"/>
      <c r="G108" s="144" t="s">
        <v>195</v>
      </c>
      <c r="H108" s="145" t="s">
        <v>94</v>
      </c>
      <c r="I108" s="146" t="str">
        <f t="shared" si="24"/>
        <v>R</v>
      </c>
      <c r="J108" s="148">
        <v>3</v>
      </c>
      <c r="K108" s="149"/>
      <c r="L108" s="149">
        <v>0</v>
      </c>
      <c r="M108" s="88"/>
      <c r="N108" s="40">
        <f t="shared" si="25"/>
        <v>3.1145833333333339</v>
      </c>
      <c r="O108" s="58">
        <f t="shared" si="26"/>
        <v>-5.9166666666666661</v>
      </c>
      <c r="P108" s="82">
        <f t="shared" si="27"/>
        <v>955</v>
      </c>
      <c r="Q108" s="230">
        <v>0.98263888888888884</v>
      </c>
      <c r="R108" s="96"/>
      <c r="S108" s="103">
        <f t="shared" si="28"/>
        <v>0</v>
      </c>
      <c r="T108" s="49">
        <f t="shared" si="29"/>
        <v>4.53125</v>
      </c>
      <c r="U108" s="36">
        <f t="shared" si="30"/>
        <v>3</v>
      </c>
      <c r="V108" s="36">
        <f t="shared" si="31"/>
        <v>5</v>
      </c>
      <c r="W108" s="36">
        <f t="shared" si="32"/>
        <v>7</v>
      </c>
      <c r="X108" s="36">
        <f t="shared" si="33"/>
        <v>2</v>
      </c>
      <c r="Y108" s="36">
        <f t="shared" si="34"/>
        <v>5</v>
      </c>
      <c r="Z108" s="36">
        <f t="shared" si="35"/>
        <v>7</v>
      </c>
      <c r="AA108" s="36">
        <f t="shared" si="36"/>
        <v>3</v>
      </c>
      <c r="AB108" s="48">
        <f t="shared" si="37"/>
        <v>4.25</v>
      </c>
      <c r="AK108" s="150">
        <v>9</v>
      </c>
      <c r="AL108" s="151">
        <v>8</v>
      </c>
      <c r="AM108" s="151">
        <v>9</v>
      </c>
      <c r="AN108" s="151">
        <v>7</v>
      </c>
      <c r="AO108" s="151">
        <v>9</v>
      </c>
      <c r="AP108" s="151">
        <v>9</v>
      </c>
      <c r="AQ108" s="151">
        <v>5</v>
      </c>
      <c r="AR108" s="152">
        <v>5</v>
      </c>
      <c r="AS108" s="40">
        <f t="shared" si="38"/>
        <v>4.5</v>
      </c>
      <c r="AT108" s="156">
        <f t="shared" si="39"/>
        <v>0</v>
      </c>
      <c r="AU108" s="153">
        <v>5</v>
      </c>
      <c r="AV108" s="161">
        <f t="shared" si="40"/>
        <v>0</v>
      </c>
      <c r="AW108" s="165"/>
      <c r="AX108" s="36" t="str">
        <f t="shared" si="41"/>
        <v>YA</v>
      </c>
      <c r="AY108" s="170">
        <f t="shared" si="42"/>
        <v>0.76</v>
      </c>
      <c r="AZ108" s="10"/>
      <c r="BA108" s="155">
        <v>0.25</v>
      </c>
      <c r="BB108" s="86">
        <f t="shared" si="43"/>
        <v>10</v>
      </c>
      <c r="BC108" s="224">
        <v>10</v>
      </c>
      <c r="BD108" s="37"/>
      <c r="BE108" s="86">
        <f t="shared" si="44"/>
        <v>0</v>
      </c>
      <c r="BF108" s="38"/>
      <c r="BG108" s="188"/>
      <c r="BH108" s="154">
        <v>1</v>
      </c>
      <c r="BI108" s="153"/>
      <c r="BJ108" s="86">
        <f t="shared" si="45"/>
        <v>8</v>
      </c>
      <c r="BK108" s="226">
        <v>8</v>
      </c>
      <c r="BL108" s="178"/>
      <c r="BM108" s="91"/>
      <c r="BN108" s="91"/>
      <c r="BO108" s="91"/>
      <c r="BP108" s="91"/>
      <c r="BQ108" s="91"/>
      <c r="BR108" s="91"/>
      <c r="BS108" s="91"/>
      <c r="BT108" s="91"/>
      <c r="BU108" s="91"/>
      <c r="BV108" s="39"/>
    </row>
    <row r="109" spans="2:74" x14ac:dyDescent="0.25">
      <c r="B109" s="136">
        <v>95</v>
      </c>
      <c r="C109" s="139" t="s">
        <v>307</v>
      </c>
      <c r="D109" s="138" t="s">
        <v>183</v>
      </c>
      <c r="E109" s="196" t="s">
        <v>308</v>
      </c>
      <c r="F109" s="131"/>
      <c r="G109" s="144" t="s">
        <v>195</v>
      </c>
      <c r="H109" s="145" t="s">
        <v>94</v>
      </c>
      <c r="I109" s="146" t="str">
        <f t="shared" si="24"/>
        <v>R</v>
      </c>
      <c r="J109" s="148">
        <v>1</v>
      </c>
      <c r="K109" s="149"/>
      <c r="L109" s="149">
        <v>0</v>
      </c>
      <c r="M109" s="88"/>
      <c r="N109" s="40">
        <f t="shared" si="25"/>
        <v>14.28125</v>
      </c>
      <c r="O109" s="58">
        <f t="shared" si="26"/>
        <v>5</v>
      </c>
      <c r="P109" s="82" t="str">
        <f t="shared" si="27"/>
        <v>-</v>
      </c>
      <c r="Q109" s="230" t="s">
        <v>241</v>
      </c>
      <c r="R109" s="96"/>
      <c r="S109" s="103">
        <f t="shared" si="28"/>
        <v>0</v>
      </c>
      <c r="T109" s="49">
        <f t="shared" si="29"/>
        <v>4.78125</v>
      </c>
      <c r="U109" s="36">
        <f t="shared" si="30"/>
        <v>3</v>
      </c>
      <c r="V109" s="36">
        <f t="shared" si="31"/>
        <v>5</v>
      </c>
      <c r="W109" s="36">
        <f t="shared" si="32"/>
        <v>7</v>
      </c>
      <c r="X109" s="36">
        <f t="shared" si="33"/>
        <v>4</v>
      </c>
      <c r="Y109" s="36">
        <f t="shared" si="34"/>
        <v>5</v>
      </c>
      <c r="Z109" s="36">
        <f t="shared" si="35"/>
        <v>7</v>
      </c>
      <c r="AA109" s="36">
        <f t="shared" si="36"/>
        <v>1</v>
      </c>
      <c r="AB109" s="48">
        <f t="shared" si="37"/>
        <v>6.25</v>
      </c>
      <c r="AK109" s="150">
        <v>9</v>
      </c>
      <c r="AL109" s="151">
        <v>8</v>
      </c>
      <c r="AM109" s="151">
        <v>9</v>
      </c>
      <c r="AN109" s="151">
        <v>5</v>
      </c>
      <c r="AO109" s="151">
        <v>9</v>
      </c>
      <c r="AP109" s="151">
        <v>9</v>
      </c>
      <c r="AQ109" s="151">
        <v>3</v>
      </c>
      <c r="AR109" s="152">
        <v>7</v>
      </c>
      <c r="AS109" s="40">
        <f t="shared" si="38"/>
        <v>4.5</v>
      </c>
      <c r="AT109" s="156">
        <f t="shared" si="39"/>
        <v>0</v>
      </c>
      <c r="AU109" s="153">
        <v>8</v>
      </c>
      <c r="AV109" s="161">
        <f t="shared" si="40"/>
        <v>0</v>
      </c>
      <c r="AW109" s="165"/>
      <c r="AX109" s="36" t="str">
        <f t="shared" si="41"/>
        <v>YA</v>
      </c>
      <c r="AY109" s="170">
        <f t="shared" si="42"/>
        <v>0.76</v>
      </c>
      <c r="AZ109" s="10"/>
      <c r="BA109" s="155">
        <v>0.25</v>
      </c>
      <c r="BB109" s="86">
        <f t="shared" si="43"/>
        <v>10</v>
      </c>
      <c r="BC109" s="224">
        <v>10</v>
      </c>
      <c r="BD109" s="37"/>
      <c r="BE109" s="86">
        <f t="shared" si="44"/>
        <v>0</v>
      </c>
      <c r="BF109" s="38"/>
      <c r="BG109" s="188"/>
      <c r="BH109" s="154">
        <v>1</v>
      </c>
      <c r="BI109" s="153">
        <v>10</v>
      </c>
      <c r="BJ109" s="86">
        <f t="shared" si="45"/>
        <v>8</v>
      </c>
      <c r="BK109" s="226">
        <v>8</v>
      </c>
      <c r="BL109" s="178"/>
      <c r="BM109" s="91"/>
      <c r="BN109" s="91"/>
      <c r="BO109" s="91"/>
      <c r="BP109" s="91"/>
      <c r="BQ109" s="91"/>
      <c r="BR109" s="91"/>
      <c r="BS109" s="91"/>
      <c r="BT109" s="91"/>
      <c r="BU109" s="91"/>
      <c r="BV109" s="39"/>
    </row>
    <row r="110" spans="2:74" x14ac:dyDescent="0.25">
      <c r="B110" s="136">
        <v>96</v>
      </c>
      <c r="C110" s="139" t="s">
        <v>309</v>
      </c>
      <c r="D110" s="138" t="s">
        <v>184</v>
      </c>
      <c r="E110" s="196" t="s">
        <v>310</v>
      </c>
      <c r="F110" s="129"/>
      <c r="G110" s="144" t="s">
        <v>195</v>
      </c>
      <c r="H110" s="145" t="s">
        <v>94</v>
      </c>
      <c r="I110" s="146" t="str">
        <f t="shared" si="24"/>
        <v>R</v>
      </c>
      <c r="J110" s="148">
        <v>1</v>
      </c>
      <c r="K110" s="149"/>
      <c r="L110" s="149">
        <v>0</v>
      </c>
      <c r="M110" s="88"/>
      <c r="N110" s="40">
        <f t="shared" si="25"/>
        <v>12.28125</v>
      </c>
      <c r="O110" s="58">
        <f t="shared" si="26"/>
        <v>5</v>
      </c>
      <c r="P110" s="58" t="str">
        <f t="shared" si="27"/>
        <v>-</v>
      </c>
      <c r="Q110" s="204" t="s">
        <v>241</v>
      </c>
      <c r="R110" s="92"/>
      <c r="S110" s="103">
        <f t="shared" si="28"/>
        <v>0</v>
      </c>
      <c r="T110" s="49">
        <f t="shared" si="29"/>
        <v>4.53125</v>
      </c>
      <c r="U110" s="36">
        <f t="shared" si="30"/>
        <v>3</v>
      </c>
      <c r="V110" s="36">
        <f t="shared" si="31"/>
        <v>5</v>
      </c>
      <c r="W110" s="36">
        <f t="shared" si="32"/>
        <v>7</v>
      </c>
      <c r="X110" s="36">
        <f t="shared" si="33"/>
        <v>2</v>
      </c>
      <c r="Y110" s="36">
        <f t="shared" si="34"/>
        <v>5</v>
      </c>
      <c r="Z110" s="36">
        <f t="shared" si="35"/>
        <v>7</v>
      </c>
      <c r="AA110" s="36">
        <f t="shared" si="36"/>
        <v>3</v>
      </c>
      <c r="AB110" s="48">
        <f t="shared" si="37"/>
        <v>4.25</v>
      </c>
      <c r="AC110" s="24"/>
      <c r="AD110" s="24"/>
      <c r="AE110" s="24"/>
      <c r="AF110" s="24"/>
      <c r="AG110" s="24"/>
      <c r="AH110" s="24"/>
      <c r="AI110" s="24"/>
      <c r="AJ110" s="24"/>
      <c r="AK110" s="150">
        <v>9</v>
      </c>
      <c r="AL110" s="151">
        <v>8</v>
      </c>
      <c r="AM110" s="151">
        <v>9</v>
      </c>
      <c r="AN110" s="151">
        <v>7</v>
      </c>
      <c r="AO110" s="151">
        <v>9</v>
      </c>
      <c r="AP110" s="151">
        <v>9</v>
      </c>
      <c r="AQ110" s="151">
        <v>5</v>
      </c>
      <c r="AR110" s="152">
        <v>5</v>
      </c>
      <c r="AS110" s="40">
        <f t="shared" si="38"/>
        <v>2.75</v>
      </c>
      <c r="AT110" s="156">
        <f t="shared" si="39"/>
        <v>0</v>
      </c>
      <c r="AU110" s="153">
        <v>3</v>
      </c>
      <c r="AV110" s="161">
        <f t="shared" si="40"/>
        <v>0</v>
      </c>
      <c r="AW110" s="165"/>
      <c r="AX110" s="36" t="str">
        <f t="shared" si="41"/>
        <v>YA</v>
      </c>
      <c r="AY110" s="170">
        <f t="shared" si="42"/>
        <v>0.26</v>
      </c>
      <c r="AZ110" s="10"/>
      <c r="BA110" s="155">
        <v>0.75</v>
      </c>
      <c r="BB110" s="86">
        <f t="shared" si="43"/>
        <v>5</v>
      </c>
      <c r="BC110" s="224">
        <v>5</v>
      </c>
      <c r="BD110" s="37"/>
      <c r="BE110" s="86">
        <f t="shared" si="44"/>
        <v>0</v>
      </c>
      <c r="BF110" s="47"/>
      <c r="BG110" s="191"/>
      <c r="BH110" s="154">
        <v>1</v>
      </c>
      <c r="BI110" s="153">
        <v>6</v>
      </c>
      <c r="BJ110" s="86">
        <f t="shared" si="45"/>
        <v>6</v>
      </c>
      <c r="BK110" s="226">
        <v>6</v>
      </c>
      <c r="BL110" s="178"/>
      <c r="BM110" s="91"/>
      <c r="BN110" s="91"/>
      <c r="BO110" s="91"/>
      <c r="BP110" s="91"/>
      <c r="BQ110" s="91"/>
      <c r="BR110" s="91"/>
      <c r="BS110" s="91"/>
      <c r="BT110" s="91"/>
      <c r="BU110" s="91"/>
      <c r="BV110" s="39"/>
    </row>
    <row r="111" spans="2:74" ht="30" x14ac:dyDescent="0.25">
      <c r="B111" s="136">
        <v>97</v>
      </c>
      <c r="C111" s="139" t="s">
        <v>311</v>
      </c>
      <c r="D111" s="138" t="s">
        <v>185</v>
      </c>
      <c r="E111" s="196" t="s">
        <v>312</v>
      </c>
      <c r="F111" s="131"/>
      <c r="G111" s="144" t="s">
        <v>195</v>
      </c>
      <c r="H111" s="145" t="s">
        <v>95</v>
      </c>
      <c r="I111" s="146" t="str">
        <f t="shared" si="24"/>
        <v>R</v>
      </c>
      <c r="J111" s="148">
        <v>2</v>
      </c>
      <c r="K111" s="149"/>
      <c r="L111" s="149">
        <v>0</v>
      </c>
      <c r="M111" s="88"/>
      <c r="N111" s="40">
        <f t="shared" si="25"/>
        <v>9.90625</v>
      </c>
      <c r="O111" s="58">
        <f t="shared" si="26"/>
        <v>5</v>
      </c>
      <c r="P111" s="82" t="str">
        <f t="shared" si="27"/>
        <v>-</v>
      </c>
      <c r="Q111" s="230" t="s">
        <v>241</v>
      </c>
      <c r="R111" s="96"/>
      <c r="S111" s="103">
        <f t="shared" si="28"/>
        <v>0</v>
      </c>
      <c r="T111" s="49">
        <f t="shared" si="29"/>
        <v>2.15625</v>
      </c>
      <c r="U111" s="36">
        <f t="shared" si="30"/>
        <v>0</v>
      </c>
      <c r="V111" s="36">
        <f t="shared" si="31"/>
        <v>5</v>
      </c>
      <c r="W111" s="36">
        <f t="shared" si="32"/>
        <v>6</v>
      </c>
      <c r="X111" s="36">
        <f t="shared" si="33"/>
        <v>5</v>
      </c>
      <c r="Y111" s="36">
        <f t="shared" si="34"/>
        <v>0</v>
      </c>
      <c r="Z111" s="36">
        <f t="shared" si="35"/>
        <v>0</v>
      </c>
      <c r="AA111" s="36">
        <f t="shared" si="36"/>
        <v>-1</v>
      </c>
      <c r="AB111" s="48">
        <f t="shared" si="37"/>
        <v>2.25</v>
      </c>
      <c r="AK111" s="150">
        <v>6</v>
      </c>
      <c r="AL111" s="151">
        <v>8</v>
      </c>
      <c r="AM111" s="151">
        <v>8</v>
      </c>
      <c r="AN111" s="151">
        <v>4</v>
      </c>
      <c r="AO111" s="151">
        <v>4</v>
      </c>
      <c r="AP111" s="151">
        <v>2</v>
      </c>
      <c r="AQ111" s="151">
        <v>1</v>
      </c>
      <c r="AR111" s="152">
        <v>3</v>
      </c>
      <c r="AS111" s="40">
        <f t="shared" si="38"/>
        <v>2.75</v>
      </c>
      <c r="AT111" s="156">
        <f t="shared" si="39"/>
        <v>0</v>
      </c>
      <c r="AU111" s="153">
        <v>3</v>
      </c>
      <c r="AV111" s="161">
        <f t="shared" si="40"/>
        <v>0</v>
      </c>
      <c r="AW111" s="165"/>
      <c r="AX111" s="36" t="str">
        <f t="shared" si="41"/>
        <v>YA</v>
      </c>
      <c r="AY111" s="170">
        <f t="shared" si="42"/>
        <v>0.26</v>
      </c>
      <c r="AZ111" s="10"/>
      <c r="BA111" s="155">
        <v>0.75</v>
      </c>
      <c r="BB111" s="86">
        <f t="shared" si="43"/>
        <v>9</v>
      </c>
      <c r="BC111" s="224">
        <v>9</v>
      </c>
      <c r="BD111" s="37"/>
      <c r="BE111" s="86">
        <f t="shared" si="44"/>
        <v>0</v>
      </c>
      <c r="BF111" s="38"/>
      <c r="BG111" s="188"/>
      <c r="BH111" s="154">
        <v>1</v>
      </c>
      <c r="BI111" s="153">
        <v>8</v>
      </c>
      <c r="BJ111" s="86">
        <f t="shared" si="45"/>
        <v>2</v>
      </c>
      <c r="BK111" s="226">
        <v>2</v>
      </c>
      <c r="BL111" s="178"/>
      <c r="BM111" s="91"/>
      <c r="BN111" s="91"/>
      <c r="BO111" s="91"/>
      <c r="BP111" s="91"/>
      <c r="BQ111" s="91"/>
      <c r="BR111" s="91"/>
      <c r="BS111" s="91"/>
      <c r="BT111" s="91"/>
      <c r="BU111" s="91"/>
      <c r="BV111" s="39"/>
    </row>
    <row r="112" spans="2:74" x14ac:dyDescent="0.25">
      <c r="B112" s="136">
        <v>98</v>
      </c>
      <c r="C112" s="139" t="s">
        <v>313</v>
      </c>
      <c r="D112" s="138" t="s">
        <v>186</v>
      </c>
      <c r="E112" s="196" t="s">
        <v>191</v>
      </c>
      <c r="F112" s="129"/>
      <c r="G112" s="144" t="s">
        <v>195</v>
      </c>
      <c r="H112" s="145" t="s">
        <v>94</v>
      </c>
      <c r="I112" s="146" t="str">
        <f t="shared" si="24"/>
        <v>R</v>
      </c>
      <c r="J112" s="148">
        <v>-1</v>
      </c>
      <c r="K112" s="149"/>
      <c r="L112" s="149">
        <v>0</v>
      </c>
      <c r="M112" s="88"/>
      <c r="N112" s="40">
        <f t="shared" si="25"/>
        <v>11.03125</v>
      </c>
      <c r="O112" s="58">
        <f t="shared" si="26"/>
        <v>5</v>
      </c>
      <c r="P112" s="58" t="str">
        <f t="shared" si="27"/>
        <v>-</v>
      </c>
      <c r="Q112" s="204" t="s">
        <v>241</v>
      </c>
      <c r="R112" s="92"/>
      <c r="S112" s="103">
        <f t="shared" si="28"/>
        <v>0</v>
      </c>
      <c r="T112" s="49">
        <f t="shared" si="29"/>
        <v>2.78125</v>
      </c>
      <c r="U112" s="36">
        <f t="shared" si="30"/>
        <v>-1</v>
      </c>
      <c r="V112" s="36">
        <f t="shared" si="31"/>
        <v>5</v>
      </c>
      <c r="W112" s="36">
        <f t="shared" si="32"/>
        <v>0</v>
      </c>
      <c r="X112" s="36">
        <f t="shared" si="33"/>
        <v>3</v>
      </c>
      <c r="Y112" s="36">
        <f t="shared" si="34"/>
        <v>4</v>
      </c>
      <c r="Z112" s="36">
        <f t="shared" si="35"/>
        <v>0</v>
      </c>
      <c r="AA112" s="36">
        <f t="shared" si="36"/>
        <v>4</v>
      </c>
      <c r="AB112" s="48">
        <f t="shared" si="37"/>
        <v>7.25</v>
      </c>
      <c r="AC112" s="24"/>
      <c r="AD112" s="24"/>
      <c r="AE112" s="24"/>
      <c r="AF112" s="24"/>
      <c r="AG112" s="24"/>
      <c r="AH112" s="24"/>
      <c r="AI112" s="24"/>
      <c r="AJ112" s="24"/>
      <c r="AK112" s="150">
        <v>5</v>
      </c>
      <c r="AL112" s="151">
        <v>8</v>
      </c>
      <c r="AM112" s="151">
        <v>2</v>
      </c>
      <c r="AN112" s="151">
        <v>6</v>
      </c>
      <c r="AO112" s="151">
        <v>8</v>
      </c>
      <c r="AP112" s="151">
        <v>2</v>
      </c>
      <c r="AQ112" s="151">
        <v>6</v>
      </c>
      <c r="AR112" s="152">
        <v>8</v>
      </c>
      <c r="AS112" s="40">
        <f t="shared" si="38"/>
        <v>3.25</v>
      </c>
      <c r="AT112" s="156">
        <f t="shared" si="39"/>
        <v>0</v>
      </c>
      <c r="AU112" s="153">
        <v>6</v>
      </c>
      <c r="AV112" s="161">
        <f t="shared" si="40"/>
        <v>0</v>
      </c>
      <c r="AW112" s="165"/>
      <c r="AX112" s="36" t="str">
        <f t="shared" si="41"/>
        <v>YA</v>
      </c>
      <c r="AY112" s="170">
        <f t="shared" si="42"/>
        <v>0.76</v>
      </c>
      <c r="AZ112" s="10"/>
      <c r="BA112" s="155">
        <v>0.25</v>
      </c>
      <c r="BB112" s="86">
        <f t="shared" si="43"/>
        <v>8</v>
      </c>
      <c r="BC112" s="224">
        <v>8</v>
      </c>
      <c r="BD112" s="37"/>
      <c r="BE112" s="86">
        <f t="shared" si="44"/>
        <v>0</v>
      </c>
      <c r="BF112" s="47"/>
      <c r="BG112" s="191"/>
      <c r="BH112" s="154"/>
      <c r="BI112" s="153"/>
      <c r="BJ112" s="86">
        <f t="shared" si="45"/>
        <v>5</v>
      </c>
      <c r="BK112" s="226">
        <v>5</v>
      </c>
      <c r="BL112" s="178"/>
      <c r="BM112" s="91"/>
      <c r="BN112" s="91"/>
      <c r="BO112" s="91"/>
      <c r="BP112" s="91"/>
      <c r="BQ112" s="91"/>
      <c r="BR112" s="91"/>
      <c r="BS112" s="91"/>
      <c r="BT112" s="91"/>
      <c r="BU112" s="91"/>
      <c r="BV112" s="39"/>
    </row>
    <row r="113" spans="2:74" x14ac:dyDescent="0.25">
      <c r="B113" s="136">
        <v>99</v>
      </c>
      <c r="C113" s="137" t="s">
        <v>92</v>
      </c>
      <c r="D113" s="138" t="s">
        <v>187</v>
      </c>
      <c r="E113" s="196" t="s">
        <v>24</v>
      </c>
      <c r="F113" s="131"/>
      <c r="G113" s="144" t="s">
        <v>195</v>
      </c>
      <c r="H113" s="145" t="s">
        <v>95</v>
      </c>
      <c r="I113" s="146" t="str">
        <f t="shared" si="24"/>
        <v>R</v>
      </c>
      <c r="J113" s="148">
        <v>-1</v>
      </c>
      <c r="K113" s="149"/>
      <c r="L113" s="149">
        <v>3</v>
      </c>
      <c r="M113" s="88"/>
      <c r="N113" s="40">
        <f t="shared" si="25"/>
        <v>10.78125</v>
      </c>
      <c r="O113" s="58">
        <f t="shared" si="26"/>
        <v>5</v>
      </c>
      <c r="P113" s="82" t="str">
        <f t="shared" si="27"/>
        <v>-</v>
      </c>
      <c r="Q113" s="230" t="s">
        <v>241</v>
      </c>
      <c r="R113" s="96"/>
      <c r="S113" s="103">
        <f t="shared" si="28"/>
        <v>0.99930555555555556</v>
      </c>
      <c r="T113" s="49">
        <f t="shared" si="29"/>
        <v>2.28125</v>
      </c>
      <c r="U113" s="36">
        <f t="shared" si="30"/>
        <v>0</v>
      </c>
      <c r="V113" s="36">
        <f t="shared" si="31"/>
        <v>5</v>
      </c>
      <c r="W113" s="36">
        <f t="shared" si="32"/>
        <v>6</v>
      </c>
      <c r="X113" s="36">
        <f t="shared" si="33"/>
        <v>6</v>
      </c>
      <c r="Y113" s="36">
        <f t="shared" si="34"/>
        <v>0</v>
      </c>
      <c r="Z113" s="36">
        <f t="shared" si="35"/>
        <v>0</v>
      </c>
      <c r="AA113" s="36">
        <f t="shared" si="36"/>
        <v>-1</v>
      </c>
      <c r="AB113" s="48">
        <f t="shared" si="37"/>
        <v>2.25</v>
      </c>
      <c r="AK113" s="150">
        <v>6</v>
      </c>
      <c r="AL113" s="151">
        <v>8</v>
      </c>
      <c r="AM113" s="151">
        <v>8</v>
      </c>
      <c r="AN113" s="151">
        <v>3</v>
      </c>
      <c r="AO113" s="151">
        <v>4</v>
      </c>
      <c r="AP113" s="151">
        <v>2</v>
      </c>
      <c r="AQ113" s="151">
        <v>1</v>
      </c>
      <c r="AR113" s="152">
        <v>3</v>
      </c>
      <c r="AS113" s="40">
        <f t="shared" si="38"/>
        <v>3.5</v>
      </c>
      <c r="AT113" s="156">
        <f t="shared" si="39"/>
        <v>0</v>
      </c>
      <c r="AU113" s="153">
        <v>6</v>
      </c>
      <c r="AV113" s="161">
        <f t="shared" si="40"/>
        <v>0</v>
      </c>
      <c r="AW113" s="165"/>
      <c r="AX113" s="36" t="str">
        <f t="shared" si="41"/>
        <v>YA</v>
      </c>
      <c r="AY113" s="170">
        <f t="shared" si="42"/>
        <v>0.26</v>
      </c>
      <c r="AZ113" s="10"/>
      <c r="BA113" s="155">
        <v>0.75</v>
      </c>
      <c r="BB113" s="86">
        <f t="shared" si="43"/>
        <v>8</v>
      </c>
      <c r="BC113" s="224">
        <v>8</v>
      </c>
      <c r="BD113" s="37"/>
      <c r="BE113" s="86">
        <f t="shared" si="44"/>
        <v>0</v>
      </c>
      <c r="BF113" s="38"/>
      <c r="BG113" s="188"/>
      <c r="BH113" s="154"/>
      <c r="BI113" s="153"/>
      <c r="BJ113" s="86">
        <f t="shared" si="45"/>
        <v>6</v>
      </c>
      <c r="BK113" s="226">
        <v>6</v>
      </c>
      <c r="BL113" s="178"/>
      <c r="BM113" s="91"/>
      <c r="BN113" s="91"/>
      <c r="BO113" s="91"/>
      <c r="BP113" s="91"/>
      <c r="BQ113" s="91"/>
      <c r="BR113" s="91"/>
      <c r="BS113" s="91"/>
      <c r="BT113" s="91"/>
      <c r="BU113" s="91"/>
      <c r="BV113" s="39"/>
    </row>
    <row r="114" spans="2:74" x14ac:dyDescent="0.25">
      <c r="B114" s="136">
        <v>100</v>
      </c>
      <c r="C114" s="137" t="s">
        <v>92</v>
      </c>
      <c r="D114" s="138" t="s">
        <v>188</v>
      </c>
      <c r="E114" s="196" t="s">
        <v>29</v>
      </c>
      <c r="F114" s="131"/>
      <c r="G114" s="144" t="s">
        <v>195</v>
      </c>
      <c r="H114" s="145" t="s">
        <v>95</v>
      </c>
      <c r="I114" s="146" t="str">
        <f t="shared" si="24"/>
        <v>R</v>
      </c>
      <c r="J114" s="148">
        <v>-1</v>
      </c>
      <c r="K114" s="149"/>
      <c r="L114" s="149">
        <v>0</v>
      </c>
      <c r="M114" s="88"/>
      <c r="N114" s="40">
        <f t="shared" si="25"/>
        <v>10.78125</v>
      </c>
      <c r="O114" s="58">
        <f t="shared" si="26"/>
        <v>5</v>
      </c>
      <c r="P114" s="58" t="str">
        <f t="shared" si="27"/>
        <v>-</v>
      </c>
      <c r="Q114" s="231" t="s">
        <v>241</v>
      </c>
      <c r="R114" s="94"/>
      <c r="S114" s="103">
        <f t="shared" si="28"/>
        <v>0</v>
      </c>
      <c r="T114" s="49">
        <f t="shared" si="29"/>
        <v>2.28125</v>
      </c>
      <c r="U114" s="36">
        <f t="shared" si="30"/>
        <v>0</v>
      </c>
      <c r="V114" s="36">
        <f t="shared" si="31"/>
        <v>5</v>
      </c>
      <c r="W114" s="36">
        <f t="shared" si="32"/>
        <v>6</v>
      </c>
      <c r="X114" s="36">
        <f t="shared" si="33"/>
        <v>6</v>
      </c>
      <c r="Y114" s="36">
        <f t="shared" si="34"/>
        <v>0</v>
      </c>
      <c r="Z114" s="36">
        <f t="shared" si="35"/>
        <v>0</v>
      </c>
      <c r="AA114" s="36">
        <f t="shared" si="36"/>
        <v>-1</v>
      </c>
      <c r="AB114" s="48">
        <f t="shared" si="37"/>
        <v>2.25</v>
      </c>
      <c r="AK114" s="150">
        <v>6</v>
      </c>
      <c r="AL114" s="151">
        <v>8</v>
      </c>
      <c r="AM114" s="151">
        <v>8</v>
      </c>
      <c r="AN114" s="151">
        <v>3</v>
      </c>
      <c r="AO114" s="151">
        <v>4</v>
      </c>
      <c r="AP114" s="151">
        <v>2</v>
      </c>
      <c r="AQ114" s="151">
        <v>1</v>
      </c>
      <c r="AR114" s="152">
        <v>3</v>
      </c>
      <c r="AS114" s="40">
        <f t="shared" si="38"/>
        <v>3.5</v>
      </c>
      <c r="AT114" s="156">
        <f t="shared" si="39"/>
        <v>0</v>
      </c>
      <c r="AU114" s="153">
        <v>8</v>
      </c>
      <c r="AV114" s="161">
        <f t="shared" si="40"/>
        <v>0</v>
      </c>
      <c r="AW114" s="165"/>
      <c r="AX114" s="36" t="str">
        <f t="shared" si="41"/>
        <v>YA</v>
      </c>
      <c r="AY114" s="170">
        <f t="shared" si="42"/>
        <v>0.76</v>
      </c>
      <c r="AZ114" s="10"/>
      <c r="BA114" s="155">
        <v>0.25</v>
      </c>
      <c r="BB114" s="86">
        <f t="shared" si="43"/>
        <v>6</v>
      </c>
      <c r="BC114" s="224">
        <v>6</v>
      </c>
      <c r="BD114" s="37"/>
      <c r="BE114" s="86">
        <f t="shared" si="44"/>
        <v>0</v>
      </c>
      <c r="BF114" s="38"/>
      <c r="BG114" s="188"/>
      <c r="BH114" s="154"/>
      <c r="BI114" s="153"/>
      <c r="BJ114" s="86">
        <f t="shared" si="45"/>
        <v>8</v>
      </c>
      <c r="BK114" s="226">
        <v>8</v>
      </c>
      <c r="BL114" s="178"/>
      <c r="BM114" s="91"/>
      <c r="BN114" s="91"/>
      <c r="BO114" s="91"/>
      <c r="BP114" s="91"/>
      <c r="BQ114" s="91"/>
      <c r="BR114" s="91"/>
      <c r="BS114" s="91"/>
      <c r="BT114" s="91"/>
      <c r="BU114" s="91"/>
      <c r="BV114" s="39"/>
    </row>
    <row r="115" spans="2:74" x14ac:dyDescent="0.25">
      <c r="B115" s="136">
        <v>101</v>
      </c>
      <c r="C115" s="137" t="s">
        <v>92</v>
      </c>
      <c r="D115" s="138" t="s">
        <v>189</v>
      </c>
      <c r="E115" s="196" t="s">
        <v>314</v>
      </c>
      <c r="F115" s="131"/>
      <c r="G115" s="144" t="s">
        <v>195</v>
      </c>
      <c r="H115" s="145" t="s">
        <v>95</v>
      </c>
      <c r="I115" s="146" t="str">
        <f t="shared" si="24"/>
        <v>R</v>
      </c>
      <c r="J115" s="148">
        <v>3</v>
      </c>
      <c r="K115" s="149"/>
      <c r="L115" s="149">
        <v>0</v>
      </c>
      <c r="M115" s="88"/>
      <c r="N115" s="40">
        <f t="shared" si="25"/>
        <v>12.28125</v>
      </c>
      <c r="O115" s="58">
        <f t="shared" si="26"/>
        <v>5</v>
      </c>
      <c r="P115" s="58" t="str">
        <f t="shared" si="27"/>
        <v>-</v>
      </c>
      <c r="Q115" s="231" t="s">
        <v>241</v>
      </c>
      <c r="R115" s="94"/>
      <c r="S115" s="103">
        <f t="shared" si="28"/>
        <v>0</v>
      </c>
      <c r="T115" s="49">
        <f t="shared" si="29"/>
        <v>4.53125</v>
      </c>
      <c r="U115" s="36">
        <f t="shared" si="30"/>
        <v>3</v>
      </c>
      <c r="V115" s="36">
        <f t="shared" si="31"/>
        <v>5</v>
      </c>
      <c r="W115" s="36">
        <f t="shared" si="32"/>
        <v>7</v>
      </c>
      <c r="X115" s="36">
        <f t="shared" si="33"/>
        <v>2</v>
      </c>
      <c r="Y115" s="36">
        <f t="shared" si="34"/>
        <v>5</v>
      </c>
      <c r="Z115" s="36">
        <f t="shared" si="35"/>
        <v>7</v>
      </c>
      <c r="AA115" s="36">
        <f t="shared" si="36"/>
        <v>3</v>
      </c>
      <c r="AB115" s="48">
        <f t="shared" si="37"/>
        <v>4.25</v>
      </c>
      <c r="AK115" s="150">
        <v>9</v>
      </c>
      <c r="AL115" s="151">
        <v>8</v>
      </c>
      <c r="AM115" s="151">
        <v>9</v>
      </c>
      <c r="AN115" s="151">
        <v>7</v>
      </c>
      <c r="AO115" s="151">
        <v>9</v>
      </c>
      <c r="AP115" s="151">
        <v>9</v>
      </c>
      <c r="AQ115" s="151">
        <v>5</v>
      </c>
      <c r="AR115" s="152">
        <v>5</v>
      </c>
      <c r="AS115" s="40">
        <f t="shared" si="38"/>
        <v>2.75</v>
      </c>
      <c r="AT115" s="156">
        <f t="shared" si="39"/>
        <v>0</v>
      </c>
      <c r="AU115" s="153">
        <v>6</v>
      </c>
      <c r="AV115" s="161">
        <f t="shared" si="40"/>
        <v>0</v>
      </c>
      <c r="AW115" s="165"/>
      <c r="AX115" s="36" t="str">
        <f t="shared" si="41"/>
        <v>YA</v>
      </c>
      <c r="AY115" s="170">
        <f t="shared" si="42"/>
        <v>0.76</v>
      </c>
      <c r="AZ115" s="10"/>
      <c r="BA115" s="155">
        <v>0.25</v>
      </c>
      <c r="BB115" s="86">
        <f t="shared" si="43"/>
        <v>6</v>
      </c>
      <c r="BC115" s="224">
        <v>6</v>
      </c>
      <c r="BD115" s="37"/>
      <c r="BE115" s="86">
        <f t="shared" si="44"/>
        <v>0</v>
      </c>
      <c r="BF115" s="38"/>
      <c r="BG115" s="188"/>
      <c r="BH115" s="154"/>
      <c r="BI115" s="153"/>
      <c r="BJ115" s="86">
        <f t="shared" si="45"/>
        <v>5</v>
      </c>
      <c r="BK115" s="226">
        <v>5</v>
      </c>
      <c r="BL115" s="178"/>
      <c r="BM115" s="91"/>
      <c r="BN115" s="91"/>
      <c r="BO115" s="91"/>
      <c r="BP115" s="91"/>
      <c r="BQ115" s="91"/>
      <c r="BR115" s="91"/>
      <c r="BS115" s="91"/>
      <c r="BT115" s="91"/>
      <c r="BU115" s="91"/>
      <c r="BV115" s="39"/>
    </row>
    <row r="116" spans="2:74" x14ac:dyDescent="0.25">
      <c r="B116" s="136">
        <v>102</v>
      </c>
      <c r="C116" s="137" t="s">
        <v>92</v>
      </c>
      <c r="D116" s="138" t="s">
        <v>190</v>
      </c>
      <c r="E116" s="196" t="s">
        <v>315</v>
      </c>
      <c r="F116" s="131"/>
      <c r="G116" s="144" t="s">
        <v>322</v>
      </c>
      <c r="H116" s="145" t="s">
        <v>94</v>
      </c>
      <c r="I116" s="146" t="str">
        <f t="shared" si="24"/>
        <v>R</v>
      </c>
      <c r="J116" s="148">
        <v>3</v>
      </c>
      <c r="K116" s="149"/>
      <c r="L116" s="149">
        <v>0</v>
      </c>
      <c r="M116" s="88"/>
      <c r="N116" s="40">
        <f t="shared" si="25"/>
        <v>9.15625</v>
      </c>
      <c r="O116" s="58">
        <f t="shared" si="26"/>
        <v>5</v>
      </c>
      <c r="P116" s="58" t="str">
        <f t="shared" si="27"/>
        <v>-</v>
      </c>
      <c r="Q116" s="231" t="s">
        <v>241</v>
      </c>
      <c r="R116" s="128"/>
      <c r="S116" s="103">
        <f t="shared" si="28"/>
        <v>0</v>
      </c>
      <c r="T116" s="49">
        <f t="shared" si="29"/>
        <v>2.15625</v>
      </c>
      <c r="U116" s="36">
        <f t="shared" si="30"/>
        <v>-1</v>
      </c>
      <c r="V116" s="36">
        <f t="shared" si="31"/>
        <v>2</v>
      </c>
      <c r="W116" s="36">
        <f t="shared" si="32"/>
        <v>3</v>
      </c>
      <c r="X116" s="36">
        <f t="shared" si="33"/>
        <v>3</v>
      </c>
      <c r="Y116" s="36">
        <f t="shared" si="34"/>
        <v>1</v>
      </c>
      <c r="Z116" s="36">
        <f t="shared" si="35"/>
        <v>3</v>
      </c>
      <c r="AA116" s="36">
        <f t="shared" si="36"/>
        <v>1</v>
      </c>
      <c r="AB116" s="48">
        <f t="shared" si="37"/>
        <v>5.25</v>
      </c>
      <c r="AC116" s="87"/>
      <c r="AD116" s="87"/>
      <c r="AE116" s="87"/>
      <c r="AF116" s="87"/>
      <c r="AG116" s="87"/>
      <c r="AH116" s="87"/>
      <c r="AI116" s="87"/>
      <c r="AJ116" s="87"/>
      <c r="AK116" s="150">
        <v>5</v>
      </c>
      <c r="AL116" s="151">
        <v>5</v>
      </c>
      <c r="AM116" s="151">
        <v>5</v>
      </c>
      <c r="AN116" s="151">
        <v>6</v>
      </c>
      <c r="AO116" s="151">
        <v>5</v>
      </c>
      <c r="AP116" s="151">
        <v>5</v>
      </c>
      <c r="AQ116" s="151">
        <v>3</v>
      </c>
      <c r="AR116" s="152">
        <v>6</v>
      </c>
      <c r="AS116" s="40">
        <f t="shared" si="38"/>
        <v>2</v>
      </c>
      <c r="AT116" s="156">
        <f t="shared" si="39"/>
        <v>0</v>
      </c>
      <c r="AU116" s="153">
        <v>5</v>
      </c>
      <c r="AV116" s="161">
        <f t="shared" si="40"/>
        <v>0</v>
      </c>
      <c r="AW116" s="165"/>
      <c r="AX116" s="36" t="str">
        <f t="shared" si="41"/>
        <v>YA</v>
      </c>
      <c r="AY116" s="170">
        <f t="shared" si="42"/>
        <v>0.26</v>
      </c>
      <c r="AZ116" s="10"/>
      <c r="BA116" s="155">
        <v>0.75</v>
      </c>
      <c r="BB116" s="86">
        <f t="shared" si="43"/>
        <v>5</v>
      </c>
      <c r="BC116" s="224">
        <v>5</v>
      </c>
      <c r="BD116" s="37"/>
      <c r="BE116" s="86">
        <f t="shared" si="44"/>
        <v>0</v>
      </c>
      <c r="BF116" s="38"/>
      <c r="BG116" s="188"/>
      <c r="BH116" s="154"/>
      <c r="BI116" s="153"/>
      <c r="BJ116" s="86">
        <f t="shared" si="45"/>
        <v>3</v>
      </c>
      <c r="BK116" s="226">
        <v>3</v>
      </c>
      <c r="BL116" s="178"/>
      <c r="BM116" s="91"/>
      <c r="BN116" s="91"/>
      <c r="BO116" s="91"/>
      <c r="BP116" s="91"/>
      <c r="BQ116" s="91"/>
      <c r="BR116" s="91"/>
      <c r="BS116" s="91"/>
      <c r="BT116" s="91"/>
      <c r="BU116" s="91"/>
      <c r="BV116" s="39"/>
    </row>
    <row r="117" spans="2:74" ht="15.75" thickBot="1" x14ac:dyDescent="0.3">
      <c r="B117" s="143">
        <v>103</v>
      </c>
      <c r="C117" s="214" t="s">
        <v>88</v>
      </c>
      <c r="D117" s="215" t="s">
        <v>358</v>
      </c>
      <c r="E117" s="216" t="s">
        <v>359</v>
      </c>
      <c r="F117" s="217"/>
      <c r="G117" s="243" t="s">
        <v>195</v>
      </c>
      <c r="H117" s="244" t="s">
        <v>94</v>
      </c>
      <c r="I117" s="245" t="str">
        <f t="shared" si="24"/>
        <v>R</v>
      </c>
      <c r="J117" s="245">
        <v>3</v>
      </c>
      <c r="K117" s="218"/>
      <c r="L117" s="246">
        <v>0</v>
      </c>
      <c r="M117" s="88"/>
      <c r="N117" s="176">
        <f t="shared" si="25"/>
        <v>12.78125</v>
      </c>
      <c r="O117" s="219">
        <f t="shared" si="26"/>
        <v>5</v>
      </c>
      <c r="P117" s="219" t="str">
        <f t="shared" si="27"/>
        <v>-</v>
      </c>
      <c r="Q117" s="233" t="s">
        <v>241</v>
      </c>
      <c r="R117" s="220"/>
      <c r="S117" s="221">
        <f t="shared" si="28"/>
        <v>0</v>
      </c>
      <c r="T117" s="222">
        <f t="shared" si="29"/>
        <v>4.53125</v>
      </c>
      <c r="U117" s="167">
        <f t="shared" si="30"/>
        <v>3</v>
      </c>
      <c r="V117" s="167">
        <f t="shared" si="31"/>
        <v>5</v>
      </c>
      <c r="W117" s="167">
        <f t="shared" si="32"/>
        <v>7</v>
      </c>
      <c r="X117" s="167">
        <f t="shared" si="33"/>
        <v>2</v>
      </c>
      <c r="Y117" s="167">
        <f t="shared" si="34"/>
        <v>5</v>
      </c>
      <c r="Z117" s="167">
        <f t="shared" si="35"/>
        <v>7</v>
      </c>
      <c r="AA117" s="167">
        <f t="shared" si="36"/>
        <v>3</v>
      </c>
      <c r="AB117" s="223">
        <f t="shared" si="37"/>
        <v>4.25</v>
      </c>
      <c r="AC117" s="87"/>
      <c r="AD117" s="87"/>
      <c r="AE117" s="87"/>
      <c r="AF117" s="87"/>
      <c r="AG117" s="87"/>
      <c r="AH117" s="87"/>
      <c r="AI117" s="87"/>
      <c r="AJ117" s="87"/>
      <c r="AK117" s="236">
        <v>9</v>
      </c>
      <c r="AL117" s="237">
        <v>8</v>
      </c>
      <c r="AM117" s="237">
        <v>9</v>
      </c>
      <c r="AN117" s="237">
        <v>7</v>
      </c>
      <c r="AO117" s="237">
        <v>9</v>
      </c>
      <c r="AP117" s="237">
        <v>9</v>
      </c>
      <c r="AQ117" s="237">
        <v>5</v>
      </c>
      <c r="AR117" s="238">
        <v>5</v>
      </c>
      <c r="AS117" s="176">
        <f t="shared" si="38"/>
        <v>3.25</v>
      </c>
      <c r="AT117" s="177">
        <f t="shared" si="39"/>
        <v>0</v>
      </c>
      <c r="AU117" s="239">
        <v>5</v>
      </c>
      <c r="AV117" s="164">
        <f t="shared" si="40"/>
        <v>0</v>
      </c>
      <c r="AW117" s="166"/>
      <c r="AX117" s="167" t="str">
        <f t="shared" si="41"/>
        <v>YA</v>
      </c>
      <c r="AY117" s="171">
        <f t="shared" si="42"/>
        <v>0.76</v>
      </c>
      <c r="AZ117" s="10"/>
      <c r="BA117" s="240">
        <v>0.25</v>
      </c>
      <c r="BB117" s="186">
        <f t="shared" si="43"/>
        <v>8</v>
      </c>
      <c r="BC117" s="241">
        <v>8</v>
      </c>
      <c r="BD117" s="185"/>
      <c r="BE117" s="186">
        <f t="shared" si="44"/>
        <v>0</v>
      </c>
      <c r="BF117" s="187"/>
      <c r="BG117" s="193"/>
      <c r="BH117" s="242"/>
      <c r="BI117" s="239"/>
      <c r="BJ117" s="186">
        <f t="shared" si="45"/>
        <v>5</v>
      </c>
      <c r="BK117" s="239">
        <v>5</v>
      </c>
      <c r="BL117" s="180"/>
      <c r="BM117" s="181"/>
      <c r="BN117" s="181"/>
      <c r="BO117" s="181"/>
      <c r="BP117" s="181"/>
      <c r="BQ117" s="181"/>
      <c r="BR117" s="181"/>
      <c r="BS117" s="181"/>
      <c r="BT117" s="181"/>
      <c r="BU117" s="181"/>
      <c r="BV117" s="182"/>
    </row>
    <row r="118" spans="2:74" x14ac:dyDescent="0.25">
      <c r="N118" s="73"/>
      <c r="O118" s="73"/>
      <c r="P118" s="73"/>
      <c r="Q118" s="74"/>
      <c r="AZ118" s="10"/>
    </row>
    <row r="119" spans="2:74" x14ac:dyDescent="0.25">
      <c r="N119" s="75"/>
      <c r="O119" s="76"/>
      <c r="P119" s="77"/>
      <c r="Q119" s="74"/>
      <c r="AZ119" s="10"/>
    </row>
    <row r="120" spans="2:74" x14ac:dyDescent="0.25">
      <c r="N120" s="75"/>
      <c r="O120" s="76"/>
      <c r="P120" s="77"/>
      <c r="Q120" s="74"/>
    </row>
    <row r="121" spans="2:74" x14ac:dyDescent="0.25">
      <c r="N121" s="75"/>
      <c r="O121" s="76"/>
      <c r="P121" s="77"/>
      <c r="Q121" s="74"/>
    </row>
    <row r="122" spans="2:74" x14ac:dyDescent="0.25">
      <c r="N122" s="75"/>
      <c r="O122" s="76"/>
      <c r="P122" s="77"/>
      <c r="Q122" s="74"/>
    </row>
    <row r="123" spans="2:74" x14ac:dyDescent="0.25">
      <c r="N123" s="75"/>
      <c r="O123" s="76"/>
      <c r="P123" s="77"/>
      <c r="Q123" s="74"/>
    </row>
    <row r="124" spans="2:74" x14ac:dyDescent="0.25">
      <c r="N124" s="75"/>
      <c r="O124" s="76"/>
      <c r="P124" s="77"/>
      <c r="Q124" s="74"/>
    </row>
    <row r="125" spans="2:74" x14ac:dyDescent="0.25">
      <c r="N125" s="75"/>
      <c r="O125" s="76"/>
      <c r="P125" s="77"/>
      <c r="Q125" s="74"/>
    </row>
    <row r="126" spans="2:74" x14ac:dyDescent="0.25">
      <c r="N126" s="73"/>
      <c r="O126" s="73"/>
      <c r="P126" s="73"/>
      <c r="Q126" s="74"/>
    </row>
    <row r="127" spans="2:74" x14ac:dyDescent="0.25">
      <c r="N127" s="75"/>
      <c r="O127" s="76"/>
      <c r="P127" s="77"/>
      <c r="Q127" s="74"/>
    </row>
    <row r="128" spans="2:74" x14ac:dyDescent="0.25">
      <c r="N128" s="75"/>
      <c r="O128" s="76"/>
      <c r="P128" s="77"/>
      <c r="Q128" s="74"/>
    </row>
    <row r="129" spans="14:17" x14ac:dyDescent="0.25">
      <c r="N129" s="75"/>
      <c r="O129" s="76"/>
      <c r="P129" s="77"/>
      <c r="Q129" s="74"/>
    </row>
    <row r="130" spans="14:17" x14ac:dyDescent="0.25">
      <c r="N130" s="75"/>
      <c r="O130" s="76"/>
      <c r="P130" s="77"/>
      <c r="Q130" s="74"/>
    </row>
    <row r="131" spans="14:17" x14ac:dyDescent="0.25">
      <c r="N131" s="75"/>
      <c r="O131" s="76"/>
      <c r="P131" s="77"/>
      <c r="Q131" s="74"/>
    </row>
    <row r="132" spans="14:17" x14ac:dyDescent="0.25">
      <c r="N132" s="75"/>
      <c r="O132" s="76"/>
      <c r="P132" s="77"/>
      <c r="Q132" s="74"/>
    </row>
    <row r="133" spans="14:17" x14ac:dyDescent="0.25">
      <c r="N133" s="75"/>
      <c r="O133" s="76"/>
      <c r="P133" s="77"/>
      <c r="Q133" s="74"/>
    </row>
    <row r="134" spans="14:17" x14ac:dyDescent="0.25">
      <c r="N134" s="75"/>
      <c r="O134" s="76"/>
      <c r="P134" s="77"/>
      <c r="Q134" s="74"/>
    </row>
    <row r="135" spans="14:17" x14ac:dyDescent="0.25">
      <c r="N135" s="75"/>
      <c r="O135" s="76"/>
      <c r="P135" s="77"/>
      <c r="Q135" s="74"/>
    </row>
    <row r="136" spans="14:17" x14ac:dyDescent="0.25">
      <c r="N136" s="75"/>
      <c r="O136" s="76"/>
      <c r="P136" s="77"/>
      <c r="Q136" s="74"/>
    </row>
    <row r="137" spans="14:17" x14ac:dyDescent="0.25">
      <c r="N137" s="75"/>
      <c r="O137" s="76"/>
      <c r="P137" s="77"/>
      <c r="Q137" s="74"/>
    </row>
    <row r="138" spans="14:17" x14ac:dyDescent="0.25">
      <c r="N138" s="75"/>
      <c r="O138" s="76"/>
      <c r="P138" s="77"/>
      <c r="Q138" s="74"/>
    </row>
    <row r="139" spans="14:17" x14ac:dyDescent="0.25">
      <c r="N139" s="75"/>
      <c r="O139" s="76"/>
      <c r="P139" s="77"/>
      <c r="Q139" s="74"/>
    </row>
    <row r="140" spans="14:17" x14ac:dyDescent="0.25">
      <c r="N140" s="75"/>
      <c r="O140" s="76"/>
      <c r="P140" s="77"/>
      <c r="Q140" s="74"/>
    </row>
    <row r="141" spans="14:17" x14ac:dyDescent="0.25">
      <c r="N141" s="75"/>
      <c r="O141" s="76"/>
      <c r="P141" s="77"/>
      <c r="Q141" s="74"/>
    </row>
    <row r="142" spans="14:17" x14ac:dyDescent="0.25">
      <c r="N142" s="75"/>
      <c r="O142" s="76"/>
      <c r="P142" s="77"/>
      <c r="Q142" s="74"/>
    </row>
    <row r="143" spans="14:17" x14ac:dyDescent="0.25">
      <c r="N143" s="75"/>
      <c r="O143" s="76"/>
      <c r="P143" s="77"/>
      <c r="Q143" s="74"/>
    </row>
    <row r="144" spans="14:17" x14ac:dyDescent="0.25">
      <c r="N144" s="75"/>
      <c r="O144" s="76"/>
      <c r="P144" s="77"/>
      <c r="Q144" s="74"/>
    </row>
    <row r="145" spans="6:48" x14ac:dyDescent="0.25">
      <c r="N145" s="75"/>
      <c r="O145" s="76"/>
      <c r="P145" s="77"/>
      <c r="Q145" s="74"/>
    </row>
    <row r="146" spans="6:48" x14ac:dyDescent="0.25">
      <c r="N146" s="75"/>
      <c r="O146" s="76"/>
      <c r="P146" s="77"/>
      <c r="Q146" s="74"/>
    </row>
    <row r="147" spans="6:48" x14ac:dyDescent="0.25">
      <c r="N147" s="75"/>
      <c r="O147" s="76"/>
      <c r="P147" s="77"/>
      <c r="Q147" s="74"/>
    </row>
    <row r="148" spans="6:48" x14ac:dyDescent="0.25">
      <c r="N148" s="75"/>
      <c r="O148" s="76"/>
      <c r="P148" s="77"/>
      <c r="Q148" s="74"/>
    </row>
    <row r="149" spans="6:48" x14ac:dyDescent="0.25">
      <c r="N149" s="75"/>
      <c r="O149" s="76"/>
      <c r="P149" s="77"/>
      <c r="Q149" s="74"/>
    </row>
    <row r="150" spans="6:48" x14ac:dyDescent="0.25">
      <c r="N150" s="75"/>
      <c r="O150" s="76"/>
      <c r="P150" s="77"/>
      <c r="Q150" s="74"/>
    </row>
    <row r="151" spans="6:48" x14ac:dyDescent="0.25">
      <c r="N151" s="75"/>
      <c r="O151" s="76"/>
      <c r="P151" s="77"/>
      <c r="Q151" s="74"/>
    </row>
    <row r="152" spans="6:48" x14ac:dyDescent="0.25">
      <c r="N152" s="75"/>
      <c r="O152" s="76"/>
      <c r="P152" s="77"/>
      <c r="Q152" s="74"/>
    </row>
    <row r="153" spans="6:48" x14ac:dyDescent="0.25">
      <c r="N153" s="75"/>
      <c r="O153" s="76"/>
      <c r="P153" s="77"/>
      <c r="Q153" s="74"/>
    </row>
    <row r="154" spans="6:48" x14ac:dyDescent="0.25">
      <c r="N154" s="75"/>
      <c r="O154" s="76"/>
      <c r="P154" s="77"/>
      <c r="Q154" s="74"/>
    </row>
    <row r="155" spans="6:48" x14ac:dyDescent="0.25">
      <c r="N155" s="77"/>
      <c r="O155" s="77"/>
      <c r="P155" s="77"/>
      <c r="Q155" s="74"/>
    </row>
    <row r="156" spans="6:48" x14ac:dyDescent="0.25">
      <c r="F156" s="1"/>
      <c r="G156" s="1"/>
      <c r="H156" s="1"/>
      <c r="I156" s="1"/>
      <c r="J156" s="1"/>
      <c r="K156" s="1"/>
      <c r="L156" s="1"/>
      <c r="N156" s="75"/>
      <c r="O156" s="76"/>
      <c r="P156" s="77"/>
      <c r="Q156" s="24"/>
      <c r="AQ156" s="10"/>
      <c r="AS156" s="10"/>
      <c r="AT156" s="10"/>
      <c r="AU156" s="23"/>
      <c r="AV156" s="1"/>
    </row>
    <row r="157" spans="6:48" x14ac:dyDescent="0.25">
      <c r="N157" s="75"/>
      <c r="O157" s="76"/>
      <c r="P157" s="77"/>
      <c r="Q157" s="74"/>
    </row>
    <row r="158" spans="6:48" x14ac:dyDescent="0.25">
      <c r="N158" s="75"/>
      <c r="O158" s="76"/>
      <c r="P158" s="77"/>
      <c r="Q158" s="74"/>
    </row>
    <row r="159" spans="6:48" x14ac:dyDescent="0.25">
      <c r="N159" s="75"/>
      <c r="O159" s="76"/>
      <c r="P159" s="77"/>
      <c r="Q159" s="74"/>
    </row>
    <row r="160" spans="6:48" x14ac:dyDescent="0.25">
      <c r="N160" s="75"/>
      <c r="O160" s="76"/>
      <c r="P160" s="77"/>
      <c r="Q160" s="74"/>
    </row>
    <row r="161" spans="14:17" x14ac:dyDescent="0.25">
      <c r="N161" s="75"/>
      <c r="O161" s="76"/>
      <c r="P161" s="77"/>
      <c r="Q161" s="74"/>
    </row>
    <row r="162" spans="14:17" x14ac:dyDescent="0.25">
      <c r="N162" s="75"/>
      <c r="O162" s="76"/>
      <c r="P162" s="77"/>
      <c r="Q162" s="74"/>
    </row>
    <row r="163" spans="14:17" x14ac:dyDescent="0.25">
      <c r="N163" s="75"/>
      <c r="O163" s="76"/>
      <c r="P163" s="77"/>
      <c r="Q163" s="74"/>
    </row>
    <row r="164" spans="14:17" x14ac:dyDescent="0.25">
      <c r="N164" s="75"/>
      <c r="O164" s="76"/>
      <c r="P164" s="77"/>
      <c r="Q164" s="74"/>
    </row>
    <row r="165" spans="14:17" x14ac:dyDescent="0.25">
      <c r="N165" s="75"/>
      <c r="O165" s="76"/>
      <c r="P165" s="77"/>
      <c r="Q165" s="74"/>
    </row>
    <row r="166" spans="14:17" x14ac:dyDescent="0.25">
      <c r="N166" s="75"/>
      <c r="O166" s="76"/>
      <c r="P166" s="77"/>
      <c r="Q166" s="74"/>
    </row>
    <row r="167" spans="14:17" x14ac:dyDescent="0.25">
      <c r="N167" s="75"/>
      <c r="O167" s="76"/>
      <c r="P167" s="77"/>
      <c r="Q167" s="74"/>
    </row>
    <row r="168" spans="14:17" x14ac:dyDescent="0.25">
      <c r="N168" s="75"/>
      <c r="O168" s="76"/>
      <c r="P168" s="77"/>
      <c r="Q168" s="74"/>
    </row>
    <row r="169" spans="14:17" x14ac:dyDescent="0.25">
      <c r="N169" s="75"/>
      <c r="O169" s="76"/>
      <c r="P169" s="77"/>
      <c r="Q169" s="74"/>
    </row>
    <row r="170" spans="14:17" x14ac:dyDescent="0.25">
      <c r="N170" s="75"/>
      <c r="O170" s="76"/>
      <c r="P170" s="77"/>
      <c r="Q170" s="74"/>
    </row>
    <row r="171" spans="14:17" x14ac:dyDescent="0.25">
      <c r="N171" s="75"/>
      <c r="O171" s="76"/>
      <c r="P171" s="77"/>
      <c r="Q171" s="74"/>
    </row>
    <row r="172" spans="14:17" x14ac:dyDescent="0.25">
      <c r="N172" s="78"/>
      <c r="O172" s="76"/>
      <c r="P172" s="24"/>
      <c r="Q172" s="74"/>
    </row>
    <row r="173" spans="14:17" x14ac:dyDescent="0.25">
      <c r="N173" s="78"/>
      <c r="O173" s="76"/>
      <c r="P173" s="24"/>
      <c r="Q173" s="74"/>
    </row>
    <row r="174" spans="14:17" x14ac:dyDescent="0.25">
      <c r="N174" s="78"/>
      <c r="O174" s="76"/>
      <c r="P174" s="24"/>
      <c r="Q174" s="74"/>
    </row>
    <row r="175" spans="14:17" x14ac:dyDescent="0.25">
      <c r="N175" s="78"/>
      <c r="O175" s="76"/>
      <c r="P175" s="24"/>
      <c r="Q175" s="74"/>
    </row>
    <row r="176" spans="14:17" x14ac:dyDescent="0.25">
      <c r="N176" s="78"/>
      <c r="O176" s="76"/>
      <c r="P176" s="24"/>
      <c r="Q176" s="74"/>
    </row>
    <row r="177" spans="14:17" x14ac:dyDescent="0.25">
      <c r="N177" s="78"/>
      <c r="O177" s="76"/>
      <c r="P177" s="24"/>
      <c r="Q177" s="74"/>
    </row>
    <row r="178" spans="14:17" x14ac:dyDescent="0.25">
      <c r="N178" s="78"/>
      <c r="O178" s="76"/>
      <c r="P178" s="24"/>
      <c r="Q178" s="74"/>
    </row>
    <row r="179" spans="14:17" x14ac:dyDescent="0.25">
      <c r="N179" s="78"/>
      <c r="O179" s="76"/>
      <c r="P179" s="24"/>
      <c r="Q179" s="74"/>
    </row>
    <row r="180" spans="14:17" x14ac:dyDescent="0.25">
      <c r="N180" s="78"/>
      <c r="O180" s="76"/>
      <c r="P180" s="24"/>
      <c r="Q180" s="74"/>
    </row>
    <row r="181" spans="14:17" x14ac:dyDescent="0.25">
      <c r="N181" s="78"/>
      <c r="O181" s="76"/>
      <c r="P181" s="24"/>
      <c r="Q181" s="74"/>
    </row>
    <row r="182" spans="14:17" x14ac:dyDescent="0.25">
      <c r="N182" s="78"/>
      <c r="O182" s="76"/>
      <c r="P182" s="24"/>
      <c r="Q182" s="74"/>
    </row>
    <row r="183" spans="14:17" x14ac:dyDescent="0.25">
      <c r="N183" s="78"/>
      <c r="O183" s="76"/>
      <c r="P183" s="24"/>
      <c r="Q183" s="74"/>
    </row>
    <row r="184" spans="14:17" x14ac:dyDescent="0.25">
      <c r="N184" s="78"/>
      <c r="O184" s="76"/>
      <c r="P184" s="24"/>
      <c r="Q184" s="74"/>
    </row>
  </sheetData>
  <mergeCells count="43">
    <mergeCell ref="B9:B12"/>
    <mergeCell ref="C9:C12"/>
    <mergeCell ref="D9:D12"/>
    <mergeCell ref="E9:E12"/>
    <mergeCell ref="F11:F12"/>
    <mergeCell ref="BF11:BF12"/>
    <mergeCell ref="BE11:BE12"/>
    <mergeCell ref="BK11:BK12"/>
    <mergeCell ref="BJ11:BJ12"/>
    <mergeCell ref="BI11:BI12"/>
    <mergeCell ref="BG11:BG12"/>
    <mergeCell ref="BJ10:BV10"/>
    <mergeCell ref="BE10:BI10"/>
    <mergeCell ref="AS9:BV9"/>
    <mergeCell ref="BB10:BD10"/>
    <mergeCell ref="BC11:BC12"/>
    <mergeCell ref="BB11:BB12"/>
    <mergeCell ref="AT10:BA10"/>
    <mergeCell ref="AT11:AT12"/>
    <mergeCell ref="AU11:AU12"/>
    <mergeCell ref="BH11:BH12"/>
    <mergeCell ref="BD11:BD12"/>
    <mergeCell ref="BV11:BV12"/>
    <mergeCell ref="BS11:BU11"/>
    <mergeCell ref="BQ11:BR11"/>
    <mergeCell ref="BO11:BP11"/>
    <mergeCell ref="BM11:BN11"/>
    <mergeCell ref="AV11:BA11"/>
    <mergeCell ref="F9:M10"/>
    <mergeCell ref="Q11:Q12"/>
    <mergeCell ref="O11:O12"/>
    <mergeCell ref="O9:S10"/>
    <mergeCell ref="AS10:AS12"/>
    <mergeCell ref="AK10:AR10"/>
    <mergeCell ref="L11:M12"/>
    <mergeCell ref="N9:N12"/>
    <mergeCell ref="G11:G12"/>
    <mergeCell ref="U10:AB10"/>
    <mergeCell ref="R11:S11"/>
    <mergeCell ref="T9:AR9"/>
    <mergeCell ref="T10:T12"/>
    <mergeCell ref="AC10:AJ10"/>
    <mergeCell ref="J11:K11"/>
  </mergeCells>
  <phoneticPr fontId="17" type="noConversion"/>
  <conditionalFormatting sqref="Q1:Q8 O9:O47 O49:O89 O91:O1048576">
    <cfRule type="top10" dxfId="0" priority="6" rank="10"/>
  </conditionalFormatting>
  <conditionalFormatting sqref="P1:P8 N9 N13:N47 N49:N89 N91:N1048576">
    <cfRule type="top10" dxfId="1" priority="5" rank="10"/>
  </conditionalFormatting>
  <conditionalFormatting sqref="O48">
    <cfRule type="top10" dxfId="5" priority="4" rank="10"/>
  </conditionalFormatting>
  <conditionalFormatting sqref="N48">
    <cfRule type="top10" dxfId="4" priority="3" rank="10"/>
  </conditionalFormatting>
  <conditionalFormatting sqref="O90">
    <cfRule type="top10" dxfId="3" priority="2" rank="10"/>
  </conditionalFormatting>
  <conditionalFormatting sqref="N90">
    <cfRule type="top10" dxfId="2" priority="1" rank="10"/>
  </conditionalFormatting>
  <pageMargins left="0.7" right="0.7" top="0.75" bottom="0.75" header="0.3" footer="0.3"/>
  <pageSetup paperSize="8" scale="89" fitToHeight="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CCF</vt:lpstr>
      <vt:lpstr>CCE</vt:lpstr>
      <vt:lpstr>Data Agen</vt:lpstr>
      <vt:lpstr>Pilih_Tergabung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ii</dc:creator>
  <cp:lastModifiedBy>ii</cp:lastModifiedBy>
  <dcterms:created xsi:type="dcterms:W3CDTF">2021-03-31T04:06:58Z</dcterms:created>
  <dcterms:modified xsi:type="dcterms:W3CDTF">2021-10-29T09:35:12Z</dcterms:modified>
</cp:coreProperties>
</file>