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Proses Dalam Otak\Data Dasar Agen\"/>
    </mc:Choice>
  </mc:AlternateContent>
  <xr:revisionPtr revIDLastSave="0" documentId="13_ncr:1_{FAFA9F17-69A9-4FDB-96D0-048B97F6D548}" xr6:coauthVersionLast="47" xr6:coauthVersionMax="47" xr10:uidLastSave="{00000000-0000-0000-0000-000000000000}"/>
  <bookViews>
    <workbookView xWindow="-120" yWindow="360" windowWidth="20730" windowHeight="11280" tabRatio="806" xr2:uid="{00000000-000D-0000-FFFF-FFFF00000000}"/>
  </bookViews>
  <sheets>
    <sheet name="Data Aktivita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9" i="1" l="1"/>
  <c r="T90" i="1"/>
  <c r="T91" i="1"/>
  <c r="I90" i="1"/>
  <c r="I48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T88" i="1"/>
  <c r="T46" i="1"/>
  <c r="T47" i="1" s="1"/>
  <c r="T48" i="1" s="1"/>
  <c r="T49" i="1" s="1"/>
  <c r="T58" i="1"/>
  <c r="T59" i="1" s="1"/>
  <c r="T80" i="1"/>
  <c r="T103" i="1"/>
  <c r="T104" i="1" s="1"/>
  <c r="T105" i="1" s="1"/>
  <c r="T106" i="1" s="1"/>
  <c r="T107" i="1" s="1"/>
  <c r="T108" i="1" s="1"/>
  <c r="T39" i="1"/>
  <c r="T40" i="1" s="1"/>
  <c r="T41" i="1" s="1"/>
  <c r="T42" i="1" s="1"/>
  <c r="T43" i="1" s="1"/>
  <c r="T44" i="1" s="1"/>
  <c r="T50" i="1" l="1"/>
  <c r="T51" i="1" s="1"/>
  <c r="T52" i="1" s="1"/>
  <c r="T53" i="1" s="1"/>
  <c r="T54" i="1" s="1"/>
  <c r="T55" i="1" s="1"/>
  <c r="T56" i="1" s="1"/>
  <c r="T97" i="1" l="1"/>
  <c r="T98" i="1" s="1"/>
  <c r="T99" i="1" s="1"/>
  <c r="T75" i="1"/>
  <c r="T76" i="1" s="1"/>
  <c r="T77" i="1" s="1"/>
  <c r="X120" i="1" l="1"/>
  <c r="X121" i="1"/>
  <c r="X122" i="1"/>
  <c r="X123" i="1"/>
  <c r="X124" i="1"/>
  <c r="X125" i="1"/>
  <c r="X119" i="1"/>
  <c r="X13" i="1"/>
  <c r="T14" i="1" l="1"/>
  <c r="T18" i="1"/>
  <c r="T19" i="1" s="1"/>
  <c r="T20" i="1" s="1"/>
  <c r="T21" i="1" s="1"/>
  <c r="T22" i="1" s="1"/>
  <c r="T23" i="1" s="1"/>
  <c r="I13" i="1"/>
  <c r="T24" i="1" l="1"/>
  <c r="T25" i="1" s="1"/>
  <c r="T62" i="1"/>
  <c r="T63" i="1" s="1"/>
  <c r="T64" i="1" s="1"/>
  <c r="T67" i="1" s="1"/>
  <c r="T73" i="1" s="1"/>
  <c r="T26" i="1" l="1"/>
  <c r="T27" i="1" s="1"/>
  <c r="T28" i="1" s="1"/>
  <c r="T29" i="1" s="1"/>
  <c r="T30" i="1" s="1"/>
  <c r="T31" i="1" s="1"/>
  <c r="T32" i="1" s="1"/>
  <c r="T33" i="1" s="1"/>
  <c r="T34" i="1" s="1"/>
  <c r="T78" i="1"/>
  <c r="T81" i="1" s="1"/>
  <c r="T82" i="1" s="1"/>
  <c r="I124" i="1"/>
  <c r="I123" i="1"/>
  <c r="I121" i="1"/>
  <c r="I120" i="1"/>
  <c r="I125" i="1"/>
  <c r="T83" i="1" l="1"/>
</calcChain>
</file>

<file path=xl/sharedStrings.xml><?xml version="1.0" encoding="utf-8"?>
<sst xmlns="http://schemas.openxmlformats.org/spreadsheetml/2006/main" count="1030" uniqueCount="356">
  <si>
    <t xml:space="preserve">No </t>
  </si>
  <si>
    <t>Kode</t>
  </si>
  <si>
    <t>Aktivitas</t>
  </si>
  <si>
    <t>Rentang Waktu Insidental</t>
  </si>
  <si>
    <t>R/I</t>
  </si>
  <si>
    <t>R</t>
  </si>
  <si>
    <t>Menyapu Ruang Keluarga</t>
  </si>
  <si>
    <t>Menyapu Teras</t>
  </si>
  <si>
    <t>Mengepel Ruang Keluarga</t>
  </si>
  <si>
    <t>Menyiram tanaman pagi hari</t>
  </si>
  <si>
    <t>Mengepel Teras</t>
  </si>
  <si>
    <t>Memasak makan pagi dengan kompor gas</t>
  </si>
  <si>
    <t>Mencuci dengan mesin cuci</t>
  </si>
  <si>
    <t>Mencuci baju konvensional</t>
  </si>
  <si>
    <t>Menjemur pakaian</t>
  </si>
  <si>
    <t>Memasak makan siang dengan kompor gas</t>
  </si>
  <si>
    <t>Menonton TV siang</t>
  </si>
  <si>
    <t>Menyapu Ruang Tidur Utama 1</t>
  </si>
  <si>
    <t>Menyapu Ruang Tidur Utama 2</t>
  </si>
  <si>
    <t>Mengepel Ruang Tidur Utama 1</t>
  </si>
  <si>
    <t>Mengepel Ruang Tidur Utama 2</t>
  </si>
  <si>
    <t>Membaca</t>
  </si>
  <si>
    <t>Mengangkat jemuran</t>
  </si>
  <si>
    <t>Menyetrika pakaian</t>
  </si>
  <si>
    <t>Menyiram tanaman sore hari</t>
  </si>
  <si>
    <t>Memasak makan malam dengan kompor gas</t>
  </si>
  <si>
    <t>Bersantai</t>
  </si>
  <si>
    <t>Menonton TV malam</t>
  </si>
  <si>
    <t>YA</t>
  </si>
  <si>
    <t>BAK</t>
  </si>
  <si>
    <t>BAB</t>
  </si>
  <si>
    <t>AL</t>
  </si>
  <si>
    <t>Keuntungan</t>
  </si>
  <si>
    <t>Aturan</t>
  </si>
  <si>
    <t>Ya / Tidak</t>
  </si>
  <si>
    <t>Otoritas</t>
  </si>
  <si>
    <t>Minum</t>
  </si>
  <si>
    <t>Bangun tidur</t>
  </si>
  <si>
    <t>DI/MI</t>
  </si>
  <si>
    <t>DI</t>
  </si>
  <si>
    <t>MI</t>
  </si>
  <si>
    <t>Pergi memasukan laundry</t>
  </si>
  <si>
    <t>Pergi mengambil laundry</t>
  </si>
  <si>
    <t>Rentang Waktu Prioritas</t>
  </si>
  <si>
    <t>PA-I</t>
  </si>
  <si>
    <t>UA-I</t>
  </si>
  <si>
    <t>PA-O</t>
  </si>
  <si>
    <t>DLA</t>
  </si>
  <si>
    <t>Jenis</t>
  </si>
  <si>
    <t>Karakter Aktivitas</t>
  </si>
  <si>
    <t>Keinginan</t>
  </si>
  <si>
    <t>Kebutuhan</t>
  </si>
  <si>
    <t>SN Urgensi</t>
  </si>
  <si>
    <t>SN</t>
  </si>
  <si>
    <t>SN Kepatuhan</t>
  </si>
  <si>
    <t>Informasi</t>
  </si>
  <si>
    <t>Daftar Aktivitas</t>
  </si>
  <si>
    <t>H</t>
  </si>
  <si>
    <t>6/7 ; 7/7</t>
  </si>
  <si>
    <t>YA / Tidak</t>
  </si>
  <si>
    <t>Menghidupkan lampu garasi di sore hari</t>
  </si>
  <si>
    <t>Mematikan lampu garasi di pagi hari</t>
  </si>
  <si>
    <t>Makan</t>
  </si>
  <si>
    <t>Tidur</t>
  </si>
  <si>
    <t>Mandi</t>
  </si>
  <si>
    <t>Waktu dibatalkan</t>
  </si>
  <si>
    <t>Durasi</t>
  </si>
  <si>
    <t>Berdandan setelah mandi</t>
  </si>
  <si>
    <t>A1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</si>
  <si>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</si>
  <si>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</si>
  <si>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</si>
  <si>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</si>
  <si>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</si>
  <si>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</si>
  <si>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</si>
  <si>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</si>
  <si>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</si>
  <si>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</si>
  <si>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</si>
  <si>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</si>
  <si>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</si>
  <si>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</si>
  <si>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</si>
  <si>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</si>
  <si>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</si>
  <si>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</si>
  <si>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</si>
  <si>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</si>
  <si>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</si>
  <si>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</si>
  <si>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</si>
  <si>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</si>
  <si>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</si>
  <si>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</si>
  <si>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</si>
  <si>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</si>
  <si>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</si>
  <si>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</si>
  <si>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</si>
  <si>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</si>
  <si>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</si>
  <si>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</si>
  <si>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</si>
  <si>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</si>
  <si>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</si>
  <si>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</si>
  <si>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</si>
  <si>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</si>
  <si>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</si>
  <si>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</si>
  <si>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</si>
  <si>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</si>
  <si>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</si>
  <si>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A49</t>
  </si>
  <si>
    <t>A50</t>
  </si>
  <si>
    <t>A51</t>
  </si>
  <si>
    <t>A52</t>
  </si>
  <si>
    <t>A53</t>
  </si>
  <si>
    <t>A54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</si>
  <si>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</si>
  <si>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</si>
  <si>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</si>
  <si>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</si>
  <si>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</si>
  <si>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</si>
  <si>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</si>
  <si>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</si>
  <si>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</si>
  <si>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</si>
  <si>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</si>
  <si>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</si>
  <si>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</si>
  <si>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</si>
  <si>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</si>
  <si>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</si>
  <si>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</si>
  <si>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</si>
  <si>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</si>
  <si>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</si>
  <si>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</si>
  <si>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</si>
  <si>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B1</t>
  </si>
  <si>
    <t>B2</t>
  </si>
  <si>
    <t>B3</t>
  </si>
  <si>
    <t>B4</t>
  </si>
  <si>
    <t>B5</t>
  </si>
  <si>
    <t>B6</t>
  </si>
  <si>
    <t>B7</t>
  </si>
  <si>
    <t>PR;A5</t>
  </si>
  <si>
    <t>PR;A12</t>
  </si>
  <si>
    <t>PR;A11</t>
  </si>
  <si>
    <t>Batas Waktu Insidental</t>
  </si>
  <si>
    <t>KETERANGAN</t>
  </si>
  <si>
    <t>Data yang bisa berubah karena waktu dibatalkan, status R/I, batas waktu insidental</t>
  </si>
  <si>
    <t>Data konstan</t>
  </si>
  <si>
    <t>Status Aktivitas</t>
  </si>
  <si>
    <t>Batas Mulai (Preference)</t>
  </si>
  <si>
    <t>Ruang</t>
  </si>
  <si>
    <t>RDP01</t>
  </si>
  <si>
    <t>RTS01</t>
  </si>
  <si>
    <t>RHD01</t>
  </si>
  <si>
    <t>RTU01</t>
  </si>
  <si>
    <t>RTU02</t>
  </si>
  <si>
    <t>RKG01</t>
  </si>
  <si>
    <t>RGS01</t>
  </si>
  <si>
    <t>RKM01</t>
  </si>
  <si>
    <t>Aktivitas prasyarat: hanya bisa dilakukan jika didahului aktivitas tertentu (PR;KODE AKTIVITAS PENDAHULU)</t>
  </si>
  <si>
    <t>Aktivitas fisiologis tidak memiliki waktu preference di jadwal, tetapi langsung di tabel kalkulasi; waktu kebiasaan | Aktivitas UA (unplanned)</t>
  </si>
  <si>
    <t>JENIS AKTIVITAS</t>
  </si>
  <si>
    <t>PA</t>
  </si>
  <si>
    <t>PR</t>
  </si>
  <si>
    <t>UA</t>
  </si>
  <si>
    <t>I</t>
  </si>
  <si>
    <t>planned</t>
  </si>
  <si>
    <t>prerequisite</t>
  </si>
  <si>
    <t>unplanned</t>
  </si>
  <si>
    <t>outdoor</t>
  </si>
  <si>
    <t>indoor</t>
  </si>
  <si>
    <t>PRIORITAS</t>
  </si>
  <si>
    <t>Tidak mengubah status R ke I, aktivitas tertunda bisa terkalkulasi di proses pilih selanjutnya</t>
  </si>
  <si>
    <t>Mengubah R ke I, aktivitas tidak terkalkulasi dalam proses pilih hingga 6 jam berikutnya</t>
  </si>
  <si>
    <t>Mengubah R ke I, aktivitas tidak terkalkulasi dalam proses pilih hingga 12 jam berikutnya</t>
  </si>
  <si>
    <t>Mengubah R ke I, aktivitas tidak terkalkulasi dalam proses pilih hingga 24 jam berikutnya (hari berikutnya di jadwal yang sama)</t>
  </si>
  <si>
    <t>Mengubah R ke I, aktivitas tidak terkalkulasi dalam proses pilih hingga minggu berikutnya di jadwal yang sama</t>
  </si>
  <si>
    <t>-</t>
  </si>
  <si>
    <t>Kode Pengulangan Waktu (aktivitas berjalan)</t>
  </si>
  <si>
    <t xml:space="preserve">Waktu </t>
  </si>
  <si>
    <t>set mencuci pakaian</t>
  </si>
  <si>
    <t>set kerja</t>
  </si>
  <si>
    <t>set hidup-mati lampu garasi</t>
  </si>
  <si>
    <t>PR;A7</t>
  </si>
  <si>
    <t>PR;A10</t>
  </si>
  <si>
    <t>Pengulangan (kalau batal dalam H/M)</t>
  </si>
  <si>
    <t>Prioritas (kalau batal dalam H/M)</t>
  </si>
  <si>
    <t>Batas Mulai (sequence)</t>
  </si>
  <si>
    <t>M;2</t>
  </si>
  <si>
    <t>A</t>
  </si>
  <si>
    <t>auto (Durasi = lama alat listrik digunakan, durasi kalkulasi aktivitas agen = 5 menit)</t>
  </si>
  <si>
    <t>1/7 s/d 5/7</t>
  </si>
  <si>
    <t>Membuat susu anak di pagi hari</t>
  </si>
  <si>
    <t>Membangunkan anak di pagi hari</t>
  </si>
  <si>
    <t>Membereskan kasur &amp; karpet tidur di pagi hari</t>
  </si>
  <si>
    <t>Menyapu Ruang Kerja</t>
  </si>
  <si>
    <t>Menyapu Dapur Kotor</t>
  </si>
  <si>
    <t>Menyapu Dapur Bersih</t>
  </si>
  <si>
    <t>Mengepel Ruang Kerja</t>
  </si>
  <si>
    <t>Mengepel Dapur Kotor</t>
  </si>
  <si>
    <t>Mengepel Dapur Bersih</t>
  </si>
  <si>
    <t>Membersihkan KM Tengah</t>
  </si>
  <si>
    <t>Membersihkan KM Dalam</t>
  </si>
  <si>
    <t>Membersihkan KM Lt. 2</t>
  </si>
  <si>
    <t>Membuang sampah</t>
  </si>
  <si>
    <t>Membakar sampah</t>
  </si>
  <si>
    <t>Memasak makan pagi dengan rice cooker</t>
  </si>
  <si>
    <t>Pergi membeli makan pagi di luar rumah</t>
  </si>
  <si>
    <t>Memasak air untuk mandi di pagi hari</t>
  </si>
  <si>
    <t>Memandikan anak pagi hari</t>
  </si>
  <si>
    <t>Menyuapi anak makan pagi</t>
  </si>
  <si>
    <t>Membuat minuman herbal</t>
  </si>
  <si>
    <t>Bekerja menggunakan komputer</t>
  </si>
  <si>
    <t>Menggunakan printer</t>
  </si>
  <si>
    <t>Mengoperasikan gadget</t>
  </si>
  <si>
    <t>Pergi jalan ke luar rumah di akhir pekan</t>
  </si>
  <si>
    <t>Menonton TV pagi</t>
  </si>
  <si>
    <t>Bermain dengan anak di pagi hari</t>
  </si>
  <si>
    <t>Memasak makan siang dengan rice cooker</t>
  </si>
  <si>
    <t>Menyuapi anak makan siang</t>
  </si>
  <si>
    <t>Pergi membeli makan siang di luar rumah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</si>
  <si>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</si>
  <si>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</si>
  <si>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</si>
  <si>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</si>
  <si>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</si>
  <si>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</si>
  <si>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</si>
  <si>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</si>
  <si>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</si>
  <si>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Menyiapkan kasur &amp; karpet tidur</t>
  </si>
  <si>
    <t>Mengisi ulang daya gadget</t>
  </si>
  <si>
    <t>Menjahit</t>
  </si>
  <si>
    <t>Menerima tamu</t>
  </si>
  <si>
    <t>RDP02</t>
  </si>
  <si>
    <t>RKJ01</t>
  </si>
  <si>
    <t>RKM02</t>
  </si>
  <si>
    <t>RKM03</t>
  </si>
  <si>
    <t>RKM04</t>
  </si>
  <si>
    <t>Mematikan rice cooker</t>
  </si>
  <si>
    <t>RBK01</t>
  </si>
  <si>
    <t>M;5</t>
  </si>
  <si>
    <t>M;3</t>
  </si>
  <si>
    <t>M;4</t>
  </si>
  <si>
    <t>6/7 s/d 7/7</t>
  </si>
  <si>
    <t>B;3</t>
  </si>
  <si>
    <t>1 set membersihkan rumah</t>
  </si>
  <si>
    <t>set mandi anak</t>
  </si>
  <si>
    <t>M;1</t>
  </si>
  <si>
    <t xml:space="preserve">Mencuci piring dan alat masak </t>
  </si>
  <si>
    <t>set bersih KM</t>
  </si>
  <si>
    <t>A3</t>
  </si>
  <si>
    <t>A48</t>
  </si>
  <si>
    <t>A55</t>
  </si>
  <si>
    <t>PR;A55</t>
  </si>
  <si>
    <t>PR;A6</t>
  </si>
  <si>
    <t>PR;A9</t>
  </si>
  <si>
    <t>E</t>
  </si>
  <si>
    <t>Membereskan mainan anak</t>
  </si>
  <si>
    <t>tereliminasi karena aktivitas lain</t>
  </si>
  <si>
    <t>Bekerja di luar rumah</t>
  </si>
  <si>
    <t>Belanja</t>
  </si>
  <si>
    <t>KODE PENGULANGAN WAKTU</t>
  </si>
  <si>
    <t>dilakukan 7 hari dalam seminggu</t>
  </si>
  <si>
    <t>M;angka</t>
  </si>
  <si>
    <t>dilakukan sebanyak sejumlah angka (5 kali/ 3 kali dst.) dalam seminggu, di hari yang acak</t>
  </si>
  <si>
    <t>angka/7</t>
  </si>
  <si>
    <t>dilakukan setiap hari ke-angka dalam seminggu (1/7 s.d 5/7, hanya di hari senin-jumat)</t>
  </si>
  <si>
    <t>B;angka</t>
  </si>
  <si>
    <t>dilakukan sebanyak sejumlah angka (5 kali/ 3 kali dst.) dalam sebulan, di hari yang acak</t>
  </si>
  <si>
    <t>angka/7 ; angka/7</t>
  </si>
  <si>
    <t>(;) = atau. Dilakukan pada hari ke-angka (atau) hari ke-angka dalam seminggu (1/7 ; 5/7, hanya di hari senin ; jumat)</t>
  </si>
  <si>
    <t>PR-D;DLA;B7</t>
  </si>
  <si>
    <t>D</t>
  </si>
  <si>
    <t>direct (aktivitas langsung dilakukan setelah aktivitas pendahulu selesai (berdandan, langsung setelah aktivitas mandi))</t>
  </si>
  <si>
    <t>PA-I;A</t>
  </si>
  <si>
    <t>Menyapu Ruang Belakang</t>
  </si>
  <si>
    <t>Menyapu Ruang Tamu</t>
  </si>
  <si>
    <t>Mengepel Ruang Tamu</t>
  </si>
  <si>
    <t>A78</t>
  </si>
  <si>
    <t>A79</t>
  </si>
  <si>
    <t>RTM01</t>
  </si>
  <si>
    <t>PR;A13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</si>
  <si>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</si>
  <si>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</si>
  <si>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</si>
  <si>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</si>
  <si>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</si>
  <si>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</si>
  <si>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</si>
  <si>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</si>
  <si>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</si>
  <si>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</si>
  <si>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</si>
  <si>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</si>
  <si>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</si>
  <si>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</si>
  <si>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</si>
  <si>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</si>
  <si>
    <t>Bermain dengan anak di siang hari</t>
  </si>
  <si>
    <t>Membersihkan KM Belakang</t>
  </si>
  <si>
    <t>PR-D;A69</t>
  </si>
  <si>
    <t>RTS01/ RTM01</t>
  </si>
  <si>
    <t>RKG01/ RTU01</t>
  </si>
  <si>
    <t>19okt21_perbaikan</t>
  </si>
  <si>
    <t>RKG01/ RDP02</t>
  </si>
  <si>
    <t>A80</t>
  </si>
  <si>
    <t>Menyapu Halaman Depan</t>
  </si>
  <si>
    <t>RKM02/ RKM03</t>
  </si>
  <si>
    <t>RKM02/ RKM04</t>
  </si>
  <si>
    <t>RKG01/ RTM01</t>
  </si>
  <si>
    <t>A115</t>
  </si>
  <si>
    <t>Mengambil sampah</t>
  </si>
  <si>
    <t>PR-D;A115</t>
  </si>
  <si>
    <t>Mencari Agen 2</t>
  </si>
  <si>
    <t>Membawa Agen 2</t>
  </si>
  <si>
    <t>A116</t>
  </si>
  <si>
    <t>A117</t>
  </si>
  <si>
    <t>A118</t>
  </si>
  <si>
    <t>PR-D;A116</t>
  </si>
  <si>
    <t>PR-D;A117</t>
  </si>
  <si>
    <t>PR-D;A118</t>
  </si>
  <si>
    <t>Mengambil Makan untuk Agen 2</t>
  </si>
  <si>
    <t>A119</t>
  </si>
  <si>
    <t>PR-D;A119</t>
  </si>
  <si>
    <t>RKG01/RDP02</t>
  </si>
  <si>
    <t>PR;A22;E;A24</t>
  </si>
  <si>
    <t>PR;A22;E;A23</t>
  </si>
  <si>
    <t>PR;A23/A24</t>
  </si>
  <si>
    <t>set menyuapi anak makan</t>
  </si>
  <si>
    <t>set membuang sampah</t>
  </si>
  <si>
    <t>PR-D;A27</t>
  </si>
  <si>
    <t>Mengambil Makan</t>
  </si>
  <si>
    <t>set membangunkan anak</t>
  </si>
  <si>
    <t>PR-D;A26</t>
  </si>
  <si>
    <t>set membuat susu untuk anak</t>
  </si>
  <si>
    <t>PR-D;A53</t>
  </si>
  <si>
    <t>PR-D;A68</t>
  </si>
  <si>
    <t>set bermain dengan anak</t>
  </si>
  <si>
    <t>Menyiapkan air mandi</t>
  </si>
  <si>
    <t>A120</t>
  </si>
  <si>
    <t>PR-D;A120</t>
  </si>
  <si>
    <t>PR;A29</t>
  </si>
  <si>
    <t>PR;A58</t>
  </si>
  <si>
    <t>Mencari Agen 3</t>
  </si>
  <si>
    <t>PR-D;A31</t>
  </si>
  <si>
    <t>set membuat minuman herbal</t>
  </si>
  <si>
    <t>A121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</si>
</sst>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9" fillId="3" borderId="1" applyNumberFormat="0" applyAlignment="0" applyProtection="0"/>
  </cellStyleXfs>
  <cellXfs count="212">
    <xf numFmtId="0" fontId="0" fillId="0" borderId="0" xfId="0"/>
    <xf numFmtId="0" fontId="5" fillId="0" borderId="0" xfId="2"/>
    <xf numFmtId="0" fontId="6" fillId="0" borderId="0" xfId="2" applyFont="1" applyFill="1" applyAlignment="1">
      <alignment horizontal="center"/>
    </xf>
    <xf numFmtId="0" fontId="5" fillId="0" borderId="0" xfId="2" applyFill="1"/>
    <xf numFmtId="0" fontId="5" fillId="0" borderId="0" xfId="2" applyFill="1" applyAlignment="1">
      <alignment horizontal="left"/>
    </xf>
    <xf numFmtId="0" fontId="4" fillId="0" borderId="0" xfId="2" applyFont="1"/>
    <xf numFmtId="0" fontId="3" fillId="0" borderId="0" xfId="2" applyFont="1" applyAlignment="1">
      <alignment wrapText="1"/>
    </xf>
    <xf numFmtId="0" fontId="1" fillId="0" borderId="11" xfId="2" applyFont="1" applyFill="1" applyBorder="1" applyAlignment="1">
      <alignment horizontal="center" vertical="center"/>
    </xf>
    <xf numFmtId="0" fontId="10" fillId="0" borderId="0" xfId="2" applyFont="1" applyFill="1"/>
    <xf numFmtId="0" fontId="5" fillId="0" borderId="0" xfId="2" applyFill="1" applyAlignment="1">
      <alignment wrapText="1"/>
    </xf>
    <xf numFmtId="0" fontId="10" fillId="0" borderId="0" xfId="2" applyFont="1" applyFill="1" applyAlignment="1">
      <alignment horizontal="center"/>
    </xf>
    <xf numFmtId="0" fontId="0" fillId="0" borderId="3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20" fontId="1" fillId="0" borderId="0" xfId="2" applyNumberFormat="1" applyFont="1" applyFill="1" applyBorder="1" applyAlignment="1">
      <alignment horizontal="center"/>
    </xf>
    <xf numFmtId="20" fontId="0" fillId="0" borderId="0" xfId="2" applyNumberFormat="1" applyFont="1" applyFill="1" applyBorder="1" applyAlignment="1">
      <alignment horizontal="left"/>
    </xf>
    <xf numFmtId="0" fontId="1" fillId="0" borderId="15" xfId="2" applyFont="1" applyFill="1" applyBorder="1" applyAlignment="1">
      <alignment horizontal="center" vertical="center"/>
    </xf>
    <xf numFmtId="0" fontId="7" fillId="0" borderId="35" xfId="2" applyFont="1" applyFill="1" applyBorder="1" applyAlignment="1">
      <alignment horizontal="center" vertical="center" wrapText="1"/>
    </xf>
    <xf numFmtId="0" fontId="7" fillId="0" borderId="33" xfId="2" applyFont="1" applyFill="1" applyBorder="1" applyAlignment="1">
      <alignment horizontal="center" vertical="center" wrapText="1"/>
    </xf>
    <xf numFmtId="0" fontId="7" fillId="0" borderId="26" xfId="1" applyFont="1" applyFill="1" applyBorder="1" applyAlignment="1">
      <alignment horizontal="center" vertical="center" wrapText="1"/>
    </xf>
    <xf numFmtId="0" fontId="7" fillId="0" borderId="32" xfId="1" applyFont="1" applyFill="1" applyBorder="1" applyAlignment="1">
      <alignment horizontal="center" vertical="center" wrapText="1"/>
    </xf>
    <xf numFmtId="0" fontId="7" fillId="0" borderId="33" xfId="1" applyFont="1" applyFill="1" applyBorder="1" applyAlignment="1">
      <alignment horizontal="center" vertical="center" wrapText="1"/>
    </xf>
    <xf numFmtId="0" fontId="7" fillId="5" borderId="33" xfId="2" applyFont="1" applyFill="1" applyBorder="1" applyAlignment="1">
      <alignment horizontal="center" vertical="center" wrapText="1"/>
    </xf>
    <xf numFmtId="0" fontId="7" fillId="5" borderId="35" xfId="2" applyFont="1" applyFill="1" applyBorder="1" applyAlignment="1">
      <alignment horizontal="center" vertical="center" wrapText="1"/>
    </xf>
    <xf numFmtId="0" fontId="7" fillId="5" borderId="34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 vertical="center"/>
    </xf>
    <xf numFmtId="0" fontId="0" fillId="0" borderId="0" xfId="2" applyFont="1" applyFill="1" applyBorder="1" applyAlignment="1">
      <alignment horizontal="center" wrapText="1"/>
    </xf>
    <xf numFmtId="0" fontId="1" fillId="0" borderId="0" xfId="2" applyFont="1" applyFill="1" applyBorder="1" applyAlignment="1">
      <alignment horizontal="center" wrapText="1"/>
    </xf>
    <xf numFmtId="0" fontId="8" fillId="0" borderId="0" xfId="2" applyFont="1" applyFill="1" applyBorder="1" applyAlignment="1">
      <alignment horizontal="center"/>
    </xf>
    <xf numFmtId="0" fontId="5" fillId="0" borderId="0" xfId="2" applyAlignment="1">
      <alignment horizontal="left" vertical="center"/>
    </xf>
    <xf numFmtId="0" fontId="8" fillId="0" borderId="0" xfId="2" applyFont="1" applyFill="1" applyAlignment="1">
      <alignment horizontal="left"/>
    </xf>
    <xf numFmtId="20" fontId="8" fillId="0" borderId="0" xfId="2" applyNumberFormat="1" applyFont="1" applyFill="1" applyBorder="1" applyAlignment="1">
      <alignment horizontal="center"/>
    </xf>
    <xf numFmtId="0" fontId="10" fillId="0" borderId="0" xfId="2" applyFont="1"/>
    <xf numFmtId="0" fontId="10" fillId="0" borderId="0" xfId="2" applyFont="1" applyAlignment="1">
      <alignment horizontal="center"/>
    </xf>
    <xf numFmtId="0" fontId="5" fillId="0" borderId="0" xfId="2" applyFill="1"/>
    <xf numFmtId="0" fontId="6" fillId="0" borderId="0" xfId="2" applyFont="1" applyFill="1"/>
    <xf numFmtId="0" fontId="7" fillId="0" borderId="27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4" fillId="0" borderId="27" xfId="2" applyFont="1" applyFill="1" applyBorder="1" applyAlignment="1">
      <alignment horizontal="center" vertical="center" wrapText="1"/>
    </xf>
    <xf numFmtId="0" fontId="0" fillId="0" borderId="0" xfId="2" applyFont="1" applyFill="1" applyBorder="1" applyAlignment="1">
      <alignment horizontal="center" vertical="center" wrapText="1"/>
    </xf>
    <xf numFmtId="0" fontId="6" fillId="0" borderId="0" xfId="2" applyFont="1" applyFill="1" applyAlignment="1">
      <alignment horizontal="center" wrapText="1"/>
    </xf>
    <xf numFmtId="20" fontId="0" fillId="0" borderId="10" xfId="2" applyNumberFormat="1" applyFont="1" applyFill="1" applyBorder="1" applyAlignment="1">
      <alignment horizontal="center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1" fillId="0" borderId="29" xfId="2" applyFont="1" applyFill="1" applyBorder="1" applyAlignment="1">
      <alignment horizontal="center" vertical="center"/>
    </xf>
    <xf numFmtId="0" fontId="1" fillId="0" borderId="0" xfId="2" applyFont="1" applyFill="1" applyBorder="1" applyAlignment="1">
      <alignment horizontal="center" vertical="center" wrapText="1"/>
    </xf>
    <xf numFmtId="0" fontId="12" fillId="0" borderId="0" xfId="2" applyFont="1" applyBorder="1" applyAlignment="1">
      <alignment horizontal="center" vertical="center" wrapText="1"/>
    </xf>
    <xf numFmtId="0" fontId="5" fillId="0" borderId="0" xfId="2" applyFill="1" applyAlignment="1">
      <alignment horizontal="center" vertical="center" wrapText="1"/>
    </xf>
    <xf numFmtId="20" fontId="0" fillId="0" borderId="9" xfId="2" applyNumberFormat="1" applyFont="1" applyFill="1" applyBorder="1" applyAlignment="1">
      <alignment horizontal="center" vertical="center" wrapText="1"/>
    </xf>
    <xf numFmtId="0" fontId="4" fillId="4" borderId="43" xfId="2" applyFont="1" applyFill="1" applyBorder="1" applyAlignment="1">
      <alignment horizontal="center" vertical="center"/>
    </xf>
    <xf numFmtId="20" fontId="1" fillId="0" borderId="0" xfId="2" applyNumberFormat="1" applyFont="1" applyFill="1" applyBorder="1" applyAlignment="1">
      <alignment horizontal="center" vertical="center" wrapText="1"/>
    </xf>
    <xf numFmtId="0" fontId="5" fillId="0" borderId="0" xfId="2" applyAlignment="1">
      <alignment vertical="center"/>
    </xf>
    <xf numFmtId="0" fontId="11" fillId="0" borderId="0" xfId="2" applyFont="1" applyBorder="1" applyAlignment="1">
      <alignment vertical="center"/>
    </xf>
    <xf numFmtId="0" fontId="12" fillId="0" borderId="0" xfId="2" applyFont="1" applyBorder="1" applyAlignment="1">
      <alignment vertical="center"/>
    </xf>
    <xf numFmtId="0" fontId="6" fillId="0" borderId="0" xfId="2" applyFont="1" applyFill="1" applyAlignment="1">
      <alignment horizontal="center" vertical="center" wrapText="1"/>
    </xf>
    <xf numFmtId="0" fontId="11" fillId="0" borderId="0" xfId="2" applyFont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0" fillId="0" borderId="0" xfId="2" applyFont="1" applyFill="1" applyAlignment="1">
      <alignment vertical="center"/>
    </xf>
    <xf numFmtId="0" fontId="10" fillId="0" borderId="0" xfId="2" applyFont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13" fillId="0" borderId="0" xfId="2" applyFont="1" applyBorder="1" applyAlignment="1">
      <alignment vertical="center"/>
    </xf>
    <xf numFmtId="0" fontId="8" fillId="0" borderId="0" xfId="2" applyFont="1" applyFill="1" applyAlignment="1">
      <alignment horizontal="left" vertical="center"/>
    </xf>
    <xf numFmtId="0" fontId="5" fillId="0" borderId="0" xfId="2" applyFill="1" applyAlignment="1">
      <alignment horizontal="left" vertical="center"/>
    </xf>
    <xf numFmtId="0" fontId="5" fillId="0" borderId="0" xfId="2" applyFill="1" applyAlignment="1">
      <alignment vertical="center"/>
    </xf>
    <xf numFmtId="0" fontId="5" fillId="5" borderId="0" xfId="2" applyFill="1" applyAlignment="1">
      <alignment vertical="center"/>
    </xf>
    <xf numFmtId="0" fontId="5" fillId="0" borderId="36" xfId="2" applyFill="1" applyBorder="1" applyAlignment="1">
      <alignment vertical="center"/>
    </xf>
    <xf numFmtId="0" fontId="12" fillId="0" borderId="0" xfId="2" applyFont="1" applyBorder="1" applyAlignment="1">
      <alignment horizontal="center" vertical="center"/>
    </xf>
    <xf numFmtId="0" fontId="13" fillId="0" borderId="0" xfId="2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1" fillId="0" borderId="3" xfId="2" applyFont="1" applyFill="1" applyBorder="1" applyAlignment="1">
      <alignment horizontal="center" vertical="center"/>
    </xf>
    <xf numFmtId="0" fontId="0" fillId="0" borderId="46" xfId="2" applyFont="1" applyFill="1" applyBorder="1" applyAlignment="1">
      <alignment horizontal="center" vertical="center"/>
    </xf>
    <xf numFmtId="0" fontId="0" fillId="0" borderId="11" xfId="2" applyFont="1" applyFill="1" applyBorder="1" applyAlignment="1">
      <alignment horizontal="center" vertical="center"/>
    </xf>
    <xf numFmtId="0" fontId="8" fillId="0" borderId="12" xfId="2" applyFont="1" applyFill="1" applyBorder="1" applyAlignment="1">
      <alignment vertical="center" wrapText="1"/>
    </xf>
    <xf numFmtId="0" fontId="0" fillId="0" borderId="12" xfId="2" applyFont="1" applyFill="1" applyBorder="1" applyAlignment="1">
      <alignment horizontal="center" vertical="center"/>
    </xf>
    <xf numFmtId="0" fontId="0" fillId="0" borderId="36" xfId="2" applyFont="1" applyFill="1" applyBorder="1" applyAlignment="1">
      <alignment horizontal="center" vertical="center"/>
    </xf>
    <xf numFmtId="0" fontId="8" fillId="0" borderId="36" xfId="2" applyFont="1" applyFill="1" applyBorder="1" applyAlignment="1">
      <alignment horizontal="center" vertical="center" wrapText="1"/>
    </xf>
    <xf numFmtId="0" fontId="8" fillId="0" borderId="36" xfId="2" applyFont="1" applyFill="1" applyBorder="1" applyAlignment="1">
      <alignment horizontal="center" vertical="center"/>
    </xf>
    <xf numFmtId="0" fontId="8" fillId="0" borderId="39" xfId="2" applyFont="1" applyBorder="1" applyAlignment="1">
      <alignment horizontal="center" vertical="center"/>
    </xf>
    <xf numFmtId="0" fontId="8" fillId="0" borderId="9" xfId="2" applyFont="1" applyFill="1" applyBorder="1" applyAlignment="1">
      <alignment horizontal="center" vertical="center"/>
    </xf>
    <xf numFmtId="0" fontId="0" fillId="0" borderId="28" xfId="2" applyFont="1" applyFill="1" applyBorder="1" applyAlignment="1">
      <alignment horizontal="center" vertical="center"/>
    </xf>
    <xf numFmtId="0" fontId="1" fillId="0" borderId="9" xfId="2" applyFont="1" applyFill="1" applyBorder="1" applyAlignment="1">
      <alignment horizontal="center" vertical="center"/>
    </xf>
    <xf numFmtId="0" fontId="1" fillId="0" borderId="31" xfId="2" applyFont="1" applyFill="1" applyBorder="1" applyAlignment="1">
      <alignment horizontal="center" vertical="center"/>
    </xf>
    <xf numFmtId="0" fontId="1" fillId="0" borderId="14" xfId="2" applyFont="1" applyFill="1" applyBorder="1" applyAlignment="1">
      <alignment horizontal="center" vertical="center"/>
    </xf>
    <xf numFmtId="20" fontId="0" fillId="0" borderId="38" xfId="2" applyNumberFormat="1" applyFont="1" applyFill="1" applyBorder="1" applyAlignment="1">
      <alignment horizontal="center" vertical="center"/>
    </xf>
    <xf numFmtId="20" fontId="8" fillId="0" borderId="7" xfId="2" applyNumberFormat="1" applyFont="1" applyFill="1" applyBorder="1" applyAlignment="1">
      <alignment horizontal="center" vertical="center"/>
    </xf>
    <xf numFmtId="20" fontId="0" fillId="0" borderId="30" xfId="2" applyNumberFormat="1" applyFont="1" applyFill="1" applyBorder="1" applyAlignment="1">
      <alignment horizontal="center" vertical="center"/>
    </xf>
    <xf numFmtId="20" fontId="0" fillId="0" borderId="9" xfId="2" applyNumberFormat="1" applyFont="1" applyFill="1" applyBorder="1" applyAlignment="1">
      <alignment horizontal="left" vertical="center"/>
    </xf>
    <xf numFmtId="0" fontId="0" fillId="0" borderId="37" xfId="2" applyFont="1" applyFill="1" applyBorder="1" applyAlignment="1">
      <alignment horizontal="center" vertical="center"/>
    </xf>
    <xf numFmtId="12" fontId="0" fillId="0" borderId="36" xfId="2" applyNumberFormat="1" applyFont="1" applyFill="1" applyBorder="1" applyAlignment="1">
      <alignment horizontal="center" vertical="center"/>
    </xf>
    <xf numFmtId="20" fontId="0" fillId="0" borderId="28" xfId="2" applyNumberFormat="1" applyFont="1" applyFill="1" applyBorder="1" applyAlignment="1">
      <alignment horizontal="center" vertical="center"/>
    </xf>
    <xf numFmtId="0" fontId="4" fillId="4" borderId="43" xfId="2" applyFont="1" applyFill="1" applyBorder="1" applyAlignment="1">
      <alignment horizontal="left" vertical="center"/>
    </xf>
    <xf numFmtId="0" fontId="4" fillId="4" borderId="24" xfId="2" applyFont="1" applyFill="1" applyBorder="1" applyAlignment="1">
      <alignment horizontal="left" vertical="center"/>
    </xf>
    <xf numFmtId="0" fontId="5" fillId="0" borderId="0" xfId="2" applyFill="1" applyAlignment="1">
      <alignment vertical="center" wrapText="1"/>
    </xf>
    <xf numFmtId="0" fontId="1" fillId="0" borderId="7" xfId="2" applyFont="1" applyFill="1" applyBorder="1" applyAlignment="1">
      <alignment horizontal="center" vertical="center"/>
    </xf>
    <xf numFmtId="0" fontId="1" fillId="0" borderId="35" xfId="2" applyFont="1" applyFill="1" applyBorder="1" applyAlignment="1">
      <alignment horizontal="center" vertical="center"/>
    </xf>
    <xf numFmtId="0" fontId="0" fillId="0" borderId="35" xfId="2" applyFont="1" applyFill="1" applyBorder="1" applyAlignment="1">
      <alignment horizontal="center" vertical="center" wrapText="1"/>
    </xf>
    <xf numFmtId="0" fontId="8" fillId="0" borderId="35" xfId="2" applyFont="1" applyFill="1" applyBorder="1" applyAlignment="1">
      <alignment horizontal="center" vertical="center"/>
    </xf>
    <xf numFmtId="0" fontId="8" fillId="0" borderId="20" xfId="2" applyFont="1" applyFill="1" applyBorder="1" applyAlignment="1">
      <alignment horizontal="center" vertical="center"/>
    </xf>
    <xf numFmtId="0" fontId="10" fillId="0" borderId="0" xfId="2" applyFont="1" applyFill="1" applyAlignment="1">
      <alignment horizontal="center" vertical="center"/>
    </xf>
    <xf numFmtId="20" fontId="8" fillId="0" borderId="10" xfId="2" applyNumberFormat="1" applyFont="1" applyFill="1" applyBorder="1" applyAlignment="1">
      <alignment horizontal="center" vertical="center"/>
    </xf>
    <xf numFmtId="20" fontId="1" fillId="0" borderId="6" xfId="2" applyNumberFormat="1" applyFont="1" applyFill="1" applyBorder="1" applyAlignment="1">
      <alignment horizontal="center" vertical="center"/>
    </xf>
    <xf numFmtId="0" fontId="1" fillId="0" borderId="36" xfId="2" applyFont="1" applyFill="1" applyBorder="1" applyAlignment="1">
      <alignment horizontal="center" vertical="center"/>
    </xf>
    <xf numFmtId="0" fontId="0" fillId="0" borderId="36" xfId="2" applyFont="1" applyFill="1" applyBorder="1" applyAlignment="1">
      <alignment horizontal="center" vertical="center" wrapText="1"/>
    </xf>
    <xf numFmtId="0" fontId="1" fillId="0" borderId="36" xfId="2" applyFont="1" applyFill="1" applyBorder="1" applyAlignment="1">
      <alignment horizontal="center" vertical="center" wrapText="1"/>
    </xf>
    <xf numFmtId="20" fontId="8" fillId="0" borderId="9" xfId="2" applyNumberFormat="1" applyFont="1" applyFill="1" applyBorder="1" applyAlignment="1">
      <alignment horizontal="center" vertical="center"/>
    </xf>
    <xf numFmtId="20" fontId="1" fillId="0" borderId="13" xfId="2" applyNumberFormat="1" applyFont="1" applyFill="1" applyBorder="1" applyAlignment="1">
      <alignment horizontal="center" vertical="center"/>
    </xf>
    <xf numFmtId="0" fontId="1" fillId="0" borderId="33" xfId="2" applyFont="1" applyFill="1" applyBorder="1" applyAlignment="1">
      <alignment horizontal="center" vertical="center"/>
    </xf>
    <xf numFmtId="0" fontId="0" fillId="0" borderId="33" xfId="2" applyFont="1" applyFill="1" applyBorder="1" applyAlignment="1">
      <alignment horizontal="center" vertical="center" wrapText="1"/>
    </xf>
    <xf numFmtId="0" fontId="8" fillId="0" borderId="33" xfId="2" applyFont="1" applyFill="1" applyBorder="1" applyAlignment="1">
      <alignment horizontal="center" vertical="center"/>
    </xf>
    <xf numFmtId="0" fontId="8" fillId="0" borderId="17" xfId="2" applyFont="1" applyFill="1" applyBorder="1" applyAlignment="1">
      <alignment horizontal="center" vertical="center"/>
    </xf>
    <xf numFmtId="20" fontId="8" fillId="0" borderId="40" xfId="2" applyNumberFormat="1" applyFont="1" applyFill="1" applyBorder="1" applyAlignment="1">
      <alignment horizontal="center" vertical="center"/>
    </xf>
    <xf numFmtId="20" fontId="1" fillId="0" borderId="16" xfId="2" applyNumberFormat="1" applyFont="1" applyFill="1" applyBorder="1" applyAlignment="1">
      <alignment horizontal="center" vertical="center"/>
    </xf>
    <xf numFmtId="20" fontId="0" fillId="0" borderId="17" xfId="2" applyNumberFormat="1" applyFont="1" applyFill="1" applyBorder="1" applyAlignment="1">
      <alignment horizontal="left" vertical="center"/>
    </xf>
    <xf numFmtId="0" fontId="12" fillId="0" borderId="0" xfId="2" applyFont="1" applyFill="1" applyBorder="1" applyAlignment="1">
      <alignment vertical="center"/>
    </xf>
    <xf numFmtId="0" fontId="12" fillId="0" borderId="0" xfId="2" applyFont="1" applyFill="1" applyBorder="1" applyAlignment="1">
      <alignment horizontal="center" vertical="center"/>
    </xf>
    <xf numFmtId="0" fontId="0" fillId="0" borderId="23" xfId="2" applyFont="1" applyFill="1" applyBorder="1" applyAlignment="1">
      <alignment horizontal="center" vertical="center"/>
    </xf>
    <xf numFmtId="0" fontId="0" fillId="4" borderId="46" xfId="2" applyFont="1" applyFill="1" applyBorder="1" applyAlignment="1">
      <alignment horizontal="center" vertical="center"/>
    </xf>
    <xf numFmtId="0" fontId="0" fillId="4" borderId="37" xfId="2" applyFont="1" applyFill="1" applyBorder="1" applyAlignment="1">
      <alignment horizontal="center" vertical="center"/>
    </xf>
    <xf numFmtId="0" fontId="0" fillId="6" borderId="37" xfId="2" applyFont="1" applyFill="1" applyBorder="1" applyAlignment="1">
      <alignment horizontal="center" vertical="center"/>
    </xf>
    <xf numFmtId="0" fontId="5" fillId="4" borderId="0" xfId="2" applyFill="1" applyAlignment="1">
      <alignment vertical="center"/>
    </xf>
    <xf numFmtId="20" fontId="0" fillId="7" borderId="18" xfId="2" applyNumberFormat="1" applyFont="1" applyFill="1" applyBorder="1" applyAlignment="1">
      <alignment horizontal="center" vertical="center"/>
    </xf>
    <xf numFmtId="20" fontId="1" fillId="7" borderId="19" xfId="2" applyNumberFormat="1" applyFont="1" applyFill="1" applyBorder="1" applyAlignment="1">
      <alignment horizontal="center" vertical="center" wrapText="1"/>
    </xf>
    <xf numFmtId="20" fontId="1" fillId="7" borderId="13" xfId="2" applyNumberFormat="1" applyFont="1" applyFill="1" applyBorder="1" applyAlignment="1">
      <alignment horizontal="center" vertical="center"/>
    </xf>
    <xf numFmtId="20" fontId="1" fillId="7" borderId="14" xfId="2" applyNumberFormat="1" applyFont="1" applyFill="1" applyBorder="1" applyAlignment="1">
      <alignment horizontal="center" vertical="center" wrapText="1"/>
    </xf>
    <xf numFmtId="20" fontId="1" fillId="7" borderId="16" xfId="2" applyNumberFormat="1" applyFont="1" applyFill="1" applyBorder="1" applyAlignment="1">
      <alignment horizontal="center" vertical="center"/>
    </xf>
    <xf numFmtId="20" fontId="1" fillId="7" borderId="17" xfId="2" applyNumberFormat="1" applyFont="1" applyFill="1" applyBorder="1" applyAlignment="1">
      <alignment horizontal="center" vertical="center" wrapText="1"/>
    </xf>
    <xf numFmtId="0" fontId="5" fillId="7" borderId="0" xfId="2" applyFill="1" applyAlignment="1">
      <alignment vertical="center"/>
    </xf>
    <xf numFmtId="0" fontId="1" fillId="0" borderId="29" xfId="2" applyFont="1" applyFill="1" applyBorder="1" applyAlignment="1">
      <alignment horizontal="center" vertical="center"/>
    </xf>
    <xf numFmtId="0" fontId="11" fillId="0" borderId="0" xfId="2" applyFont="1" applyBorder="1" applyAlignment="1">
      <alignment horizontal="left" vertical="center"/>
    </xf>
    <xf numFmtId="0" fontId="1" fillId="0" borderId="29" xfId="2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vertical="center" wrapText="1"/>
    </xf>
    <xf numFmtId="0" fontId="10" fillId="0" borderId="0" xfId="2" applyFont="1" applyFill="1" applyAlignment="1">
      <alignment vertical="center" wrapText="1"/>
    </xf>
    <xf numFmtId="0" fontId="12" fillId="0" borderId="0" xfId="2" applyFont="1" applyFill="1" applyBorder="1" applyAlignment="1">
      <alignment horizontal="center" vertical="center" wrapText="1"/>
    </xf>
    <xf numFmtId="0" fontId="0" fillId="0" borderId="8" xfId="2" applyFont="1" applyFill="1" applyBorder="1" applyAlignment="1">
      <alignment horizontal="left" vertical="center" wrapText="1"/>
    </xf>
    <xf numFmtId="0" fontId="0" fillId="0" borderId="12" xfId="2" applyFont="1" applyFill="1" applyBorder="1" applyAlignment="1">
      <alignment horizontal="left" vertical="center" wrapText="1"/>
    </xf>
    <xf numFmtId="0" fontId="1" fillId="0" borderId="12" xfId="2" applyFont="1" applyFill="1" applyBorder="1" applyAlignment="1">
      <alignment horizontal="left" vertical="center" wrapText="1"/>
    </xf>
    <xf numFmtId="0" fontId="0" fillId="0" borderId="16" xfId="2" applyFont="1" applyFill="1" applyBorder="1" applyAlignment="1">
      <alignment horizontal="left" vertical="center" wrapText="1"/>
    </xf>
    <xf numFmtId="0" fontId="8" fillId="8" borderId="12" xfId="2" applyFont="1" applyFill="1" applyBorder="1" applyAlignment="1">
      <alignment vertical="center" wrapText="1"/>
    </xf>
    <xf numFmtId="0" fontId="0" fillId="8" borderId="37" xfId="2" applyFont="1" applyFill="1" applyBorder="1" applyAlignment="1">
      <alignment horizontal="center" vertical="center"/>
    </xf>
    <xf numFmtId="0" fontId="0" fillId="8" borderId="12" xfId="2" applyFont="1" applyFill="1" applyBorder="1" applyAlignment="1">
      <alignment horizontal="center" vertical="center"/>
    </xf>
    <xf numFmtId="0" fontId="0" fillId="0" borderId="12" xfId="2" applyFont="1" applyFill="1" applyBorder="1" applyAlignment="1">
      <alignment horizontal="center" vertical="center" wrapText="1"/>
    </xf>
    <xf numFmtId="0" fontId="0" fillId="8" borderId="12" xfId="2" applyFont="1" applyFill="1" applyBorder="1" applyAlignment="1">
      <alignment horizontal="center" vertical="center" wrapText="1"/>
    </xf>
    <xf numFmtId="0" fontId="12" fillId="8" borderId="0" xfId="2" applyFont="1" applyFill="1" applyBorder="1" applyAlignment="1">
      <alignment horizontal="center" vertical="center"/>
    </xf>
    <xf numFmtId="0" fontId="11" fillId="0" borderId="0" xfId="2" applyFont="1" applyFill="1" applyAlignment="1">
      <alignment vertical="center"/>
    </xf>
    <xf numFmtId="20" fontId="0" fillId="8" borderId="38" xfId="2" applyNumberFormat="1" applyFont="1" applyFill="1" applyBorder="1" applyAlignment="1">
      <alignment horizontal="center" vertical="center"/>
    </xf>
    <xf numFmtId="0" fontId="0" fillId="8" borderId="46" xfId="2" applyFont="1" applyFill="1" applyBorder="1" applyAlignment="1">
      <alignment horizontal="center" vertical="center"/>
    </xf>
    <xf numFmtId="0" fontId="0" fillId="8" borderId="11" xfId="2" applyFont="1" applyFill="1" applyBorder="1" applyAlignment="1">
      <alignment horizontal="center" vertical="center"/>
    </xf>
    <xf numFmtId="0" fontId="0" fillId="8" borderId="36" xfId="2" applyFont="1" applyFill="1" applyBorder="1" applyAlignment="1">
      <alignment horizontal="center" vertical="center"/>
    </xf>
    <xf numFmtId="0" fontId="8" fillId="8" borderId="36" xfId="2" applyFont="1" applyFill="1" applyBorder="1" applyAlignment="1">
      <alignment horizontal="center" vertical="center" wrapText="1"/>
    </xf>
    <xf numFmtId="0" fontId="8" fillId="8" borderId="36" xfId="2" applyFont="1" applyFill="1" applyBorder="1" applyAlignment="1">
      <alignment horizontal="center" vertical="center"/>
    </xf>
    <xf numFmtId="0" fontId="8" fillId="8" borderId="39" xfId="2" applyFont="1" applyFill="1" applyBorder="1" applyAlignment="1">
      <alignment horizontal="center" vertical="center"/>
    </xf>
    <xf numFmtId="0" fontId="8" fillId="8" borderId="9" xfId="2" applyFont="1" applyFill="1" applyBorder="1" applyAlignment="1">
      <alignment horizontal="center" vertical="center"/>
    </xf>
    <xf numFmtId="0" fontId="0" fillId="8" borderId="28" xfId="2" applyFont="1" applyFill="1" applyBorder="1" applyAlignment="1">
      <alignment horizontal="center" vertical="center"/>
    </xf>
    <xf numFmtId="0" fontId="1" fillId="8" borderId="9" xfId="2" applyFont="1" applyFill="1" applyBorder="1" applyAlignment="1">
      <alignment horizontal="center" vertical="center"/>
    </xf>
    <xf numFmtId="0" fontId="1" fillId="8" borderId="31" xfId="2" applyFont="1" applyFill="1" applyBorder="1" applyAlignment="1">
      <alignment horizontal="center" vertical="center"/>
    </xf>
    <xf numFmtId="0" fontId="1" fillId="8" borderId="29" xfId="2" applyFont="1" applyFill="1" applyBorder="1" applyAlignment="1">
      <alignment horizontal="center" vertical="center"/>
    </xf>
    <xf numFmtId="0" fontId="1" fillId="8" borderId="14" xfId="2" applyFont="1" applyFill="1" applyBorder="1" applyAlignment="1">
      <alignment horizontal="center" vertical="center"/>
    </xf>
    <xf numFmtId="20" fontId="8" fillId="8" borderId="7" xfId="2" applyNumberFormat="1" applyFont="1" applyFill="1" applyBorder="1" applyAlignment="1">
      <alignment horizontal="center" vertical="center"/>
    </xf>
    <xf numFmtId="20" fontId="0" fillId="8" borderId="30" xfId="2" applyNumberFormat="1" applyFont="1" applyFill="1" applyBorder="1" applyAlignment="1">
      <alignment horizontal="center" vertical="center"/>
    </xf>
    <xf numFmtId="20" fontId="0" fillId="8" borderId="9" xfId="2" applyNumberFormat="1" applyFont="1" applyFill="1" applyBorder="1" applyAlignment="1">
      <alignment horizontal="left" vertical="center"/>
    </xf>
    <xf numFmtId="20" fontId="0" fillId="0" borderId="10" xfId="2" applyNumberFormat="1" applyFont="1" applyFill="1" applyBorder="1" applyAlignment="1">
      <alignment horizontal="center" vertical="center" wrapText="1"/>
    </xf>
    <xf numFmtId="20" fontId="8" fillId="0" borderId="10" xfId="2" applyNumberFormat="1" applyFont="1" applyBorder="1" applyAlignment="1">
      <alignment horizontal="right" vertical="center"/>
    </xf>
    <xf numFmtId="46" fontId="3" fillId="0" borderId="17" xfId="2" applyNumberFormat="1" applyFont="1" applyBorder="1"/>
    <xf numFmtId="0" fontId="8" fillId="0" borderId="39" xfId="2" applyFont="1" applyFill="1" applyBorder="1" applyAlignment="1">
      <alignment horizontal="center" vertical="center"/>
    </xf>
    <xf numFmtId="0" fontId="0" fillId="0" borderId="21" xfId="2" applyFont="1" applyFill="1" applyBorder="1" applyAlignment="1">
      <alignment horizontal="center" vertical="center" wrapText="1"/>
    </xf>
    <xf numFmtId="0" fontId="1" fillId="0" borderId="12" xfId="2" applyFont="1" applyFill="1" applyBorder="1" applyAlignment="1">
      <alignment horizontal="center" vertical="center" wrapText="1"/>
    </xf>
    <xf numFmtId="0" fontId="1" fillId="0" borderId="32" xfId="2" applyFont="1" applyFill="1" applyBorder="1" applyAlignment="1">
      <alignment horizontal="center" vertical="center" wrapText="1"/>
    </xf>
    <xf numFmtId="0" fontId="0" fillId="8" borderId="15" xfId="2" applyFont="1" applyFill="1" applyBorder="1" applyAlignment="1">
      <alignment horizontal="center" vertical="center"/>
    </xf>
    <xf numFmtId="0" fontId="0" fillId="8" borderId="37" xfId="2" applyFont="1" applyFill="1" applyBorder="1" applyAlignment="1">
      <alignment horizontal="center" vertical="center" wrapText="1"/>
    </xf>
    <xf numFmtId="20" fontId="0" fillId="8" borderId="10" xfId="2" applyNumberFormat="1" applyFont="1" applyFill="1" applyBorder="1" applyAlignment="1">
      <alignment horizontal="center" vertical="center" wrapText="1"/>
    </xf>
    <xf numFmtId="0" fontId="4" fillId="4" borderId="24" xfId="2" applyFont="1" applyFill="1" applyBorder="1" applyAlignment="1">
      <alignment horizontal="left" vertical="center" wrapText="1"/>
    </xf>
    <xf numFmtId="0" fontId="4" fillId="0" borderId="42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41" xfId="2" applyFont="1" applyFill="1" applyBorder="1" applyAlignment="1">
      <alignment horizontal="center" vertical="center" wrapText="1"/>
    </xf>
    <xf numFmtId="0" fontId="4" fillId="0" borderId="25" xfId="2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21" xfId="1" applyFont="1" applyFill="1" applyBorder="1" applyAlignment="1">
      <alignment horizontal="center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48" xfId="2" applyFont="1" applyFill="1" applyBorder="1" applyAlignment="1">
      <alignment horizontal="center" vertical="center" wrapText="1"/>
    </xf>
    <xf numFmtId="0" fontId="4" fillId="0" borderId="21" xfId="2" applyFont="1" applyFill="1" applyBorder="1" applyAlignment="1">
      <alignment horizontal="center" vertical="center" wrapText="1"/>
    </xf>
    <xf numFmtId="0" fontId="4" fillId="0" borderId="23" xfId="2" applyFont="1" applyFill="1" applyBorder="1" applyAlignment="1">
      <alignment horizontal="center" vertical="center" wrapText="1"/>
    </xf>
    <xf numFmtId="0" fontId="4" fillId="0" borderId="42" xfId="2" applyFont="1" applyFill="1" applyBorder="1" applyAlignment="1">
      <alignment horizontal="center" vertical="center"/>
    </xf>
    <xf numFmtId="0" fontId="4" fillId="0" borderId="43" xfId="2" applyFont="1" applyFill="1" applyBorder="1" applyAlignment="1">
      <alignment horizontal="center" vertical="center"/>
    </xf>
    <xf numFmtId="0" fontId="4" fillId="0" borderId="4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 wrapText="1"/>
    </xf>
    <xf numFmtId="0" fontId="7" fillId="0" borderId="2" xfId="2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3" fillId="0" borderId="6" xfId="2" applyFont="1" applyFill="1" applyBorder="1" applyAlignment="1">
      <alignment horizontal="left" vertical="center" wrapText="1"/>
    </xf>
    <xf numFmtId="0" fontId="3" fillId="0" borderId="0" xfId="2" applyFont="1" applyFill="1" applyBorder="1" applyAlignment="1">
      <alignment horizontal="left" vertical="center" wrapText="1"/>
    </xf>
    <xf numFmtId="0" fontId="7" fillId="0" borderId="41" xfId="2" applyFont="1" applyFill="1" applyBorder="1" applyAlignment="1">
      <alignment horizontal="center" vertical="center" wrapText="1"/>
    </xf>
    <xf numFmtId="0" fontId="7" fillId="0" borderId="25" xfId="2" applyFont="1" applyFill="1" applyBorder="1" applyAlignment="1">
      <alignment horizontal="center" vertical="center" wrapText="1"/>
    </xf>
    <xf numFmtId="0" fontId="7" fillId="0" borderId="19" xfId="2" applyFont="1" applyFill="1" applyBorder="1" applyAlignment="1">
      <alignment horizontal="center" vertical="center" wrapText="1"/>
    </xf>
    <xf numFmtId="0" fontId="7" fillId="0" borderId="27" xfId="2" applyFont="1" applyFill="1" applyBorder="1" applyAlignment="1">
      <alignment horizontal="center" vertical="center" wrapText="1"/>
    </xf>
    <xf numFmtId="0" fontId="4" fillId="0" borderId="47" xfId="2" applyFont="1" applyFill="1" applyBorder="1" applyAlignment="1">
      <alignment horizontal="center" vertical="center" wrapText="1"/>
    </xf>
    <xf numFmtId="0" fontId="4" fillId="0" borderId="34" xfId="2" applyFont="1" applyFill="1" applyBorder="1" applyAlignment="1">
      <alignment horizontal="center" vertical="center" wrapText="1"/>
    </xf>
    <xf numFmtId="20" fontId="0" fillId="0" borderId="14" xfId="2" applyNumberFormat="1" applyFont="1" applyFill="1" applyBorder="1" applyAlignment="1">
      <alignment horizontal="center" vertical="center" wrapText="1"/>
    </xf>
    <xf numFmtId="20" fontId="0" fillId="0" borderId="45" xfId="2" applyNumberFormat="1" applyFont="1" applyFill="1" applyBorder="1" applyAlignment="1">
      <alignment horizontal="center" vertical="center" wrapText="1"/>
    </xf>
    <xf numFmtId="20" fontId="0" fillId="0" borderId="10" xfId="2" applyNumberFormat="1" applyFont="1" applyFill="1" applyBorder="1" applyAlignment="1">
      <alignment horizontal="center" vertical="center" wrapText="1"/>
    </xf>
    <xf numFmtId="20" fontId="0" fillId="8" borderId="14" xfId="2" applyNumberFormat="1" applyFont="1" applyFill="1" applyBorder="1" applyAlignment="1">
      <alignment horizontal="center" vertical="center" wrapText="1"/>
    </xf>
    <xf numFmtId="20" fontId="0" fillId="8" borderId="45" xfId="2" applyNumberFormat="1" applyFont="1" applyFill="1" applyBorder="1" applyAlignment="1">
      <alignment horizontal="center" vertical="center" wrapText="1"/>
    </xf>
    <xf numFmtId="20" fontId="0" fillId="8" borderId="10" xfId="2" applyNumberFormat="1" applyFont="1" applyFill="1" applyBorder="1" applyAlignment="1">
      <alignment horizontal="center" vertical="center" wrapText="1"/>
    </xf>
    <xf numFmtId="0" fontId="0" fillId="0" borderId="7" xfId="2" applyFont="1" applyFill="1" applyBorder="1" applyAlignment="1">
      <alignment horizontal="center" vertical="center"/>
    </xf>
    <xf numFmtId="0" fontId="8" fillId="0" borderId="8" xfId="2" applyFont="1" applyFill="1" applyBorder="1" applyAlignment="1">
      <alignment vertical="center" wrapText="1"/>
    </xf>
    <xf numFmtId="0" fontId="0" fillId="0" borderId="8" xfId="2" applyFont="1" applyFill="1" applyBorder="1" applyAlignment="1">
      <alignment horizontal="center" vertical="center" wrapText="1"/>
    </xf>
    <xf numFmtId="0" fontId="0" fillId="0" borderId="39" xfId="2" applyFont="1" applyFill="1" applyBorder="1" applyAlignment="1">
      <alignment horizontal="center" vertical="center"/>
    </xf>
    <xf numFmtId="0" fontId="8" fillId="8" borderId="11" xfId="2" applyFont="1" applyFill="1" applyBorder="1" applyAlignment="1">
      <alignment vertical="center" wrapText="1"/>
    </xf>
    <xf numFmtId="0" fontId="8" fillId="8" borderId="16" xfId="2" applyFont="1" applyFill="1" applyBorder="1" applyAlignment="1">
      <alignment vertical="center" wrapText="1"/>
    </xf>
    <xf numFmtId="0" fontId="0" fillId="8" borderId="32" xfId="2" applyFont="1" applyFill="1" applyBorder="1" applyAlignment="1">
      <alignment horizontal="center" vertical="center" wrapText="1"/>
    </xf>
  </cellXfs>
  <cellStyles count="4">
    <cellStyle name="Good" xfId="1" builtinId="26"/>
    <cellStyle name="Normal" xfId="0" builtinId="0"/>
    <cellStyle name="Normal 2" xfId="2" xr:uid="{00000000-0005-0000-0000-000002000000}"/>
    <cellStyle name="Outpu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B1:AH127"/>
  <sheetViews>
    <sheetView showGridLines="0" tabSelected="1" zoomScale="85" zoomScaleNormal="85" workbookViewId="0">
      <selection activeCell="W117" sqref="W117"/>
    </sheetView>
  </sheetViews>
  <sheetFormatPr defaultColWidth="8.85546875" defaultRowHeight="15" x14ac:dyDescent="0.25"/>
  <cols>
    <col min="1" max="1" width="4.140625" style="1" customWidth="1"/>
    <col min="2" max="2" width="4" style="1" customWidth="1"/>
    <col min="3" max="3" width="14.42578125" style="33" customWidth="1"/>
    <col min="4" max="4" width="5.5703125" style="1" customWidth="1"/>
    <col min="5" max="5" width="26.5703125" style="9" customWidth="1"/>
    <col min="6" max="6" width="8" style="41" customWidth="1"/>
    <col min="7" max="9" width="12.7109375" style="2" customWidth="1"/>
    <col min="10" max="10" width="12.7109375" style="34" customWidth="1"/>
    <col min="11" max="11" width="12.7109375" style="31" customWidth="1"/>
    <col min="12" max="12" width="6.7109375" style="8" customWidth="1"/>
    <col min="13" max="13" width="8.7109375" style="32" customWidth="1"/>
    <col min="14" max="14" width="11.7109375" style="34" customWidth="1"/>
    <col min="15" max="15" width="6.7109375" style="34" customWidth="1"/>
    <col min="16" max="17" width="11.7109375" style="34" customWidth="1"/>
    <col min="18" max="18" width="6.7109375" style="34" customWidth="1"/>
    <col min="19" max="19" width="8.7109375" style="34" customWidth="1"/>
    <col min="20" max="20" width="15.7109375" style="1" customWidth="1"/>
    <col min="21" max="21" width="15.7109375" style="47" customWidth="1"/>
    <col min="22" max="22" width="8.7109375" style="29" customWidth="1"/>
    <col min="23" max="23" width="11.7109375" style="4" customWidth="1"/>
    <col min="24" max="24" width="11.7109375" style="33" customWidth="1"/>
    <col min="25" max="25" width="9.140625" style="1" customWidth="1"/>
    <col min="26" max="16384" width="8.85546875" style="1"/>
  </cols>
  <sheetData>
    <row r="1" spans="2:34" ht="18.75" x14ac:dyDescent="0.25">
      <c r="B1" s="52" t="s">
        <v>153</v>
      </c>
      <c r="C1" s="114"/>
      <c r="D1" s="53"/>
      <c r="E1" s="131"/>
      <c r="F1" s="54"/>
      <c r="G1" s="55" t="s">
        <v>169</v>
      </c>
      <c r="H1" s="55"/>
      <c r="I1" s="129" t="s">
        <v>270</v>
      </c>
      <c r="J1" s="55"/>
      <c r="K1" s="53"/>
      <c r="L1" s="52" t="s">
        <v>179</v>
      </c>
      <c r="M1" s="53"/>
      <c r="N1" s="56"/>
      <c r="O1" s="57"/>
      <c r="P1" s="58"/>
      <c r="Q1" s="59"/>
      <c r="R1" s="59"/>
      <c r="S1" s="59"/>
      <c r="T1" s="59"/>
      <c r="U1" s="53"/>
      <c r="V1" s="52"/>
      <c r="W1" s="53"/>
      <c r="X1" s="46"/>
      <c r="Y1" s="60"/>
      <c r="Z1" s="53"/>
      <c r="AA1" s="53"/>
      <c r="AB1" s="51"/>
      <c r="AC1" s="51"/>
      <c r="AD1" s="51"/>
      <c r="AE1" s="51"/>
      <c r="AF1" s="51"/>
      <c r="AG1" s="51"/>
      <c r="AH1" s="51"/>
    </row>
    <row r="2" spans="2:34" x14ac:dyDescent="0.25">
      <c r="B2" s="120"/>
      <c r="C2" s="57" t="s">
        <v>167</v>
      </c>
      <c r="D2" s="56"/>
      <c r="E2" s="132"/>
      <c r="F2" s="54"/>
      <c r="G2" s="58">
        <v>0</v>
      </c>
      <c r="H2" s="59" t="s">
        <v>177</v>
      </c>
      <c r="I2" s="59" t="s">
        <v>57</v>
      </c>
      <c r="J2" s="59" t="s">
        <v>271</v>
      </c>
      <c r="K2" s="59"/>
      <c r="L2" s="58">
        <v>0</v>
      </c>
      <c r="M2" s="59" t="s">
        <v>180</v>
      </c>
      <c r="N2" s="56"/>
      <c r="O2" s="57"/>
      <c r="P2" s="58"/>
      <c r="Q2" s="59"/>
      <c r="R2" s="59"/>
      <c r="S2" s="59"/>
      <c r="T2" s="59"/>
      <c r="U2" s="59"/>
      <c r="V2" s="58"/>
      <c r="W2" s="59"/>
      <c r="X2" s="47"/>
      <c r="Y2" s="61"/>
      <c r="Z2" s="62"/>
      <c r="AA2" s="63"/>
      <c r="AB2" s="51"/>
      <c r="AC2" s="51"/>
      <c r="AD2" s="51"/>
      <c r="AE2" s="51"/>
      <c r="AF2" s="51"/>
      <c r="AG2" s="51"/>
      <c r="AH2" s="51"/>
    </row>
    <row r="3" spans="2:34" x14ac:dyDescent="0.25">
      <c r="B3" s="64"/>
      <c r="C3" s="57" t="s">
        <v>154</v>
      </c>
      <c r="D3" s="56"/>
      <c r="E3" s="132"/>
      <c r="F3" s="54"/>
      <c r="G3" s="58" t="s">
        <v>173</v>
      </c>
      <c r="H3" s="59" t="s">
        <v>178</v>
      </c>
      <c r="I3" s="59" t="s">
        <v>272</v>
      </c>
      <c r="J3" s="59" t="s">
        <v>273</v>
      </c>
      <c r="K3" s="59"/>
      <c r="L3" s="58">
        <v>1</v>
      </c>
      <c r="M3" s="59" t="s">
        <v>181</v>
      </c>
      <c r="N3" s="56"/>
      <c r="O3" s="57"/>
      <c r="P3" s="58"/>
      <c r="Q3" s="59"/>
      <c r="R3" s="59"/>
      <c r="S3" s="59"/>
      <c r="T3" s="59"/>
      <c r="U3" s="59"/>
      <c r="V3" s="59"/>
      <c r="W3" s="51"/>
      <c r="X3" s="47"/>
      <c r="Y3" s="61"/>
      <c r="Z3" s="62"/>
      <c r="AA3" s="63"/>
      <c r="AB3" s="51"/>
      <c r="AC3" s="51"/>
      <c r="AD3" s="51"/>
      <c r="AE3" s="51"/>
      <c r="AF3" s="51"/>
      <c r="AG3" s="51"/>
      <c r="AH3" s="51"/>
    </row>
    <row r="4" spans="2:34" x14ac:dyDescent="0.25">
      <c r="B4" s="127"/>
      <c r="C4" s="57" t="s">
        <v>168</v>
      </c>
      <c r="D4" s="56"/>
      <c r="E4" s="132"/>
      <c r="F4" s="54"/>
      <c r="G4" s="58" t="s">
        <v>171</v>
      </c>
      <c r="H4" s="59" t="s">
        <v>175</v>
      </c>
      <c r="I4" s="59" t="s">
        <v>276</v>
      </c>
      <c r="J4" s="59" t="s">
        <v>277</v>
      </c>
      <c r="K4" s="59"/>
      <c r="L4" s="58">
        <v>2</v>
      </c>
      <c r="M4" s="59" t="s">
        <v>182</v>
      </c>
      <c r="N4" s="56"/>
      <c r="O4" s="57"/>
      <c r="P4" s="58"/>
      <c r="Q4" s="59"/>
      <c r="R4" s="59"/>
      <c r="S4" s="59"/>
      <c r="T4" s="59"/>
      <c r="U4" s="59"/>
      <c r="V4" s="59"/>
      <c r="W4" s="51"/>
      <c r="X4" s="47"/>
      <c r="Y4" s="61"/>
      <c r="Z4" s="62"/>
      <c r="AA4" s="63"/>
      <c r="AB4" s="51"/>
      <c r="AC4" s="51"/>
      <c r="AD4" s="51"/>
      <c r="AE4" s="51"/>
      <c r="AF4" s="51"/>
      <c r="AG4" s="51"/>
      <c r="AH4" s="51"/>
    </row>
    <row r="5" spans="2:34" x14ac:dyDescent="0.25">
      <c r="B5" s="65"/>
      <c r="C5" s="57" t="s">
        <v>155</v>
      </c>
      <c r="D5" s="56"/>
      <c r="E5" s="132"/>
      <c r="F5" s="54"/>
      <c r="G5" s="58" t="s">
        <v>170</v>
      </c>
      <c r="H5" s="59" t="s">
        <v>174</v>
      </c>
      <c r="I5" s="59" t="s">
        <v>274</v>
      </c>
      <c r="J5" s="59" t="s">
        <v>275</v>
      </c>
      <c r="K5" s="59"/>
      <c r="L5" s="58">
        <v>3</v>
      </c>
      <c r="M5" s="59" t="s">
        <v>183</v>
      </c>
      <c r="N5" s="56"/>
      <c r="O5" s="57"/>
      <c r="P5" s="58"/>
      <c r="Q5" s="59"/>
      <c r="R5" s="59"/>
      <c r="S5" s="59"/>
      <c r="T5" s="59"/>
      <c r="U5" s="59"/>
      <c r="V5" s="59"/>
      <c r="W5" s="51"/>
      <c r="X5" s="47"/>
      <c r="Y5" s="61"/>
      <c r="Z5" s="62"/>
      <c r="AA5" s="63"/>
      <c r="AB5" s="51"/>
      <c r="AC5" s="51"/>
      <c r="AD5" s="51"/>
      <c r="AE5" s="51"/>
      <c r="AF5" s="51"/>
      <c r="AG5" s="51"/>
      <c r="AH5" s="51"/>
    </row>
    <row r="6" spans="2:34" ht="15" customHeight="1" x14ac:dyDescent="0.25">
      <c r="B6" s="143"/>
      <c r="C6" s="144" t="s">
        <v>312</v>
      </c>
      <c r="D6" s="66"/>
      <c r="E6" s="133"/>
      <c r="F6" s="54"/>
      <c r="G6" s="58" t="s">
        <v>172</v>
      </c>
      <c r="H6" s="59" t="s">
        <v>176</v>
      </c>
      <c r="I6" s="59" t="s">
        <v>278</v>
      </c>
      <c r="J6" s="59" t="s">
        <v>279</v>
      </c>
      <c r="K6" s="59"/>
      <c r="L6" s="58">
        <v>4</v>
      </c>
      <c r="M6" s="59" t="s">
        <v>184</v>
      </c>
      <c r="N6" s="56"/>
      <c r="O6" s="57"/>
      <c r="P6" s="58"/>
      <c r="Q6" s="59"/>
      <c r="R6" s="59"/>
      <c r="S6" s="59"/>
      <c r="T6" s="59"/>
      <c r="U6" s="66"/>
      <c r="V6" s="66"/>
      <c r="W6" s="66"/>
      <c r="X6" s="46"/>
      <c r="Y6" s="67"/>
      <c r="Z6" s="66"/>
      <c r="AA6" s="66"/>
      <c r="AB6" s="51"/>
      <c r="AC6" s="51"/>
      <c r="AD6" s="51"/>
      <c r="AE6" s="51"/>
      <c r="AF6" s="51"/>
      <c r="AG6" s="51"/>
      <c r="AH6" s="51"/>
    </row>
    <row r="7" spans="2:34" ht="15" customHeight="1" x14ac:dyDescent="0.25">
      <c r="D7" s="66"/>
      <c r="E7" s="133"/>
      <c r="F7" s="54"/>
      <c r="G7" s="58" t="s">
        <v>197</v>
      </c>
      <c r="H7" s="68" t="s">
        <v>198</v>
      </c>
      <c r="I7" s="68"/>
      <c r="J7" s="68"/>
      <c r="K7" s="68"/>
      <c r="L7" s="58"/>
      <c r="M7" s="59"/>
      <c r="N7" s="56"/>
      <c r="O7" s="57"/>
      <c r="P7" s="58"/>
      <c r="Q7" s="59"/>
      <c r="R7" s="59"/>
      <c r="S7" s="59"/>
      <c r="T7" s="59"/>
      <c r="U7" s="66"/>
      <c r="V7" s="66"/>
      <c r="W7" s="66"/>
      <c r="X7" s="46"/>
      <c r="Y7" s="67"/>
      <c r="Z7" s="66"/>
      <c r="AA7" s="66"/>
      <c r="AB7" s="51"/>
      <c r="AC7" s="51"/>
      <c r="AD7" s="51"/>
      <c r="AE7" s="51"/>
      <c r="AF7" s="51"/>
      <c r="AG7" s="51"/>
      <c r="AH7" s="51"/>
    </row>
    <row r="8" spans="2:34" ht="15" customHeight="1" x14ac:dyDescent="0.25">
      <c r="B8" s="66"/>
      <c r="C8" s="115"/>
      <c r="D8" s="66"/>
      <c r="E8" s="133"/>
      <c r="F8" s="54"/>
      <c r="G8" s="58" t="s">
        <v>265</v>
      </c>
      <c r="H8" s="68" t="s">
        <v>267</v>
      </c>
      <c r="I8" s="68"/>
      <c r="J8" s="68"/>
      <c r="K8" s="68"/>
      <c r="L8" s="58"/>
      <c r="M8" s="59"/>
      <c r="N8" s="56"/>
      <c r="O8" s="57"/>
      <c r="P8" s="58"/>
      <c r="Q8" s="59"/>
      <c r="R8" s="59"/>
      <c r="S8" s="59"/>
      <c r="T8" s="59"/>
      <c r="U8" s="66"/>
      <c r="V8" s="66"/>
      <c r="W8" s="66"/>
      <c r="X8" s="46"/>
      <c r="Y8" s="67"/>
      <c r="Z8" s="66"/>
      <c r="AA8" s="66"/>
      <c r="AB8" s="51"/>
      <c r="AC8" s="51"/>
      <c r="AD8" s="51"/>
      <c r="AE8" s="51"/>
      <c r="AF8" s="51"/>
      <c r="AG8" s="51"/>
      <c r="AH8" s="51"/>
    </row>
    <row r="9" spans="2:34" ht="15" customHeight="1" thickBot="1" x14ac:dyDescent="0.3">
      <c r="B9" s="66"/>
      <c r="C9" s="115"/>
      <c r="D9" s="66"/>
      <c r="E9" s="133"/>
      <c r="F9" s="54"/>
      <c r="G9" s="58" t="s">
        <v>281</v>
      </c>
      <c r="H9" s="68" t="s">
        <v>282</v>
      </c>
      <c r="I9" s="68"/>
      <c r="J9" s="68"/>
      <c r="K9" s="68"/>
      <c r="L9" s="58"/>
      <c r="M9" s="59"/>
      <c r="N9" s="56"/>
      <c r="O9" s="57"/>
      <c r="P9" s="58"/>
      <c r="Q9" s="59"/>
      <c r="R9" s="59"/>
      <c r="S9" s="59"/>
      <c r="T9" s="59"/>
      <c r="U9" s="66"/>
      <c r="V9" s="66"/>
      <c r="W9" s="66"/>
      <c r="X9" s="46"/>
      <c r="Y9" s="67"/>
      <c r="Z9" s="66"/>
      <c r="AA9" s="66"/>
      <c r="AB9" s="51"/>
      <c r="AC9" s="51"/>
      <c r="AD9" s="51"/>
      <c r="AE9" s="51"/>
      <c r="AF9" s="51"/>
      <c r="AG9" s="51"/>
      <c r="AH9" s="51"/>
    </row>
    <row r="10" spans="2:34" s="5" customFormat="1" ht="15.75" thickBot="1" x14ac:dyDescent="0.3">
      <c r="B10" s="172" t="s">
        <v>56</v>
      </c>
      <c r="C10" s="173"/>
      <c r="D10" s="173"/>
      <c r="E10" s="173"/>
      <c r="F10" s="185" t="s">
        <v>55</v>
      </c>
      <c r="G10" s="186"/>
      <c r="H10" s="186"/>
      <c r="I10" s="186"/>
      <c r="J10" s="186"/>
      <c r="K10" s="187"/>
      <c r="L10" s="185" t="s">
        <v>49</v>
      </c>
      <c r="M10" s="186"/>
      <c r="N10" s="186"/>
      <c r="O10" s="186"/>
      <c r="P10" s="186"/>
      <c r="Q10" s="186"/>
      <c r="R10" s="186"/>
      <c r="S10" s="187"/>
      <c r="T10" s="185" t="s">
        <v>187</v>
      </c>
      <c r="U10" s="186"/>
      <c r="V10" s="186"/>
      <c r="W10" s="186"/>
      <c r="X10" s="186"/>
      <c r="Y10" s="187"/>
      <c r="Z10" s="69"/>
      <c r="AA10" s="69"/>
      <c r="AB10" s="69"/>
      <c r="AC10" s="69"/>
      <c r="AD10" s="69"/>
      <c r="AE10" s="69"/>
    </row>
    <row r="11" spans="2:34" s="12" customFormat="1" ht="30" customHeight="1" x14ac:dyDescent="0.25">
      <c r="B11" s="181" t="s">
        <v>0</v>
      </c>
      <c r="C11" s="181" t="s">
        <v>48</v>
      </c>
      <c r="D11" s="181" t="s">
        <v>1</v>
      </c>
      <c r="E11" s="189" t="s">
        <v>2</v>
      </c>
      <c r="F11" s="197" t="s">
        <v>158</v>
      </c>
      <c r="G11" s="174" t="s">
        <v>186</v>
      </c>
      <c r="H11" s="16" t="s">
        <v>156</v>
      </c>
      <c r="I11" s="22" t="s">
        <v>156</v>
      </c>
      <c r="J11" s="193" t="s">
        <v>193</v>
      </c>
      <c r="K11" s="195" t="s">
        <v>194</v>
      </c>
      <c r="L11" s="178" t="s">
        <v>50</v>
      </c>
      <c r="M11" s="179"/>
      <c r="N11" s="43" t="s">
        <v>32</v>
      </c>
      <c r="O11" s="178" t="s">
        <v>33</v>
      </c>
      <c r="P11" s="180"/>
      <c r="Q11" s="179"/>
      <c r="R11" s="183" t="s">
        <v>51</v>
      </c>
      <c r="S11" s="184"/>
      <c r="T11" s="178" t="s">
        <v>187</v>
      </c>
      <c r="U11" s="179"/>
      <c r="V11" s="176" t="s">
        <v>66</v>
      </c>
      <c r="W11" s="178" t="s">
        <v>3</v>
      </c>
      <c r="X11" s="179"/>
      <c r="Y11" s="176" t="s">
        <v>43</v>
      </c>
    </row>
    <row r="12" spans="2:34" s="12" customFormat="1" ht="45.75" thickBot="1" x14ac:dyDescent="0.3">
      <c r="B12" s="182"/>
      <c r="C12" s="188"/>
      <c r="D12" s="188"/>
      <c r="E12" s="190"/>
      <c r="F12" s="198"/>
      <c r="G12" s="175"/>
      <c r="H12" s="17" t="s">
        <v>38</v>
      </c>
      <c r="I12" s="21" t="s">
        <v>4</v>
      </c>
      <c r="J12" s="194"/>
      <c r="K12" s="196"/>
      <c r="L12" s="37" t="s">
        <v>59</v>
      </c>
      <c r="M12" s="38" t="s">
        <v>53</v>
      </c>
      <c r="N12" s="18" t="s">
        <v>53</v>
      </c>
      <c r="O12" s="19" t="s">
        <v>34</v>
      </c>
      <c r="P12" s="20" t="s">
        <v>35</v>
      </c>
      <c r="Q12" s="38" t="s">
        <v>54</v>
      </c>
      <c r="R12" s="37" t="s">
        <v>34</v>
      </c>
      <c r="S12" s="39" t="s">
        <v>52</v>
      </c>
      <c r="T12" s="19" t="s">
        <v>195</v>
      </c>
      <c r="U12" s="38" t="s">
        <v>157</v>
      </c>
      <c r="V12" s="177"/>
      <c r="W12" s="23" t="s">
        <v>65</v>
      </c>
      <c r="X12" s="35" t="s">
        <v>152</v>
      </c>
      <c r="Y12" s="177"/>
    </row>
    <row r="13" spans="2:34" ht="30" x14ac:dyDescent="0.25">
      <c r="B13" s="70">
        <v>1</v>
      </c>
      <c r="C13" s="116" t="s">
        <v>44</v>
      </c>
      <c r="D13" s="11" t="s">
        <v>68</v>
      </c>
      <c r="E13" s="73" t="s">
        <v>202</v>
      </c>
      <c r="F13" s="141" t="s">
        <v>162</v>
      </c>
      <c r="G13" s="75" t="s">
        <v>57</v>
      </c>
      <c r="H13" s="76" t="s">
        <v>39</v>
      </c>
      <c r="I13" s="77" t="str">
        <f t="shared" ref="I13:I77" si="0">IF(W13&gt;0,IF(X13-W13&gt;0,"I","R"),"R")</f>
        <v>R</v>
      </c>
      <c r="J13" s="78">
        <v>2</v>
      </c>
      <c r="K13" s="79">
        <v>0</v>
      </c>
      <c r="L13" s="80" t="s">
        <v>28</v>
      </c>
      <c r="M13" s="81">
        <v>3</v>
      </c>
      <c r="N13" s="82">
        <v>5</v>
      </c>
      <c r="O13" s="80"/>
      <c r="P13" s="44"/>
      <c r="Q13" s="81"/>
      <c r="R13" s="74" t="s">
        <v>28</v>
      </c>
      <c r="S13" s="83">
        <v>5</v>
      </c>
      <c r="T13" s="84">
        <v>0.20833333333333334</v>
      </c>
      <c r="U13" s="42">
        <v>0.20833333333333334</v>
      </c>
      <c r="V13" s="85">
        <v>3.472222222222222E-3</v>
      </c>
      <c r="W13" s="86"/>
      <c r="X13" s="87">
        <f>IF(K13=0,0,IF(K13=1,W13+$Y$13,IF(K13=2,W13+$Y$14,IF(K13=3,W13+$Y$15,IF(K13=4,W13+$Y$16,0)))))</f>
        <v>0</v>
      </c>
      <c r="Y13" s="162">
        <v>0.25</v>
      </c>
      <c r="Z13" s="51"/>
      <c r="AA13" s="51"/>
      <c r="AB13" s="51"/>
      <c r="AC13" s="51"/>
      <c r="AD13" s="51"/>
      <c r="AE13" s="51"/>
    </row>
    <row r="14" spans="2:34" ht="30" x14ac:dyDescent="0.25">
      <c r="B14" s="7">
        <v>2</v>
      </c>
      <c r="C14" s="88" t="s">
        <v>283</v>
      </c>
      <c r="D14" s="72" t="s">
        <v>69</v>
      </c>
      <c r="E14" s="73" t="s">
        <v>239</v>
      </c>
      <c r="F14" s="141" t="s">
        <v>313</v>
      </c>
      <c r="G14" s="75" t="s">
        <v>57</v>
      </c>
      <c r="H14" s="76" t="s">
        <v>39</v>
      </c>
      <c r="I14" s="77" t="str">
        <f t="shared" si="0"/>
        <v>R</v>
      </c>
      <c r="J14" s="78">
        <v>3</v>
      </c>
      <c r="K14" s="79">
        <v>0</v>
      </c>
      <c r="L14" s="80" t="s">
        <v>28</v>
      </c>
      <c r="M14" s="81">
        <v>5</v>
      </c>
      <c r="N14" s="82">
        <v>8</v>
      </c>
      <c r="O14" s="80"/>
      <c r="P14" s="44"/>
      <c r="Q14" s="81"/>
      <c r="R14" s="74" t="s">
        <v>28</v>
      </c>
      <c r="S14" s="83">
        <v>7</v>
      </c>
      <c r="T14" s="84">
        <f t="shared" ref="T14" si="1">T13+V13</f>
        <v>0.21180555555555555</v>
      </c>
      <c r="U14" s="42">
        <v>0.20833333333333334</v>
      </c>
      <c r="V14" s="85">
        <v>0.14583333333333334</v>
      </c>
      <c r="W14" s="86"/>
      <c r="X14" s="87">
        <f t="shared" ref="X14:X78" si="2">IF(K14=0,0,IF(K14=1,W14+$Y$13,IF(K14=2,W14+$Y$14,IF(K14=3,W14+$Y$15,IF(K14=4,W14+$Y$16,0)))))</f>
        <v>0</v>
      </c>
      <c r="Y14" s="162">
        <v>0.5</v>
      </c>
      <c r="Z14" s="51"/>
      <c r="AA14" s="51"/>
      <c r="AB14" s="51"/>
      <c r="AC14" s="51"/>
      <c r="AD14" s="51"/>
      <c r="AE14" s="51"/>
    </row>
    <row r="15" spans="2:34" ht="30" x14ac:dyDescent="0.25">
      <c r="B15" s="7">
        <v>3</v>
      </c>
      <c r="C15" s="117" t="s">
        <v>262</v>
      </c>
      <c r="D15" s="72" t="s">
        <v>259</v>
      </c>
      <c r="E15" s="73" t="s">
        <v>61</v>
      </c>
      <c r="F15" s="141" t="s">
        <v>165</v>
      </c>
      <c r="G15" s="75" t="s">
        <v>57</v>
      </c>
      <c r="H15" s="76" t="s">
        <v>39</v>
      </c>
      <c r="I15" s="77" t="str">
        <f t="shared" si="0"/>
        <v>R</v>
      </c>
      <c r="J15" s="78">
        <v>3</v>
      </c>
      <c r="K15" s="79">
        <v>0</v>
      </c>
      <c r="L15" s="80" t="s">
        <v>28</v>
      </c>
      <c r="M15" s="81">
        <v>5</v>
      </c>
      <c r="N15" s="82">
        <v>8</v>
      </c>
      <c r="O15" s="80" t="s">
        <v>28</v>
      </c>
      <c r="P15" s="44">
        <v>1</v>
      </c>
      <c r="Q15" s="81">
        <v>8</v>
      </c>
      <c r="R15" s="74" t="s">
        <v>28</v>
      </c>
      <c r="S15" s="83">
        <v>7</v>
      </c>
      <c r="T15" s="84">
        <v>0.21388888888888891</v>
      </c>
      <c r="U15" s="42" t="s">
        <v>190</v>
      </c>
      <c r="V15" s="85">
        <v>2.0833333333333333E-3</v>
      </c>
      <c r="W15" s="86"/>
      <c r="X15" s="87">
        <f t="shared" si="2"/>
        <v>0</v>
      </c>
      <c r="Y15" s="162">
        <v>0.99930555555555556</v>
      </c>
      <c r="Z15" s="51"/>
      <c r="AA15" s="51"/>
      <c r="AB15" s="51"/>
      <c r="AC15" s="51"/>
      <c r="AD15" s="51"/>
      <c r="AE15" s="51"/>
    </row>
    <row r="16" spans="2:34" ht="15.75" thickBot="1" x14ac:dyDescent="0.3">
      <c r="B16" s="7">
        <v>4</v>
      </c>
      <c r="C16" s="71" t="s">
        <v>46</v>
      </c>
      <c r="D16" s="72" t="s">
        <v>70</v>
      </c>
      <c r="E16" s="73" t="s">
        <v>269</v>
      </c>
      <c r="F16" s="141" t="s">
        <v>160</v>
      </c>
      <c r="G16" s="75" t="s">
        <v>249</v>
      </c>
      <c r="H16" s="76" t="s">
        <v>38</v>
      </c>
      <c r="I16" s="77" t="str">
        <f t="shared" si="0"/>
        <v>R</v>
      </c>
      <c r="J16" s="78">
        <v>-1</v>
      </c>
      <c r="K16" s="79">
        <v>3</v>
      </c>
      <c r="L16" s="80" t="s">
        <v>28</v>
      </c>
      <c r="M16" s="81">
        <v>5</v>
      </c>
      <c r="N16" s="82">
        <v>8</v>
      </c>
      <c r="O16" s="80"/>
      <c r="P16" s="44"/>
      <c r="Q16" s="81"/>
      <c r="R16" s="74" t="s">
        <v>28</v>
      </c>
      <c r="S16" s="83">
        <v>8</v>
      </c>
      <c r="T16" s="84">
        <v>0.22916666666666666</v>
      </c>
      <c r="U16" s="42">
        <v>0.22916666666666666</v>
      </c>
      <c r="V16" s="85">
        <v>2.0833333333333332E-2</v>
      </c>
      <c r="W16" s="86"/>
      <c r="X16" s="87">
        <f t="shared" si="2"/>
        <v>0.99930555555555556</v>
      </c>
      <c r="Y16" s="163">
        <v>7</v>
      </c>
      <c r="Z16" s="51"/>
      <c r="AA16" s="51"/>
      <c r="AB16" s="51"/>
      <c r="AC16" s="51"/>
      <c r="AD16" s="51"/>
      <c r="AE16" s="51"/>
    </row>
    <row r="17" spans="2:31" ht="30" x14ac:dyDescent="0.25">
      <c r="B17" s="7">
        <v>5</v>
      </c>
      <c r="C17" s="71" t="s">
        <v>44</v>
      </c>
      <c r="D17" s="72" t="s">
        <v>71</v>
      </c>
      <c r="E17" s="73" t="s">
        <v>17</v>
      </c>
      <c r="F17" s="141" t="s">
        <v>162</v>
      </c>
      <c r="G17" s="75" t="s">
        <v>57</v>
      </c>
      <c r="H17" s="76" t="s">
        <v>38</v>
      </c>
      <c r="I17" s="77" t="str">
        <f t="shared" si="0"/>
        <v>R</v>
      </c>
      <c r="J17" s="78">
        <v>3</v>
      </c>
      <c r="K17" s="79">
        <v>0</v>
      </c>
      <c r="L17" s="80" t="s">
        <v>28</v>
      </c>
      <c r="M17" s="81">
        <v>2</v>
      </c>
      <c r="N17" s="82">
        <v>10</v>
      </c>
      <c r="O17" s="80" t="s">
        <v>28</v>
      </c>
      <c r="P17" s="44">
        <v>1</v>
      </c>
      <c r="Q17" s="81">
        <v>5</v>
      </c>
      <c r="R17" s="74" t="s">
        <v>28</v>
      </c>
      <c r="S17" s="83">
        <v>3</v>
      </c>
      <c r="T17" s="84">
        <v>0.22916666666666666</v>
      </c>
      <c r="U17" s="42">
        <v>0.22916666666666666</v>
      </c>
      <c r="V17" s="85">
        <v>2.7777777777777779E-3</v>
      </c>
      <c r="W17" s="86"/>
      <c r="X17" s="87">
        <f t="shared" si="2"/>
        <v>0</v>
      </c>
      <c r="Y17" s="63"/>
      <c r="Z17" s="51"/>
      <c r="AA17" s="51"/>
      <c r="AB17" s="51"/>
      <c r="AC17" s="51"/>
      <c r="AD17" s="51"/>
      <c r="AE17" s="51"/>
    </row>
    <row r="18" spans="2:31" ht="30" customHeight="1" x14ac:dyDescent="0.25">
      <c r="B18" s="7">
        <v>6</v>
      </c>
      <c r="C18" s="71" t="s">
        <v>44</v>
      </c>
      <c r="D18" s="72" t="s">
        <v>72</v>
      </c>
      <c r="E18" s="73" t="s">
        <v>18</v>
      </c>
      <c r="F18" s="141" t="s">
        <v>163</v>
      </c>
      <c r="G18" s="75" t="s">
        <v>57</v>
      </c>
      <c r="H18" s="76" t="s">
        <v>38</v>
      </c>
      <c r="I18" s="77" t="str">
        <f t="shared" si="0"/>
        <v>R</v>
      </c>
      <c r="J18" s="78">
        <v>3</v>
      </c>
      <c r="K18" s="79">
        <v>0</v>
      </c>
      <c r="L18" s="80" t="s">
        <v>28</v>
      </c>
      <c r="M18" s="81">
        <v>2</v>
      </c>
      <c r="N18" s="82">
        <v>10</v>
      </c>
      <c r="O18" s="80" t="s">
        <v>28</v>
      </c>
      <c r="P18" s="44">
        <v>1</v>
      </c>
      <c r="Q18" s="81">
        <v>5</v>
      </c>
      <c r="R18" s="74" t="s">
        <v>28</v>
      </c>
      <c r="S18" s="83">
        <v>3</v>
      </c>
      <c r="T18" s="84">
        <f>T17+V17</f>
        <v>0.23194444444444443</v>
      </c>
      <c r="U18" s="199" t="s">
        <v>254</v>
      </c>
      <c r="V18" s="85">
        <v>3.472222222222222E-3</v>
      </c>
      <c r="W18" s="86"/>
      <c r="X18" s="87">
        <f t="shared" si="2"/>
        <v>0</v>
      </c>
      <c r="Y18" s="63"/>
      <c r="Z18" s="51"/>
      <c r="AA18" s="51"/>
      <c r="AB18" s="51"/>
      <c r="AC18" s="51"/>
      <c r="AD18" s="51"/>
      <c r="AE18" s="51"/>
    </row>
    <row r="19" spans="2:31" x14ac:dyDescent="0.25">
      <c r="B19" s="7">
        <v>7</v>
      </c>
      <c r="C19" s="71" t="s">
        <v>44</v>
      </c>
      <c r="D19" s="72" t="s">
        <v>73</v>
      </c>
      <c r="E19" s="73" t="s">
        <v>203</v>
      </c>
      <c r="F19" s="141" t="s">
        <v>243</v>
      </c>
      <c r="G19" s="75" t="s">
        <v>57</v>
      </c>
      <c r="H19" s="76" t="s">
        <v>38</v>
      </c>
      <c r="I19" s="77" t="str">
        <f t="shared" si="0"/>
        <v>R</v>
      </c>
      <c r="J19" s="78">
        <v>3</v>
      </c>
      <c r="K19" s="79">
        <v>0</v>
      </c>
      <c r="L19" s="80" t="s">
        <v>28</v>
      </c>
      <c r="M19" s="81">
        <v>2</v>
      </c>
      <c r="N19" s="82">
        <v>10</v>
      </c>
      <c r="O19" s="80" t="s">
        <v>28</v>
      </c>
      <c r="P19" s="44">
        <v>1</v>
      </c>
      <c r="Q19" s="81">
        <v>5</v>
      </c>
      <c r="R19" s="74" t="s">
        <v>28</v>
      </c>
      <c r="S19" s="83">
        <v>3</v>
      </c>
      <c r="T19" s="84">
        <f t="shared" ref="T19:T49" si="3">T18+V18</f>
        <v>0.23541666666666664</v>
      </c>
      <c r="U19" s="200"/>
      <c r="V19" s="85">
        <v>4.8611111111111112E-3</v>
      </c>
      <c r="W19" s="86"/>
      <c r="X19" s="87">
        <f t="shared" si="2"/>
        <v>0</v>
      </c>
      <c r="Y19" s="63"/>
      <c r="Z19" s="51"/>
      <c r="AA19" s="51"/>
      <c r="AB19" s="51"/>
      <c r="AC19" s="51"/>
      <c r="AD19" s="51"/>
      <c r="AE19" s="51"/>
    </row>
    <row r="20" spans="2:31" x14ac:dyDescent="0.25">
      <c r="B20" s="7">
        <v>8</v>
      </c>
      <c r="C20" s="71" t="s">
        <v>44</v>
      </c>
      <c r="D20" s="72" t="s">
        <v>74</v>
      </c>
      <c r="E20" s="73" t="s">
        <v>284</v>
      </c>
      <c r="F20" s="141" t="s">
        <v>248</v>
      </c>
      <c r="G20" s="75" t="s">
        <v>57</v>
      </c>
      <c r="H20" s="76" t="s">
        <v>38</v>
      </c>
      <c r="I20" s="77" t="str">
        <f t="shared" si="0"/>
        <v>R</v>
      </c>
      <c r="J20" s="78">
        <v>3</v>
      </c>
      <c r="K20" s="79">
        <v>0</v>
      </c>
      <c r="L20" s="80" t="s">
        <v>28</v>
      </c>
      <c r="M20" s="81">
        <v>2</v>
      </c>
      <c r="N20" s="82">
        <v>10</v>
      </c>
      <c r="O20" s="80" t="s">
        <v>28</v>
      </c>
      <c r="P20" s="44">
        <v>1</v>
      </c>
      <c r="Q20" s="81">
        <v>5</v>
      </c>
      <c r="R20" s="74" t="s">
        <v>28</v>
      </c>
      <c r="S20" s="83">
        <v>3</v>
      </c>
      <c r="T20" s="84">
        <f t="shared" si="3"/>
        <v>0.24027777777777776</v>
      </c>
      <c r="U20" s="200"/>
      <c r="V20" s="85">
        <v>1.3888888888888889E-3</v>
      </c>
      <c r="W20" s="86"/>
      <c r="X20" s="87">
        <f t="shared" si="2"/>
        <v>0</v>
      </c>
      <c r="Y20" s="63"/>
      <c r="Z20" s="51"/>
      <c r="AA20" s="51"/>
      <c r="AB20" s="51"/>
      <c r="AC20" s="51"/>
      <c r="AD20" s="51"/>
      <c r="AE20" s="51"/>
    </row>
    <row r="21" spans="2:31" ht="15" customHeight="1" x14ac:dyDescent="0.25">
      <c r="B21" s="7">
        <v>9</v>
      </c>
      <c r="C21" s="71" t="s">
        <v>44</v>
      </c>
      <c r="D21" s="72" t="s">
        <v>75</v>
      </c>
      <c r="E21" s="73" t="s">
        <v>204</v>
      </c>
      <c r="F21" s="141" t="s">
        <v>159</v>
      </c>
      <c r="G21" s="75" t="s">
        <v>57</v>
      </c>
      <c r="H21" s="76" t="s">
        <v>38</v>
      </c>
      <c r="I21" s="77" t="str">
        <f t="shared" si="0"/>
        <v>R</v>
      </c>
      <c r="J21" s="78">
        <v>3</v>
      </c>
      <c r="K21" s="79">
        <v>0</v>
      </c>
      <c r="L21" s="80" t="s">
        <v>28</v>
      </c>
      <c r="M21" s="81">
        <v>2</v>
      </c>
      <c r="N21" s="82">
        <v>10</v>
      </c>
      <c r="O21" s="80" t="s">
        <v>28</v>
      </c>
      <c r="P21" s="44">
        <v>1</v>
      </c>
      <c r="Q21" s="81">
        <v>5</v>
      </c>
      <c r="R21" s="74" t="s">
        <v>28</v>
      </c>
      <c r="S21" s="83">
        <v>3</v>
      </c>
      <c r="T21" s="84">
        <f t="shared" si="3"/>
        <v>0.24166666666666664</v>
      </c>
      <c r="U21" s="200"/>
      <c r="V21" s="85">
        <v>4.1666666666666666E-3</v>
      </c>
      <c r="W21" s="86"/>
      <c r="X21" s="87">
        <f t="shared" si="2"/>
        <v>0</v>
      </c>
      <c r="Y21" s="63"/>
      <c r="Z21" s="51"/>
      <c r="AA21" s="51"/>
      <c r="AB21" s="51"/>
      <c r="AC21" s="51"/>
      <c r="AD21" s="51"/>
      <c r="AE21" s="51"/>
    </row>
    <row r="22" spans="2:31" x14ac:dyDescent="0.25">
      <c r="B22" s="7">
        <v>10</v>
      </c>
      <c r="C22" s="71" t="s">
        <v>44</v>
      </c>
      <c r="D22" s="72" t="s">
        <v>76</v>
      </c>
      <c r="E22" s="73" t="s">
        <v>205</v>
      </c>
      <c r="F22" s="141" t="s">
        <v>242</v>
      </c>
      <c r="G22" s="75" t="s">
        <v>57</v>
      </c>
      <c r="H22" s="76" t="s">
        <v>38</v>
      </c>
      <c r="I22" s="77" t="str">
        <f t="shared" si="0"/>
        <v>R</v>
      </c>
      <c r="J22" s="78">
        <v>3</v>
      </c>
      <c r="K22" s="79">
        <v>0</v>
      </c>
      <c r="L22" s="80" t="s">
        <v>28</v>
      </c>
      <c r="M22" s="81">
        <v>2</v>
      </c>
      <c r="N22" s="82">
        <v>10</v>
      </c>
      <c r="O22" s="80" t="s">
        <v>28</v>
      </c>
      <c r="P22" s="44">
        <v>1</v>
      </c>
      <c r="Q22" s="81">
        <v>5</v>
      </c>
      <c r="R22" s="74" t="s">
        <v>28</v>
      </c>
      <c r="S22" s="83">
        <v>3</v>
      </c>
      <c r="T22" s="84">
        <f t="shared" si="3"/>
        <v>0.24583333333333332</v>
      </c>
      <c r="U22" s="200"/>
      <c r="V22" s="85">
        <v>2.0833333333333333E-3</v>
      </c>
      <c r="W22" s="86"/>
      <c r="X22" s="87">
        <f t="shared" si="2"/>
        <v>0</v>
      </c>
      <c r="Y22" s="63"/>
      <c r="Z22" s="51"/>
      <c r="AA22" s="51"/>
      <c r="AB22" s="51"/>
      <c r="AC22" s="51"/>
      <c r="AD22" s="51"/>
      <c r="AE22" s="51"/>
    </row>
    <row r="23" spans="2:31" ht="15" customHeight="1" x14ac:dyDescent="0.25">
      <c r="B23" s="7">
        <v>11</v>
      </c>
      <c r="C23" s="71" t="s">
        <v>44</v>
      </c>
      <c r="D23" s="72" t="s">
        <v>77</v>
      </c>
      <c r="E23" s="73" t="s">
        <v>6</v>
      </c>
      <c r="F23" s="141" t="s">
        <v>164</v>
      </c>
      <c r="G23" s="75" t="s">
        <v>57</v>
      </c>
      <c r="H23" s="76" t="s">
        <v>38</v>
      </c>
      <c r="I23" s="77" t="str">
        <f t="shared" si="0"/>
        <v>R</v>
      </c>
      <c r="J23" s="78">
        <v>3</v>
      </c>
      <c r="K23" s="79">
        <v>0</v>
      </c>
      <c r="L23" s="80" t="s">
        <v>28</v>
      </c>
      <c r="M23" s="81">
        <v>2</v>
      </c>
      <c r="N23" s="82">
        <v>10</v>
      </c>
      <c r="O23" s="80" t="s">
        <v>28</v>
      </c>
      <c r="P23" s="44">
        <v>1</v>
      </c>
      <c r="Q23" s="81">
        <v>5</v>
      </c>
      <c r="R23" s="74" t="s">
        <v>28</v>
      </c>
      <c r="S23" s="83">
        <v>3</v>
      </c>
      <c r="T23" s="84">
        <f t="shared" si="3"/>
        <v>0.24791666666666665</v>
      </c>
      <c r="U23" s="200"/>
      <c r="V23" s="85">
        <v>5.5555555555555558E-3</v>
      </c>
      <c r="W23" s="86"/>
      <c r="X23" s="87">
        <f t="shared" si="2"/>
        <v>0</v>
      </c>
      <c r="Y23" s="63"/>
      <c r="Z23" s="51"/>
      <c r="AA23" s="51"/>
      <c r="AB23" s="51"/>
      <c r="AC23" s="51"/>
      <c r="AD23" s="51"/>
      <c r="AE23" s="51"/>
    </row>
    <row r="24" spans="2:31" ht="15" customHeight="1" x14ac:dyDescent="0.25">
      <c r="B24" s="7">
        <v>12</v>
      </c>
      <c r="C24" s="71" t="s">
        <v>44</v>
      </c>
      <c r="D24" s="72" t="s">
        <v>78</v>
      </c>
      <c r="E24" s="73" t="s">
        <v>285</v>
      </c>
      <c r="F24" s="141" t="s">
        <v>289</v>
      </c>
      <c r="G24" s="75" t="s">
        <v>57</v>
      </c>
      <c r="H24" s="76" t="s">
        <v>38</v>
      </c>
      <c r="I24" s="77" t="str">
        <f t="shared" si="0"/>
        <v>R</v>
      </c>
      <c r="J24" s="78">
        <v>3</v>
      </c>
      <c r="K24" s="79">
        <v>0</v>
      </c>
      <c r="L24" s="80" t="s">
        <v>28</v>
      </c>
      <c r="M24" s="81">
        <v>2</v>
      </c>
      <c r="N24" s="82">
        <v>10</v>
      </c>
      <c r="O24" s="80" t="s">
        <v>28</v>
      </c>
      <c r="P24" s="130">
        <v>1</v>
      </c>
      <c r="Q24" s="81">
        <v>5</v>
      </c>
      <c r="R24" s="74" t="s">
        <v>28</v>
      </c>
      <c r="S24" s="83">
        <v>3</v>
      </c>
      <c r="T24" s="84">
        <f t="shared" si="3"/>
        <v>0.25347222222222221</v>
      </c>
      <c r="U24" s="200"/>
      <c r="V24" s="85">
        <v>4.1666666666666666E-3</v>
      </c>
      <c r="W24" s="86"/>
      <c r="X24" s="87">
        <f t="shared" si="2"/>
        <v>0</v>
      </c>
      <c r="Y24" s="63"/>
      <c r="Z24" s="51"/>
      <c r="AA24" s="51"/>
      <c r="AB24" s="51"/>
      <c r="AC24" s="51"/>
      <c r="AD24" s="51"/>
      <c r="AE24" s="51"/>
    </row>
    <row r="25" spans="2:31" x14ac:dyDescent="0.25">
      <c r="B25" s="7">
        <v>13</v>
      </c>
      <c r="C25" s="71" t="s">
        <v>44</v>
      </c>
      <c r="D25" s="72" t="s">
        <v>79</v>
      </c>
      <c r="E25" s="73" t="s">
        <v>7</v>
      </c>
      <c r="F25" s="141" t="s">
        <v>160</v>
      </c>
      <c r="G25" s="75" t="s">
        <v>57</v>
      </c>
      <c r="H25" s="76" t="s">
        <v>38</v>
      </c>
      <c r="I25" s="77" t="str">
        <f t="shared" si="0"/>
        <v>R</v>
      </c>
      <c r="J25" s="78">
        <v>3</v>
      </c>
      <c r="K25" s="79">
        <v>0</v>
      </c>
      <c r="L25" s="80" t="s">
        <v>28</v>
      </c>
      <c r="M25" s="81">
        <v>2</v>
      </c>
      <c r="N25" s="82">
        <v>10</v>
      </c>
      <c r="O25" s="80" t="s">
        <v>28</v>
      </c>
      <c r="P25" s="44">
        <v>1</v>
      </c>
      <c r="Q25" s="81">
        <v>5</v>
      </c>
      <c r="R25" s="74" t="s">
        <v>28</v>
      </c>
      <c r="S25" s="83">
        <v>3</v>
      </c>
      <c r="T25" s="84">
        <f t="shared" si="3"/>
        <v>0.25763888888888886</v>
      </c>
      <c r="U25" s="200"/>
      <c r="V25" s="85">
        <v>1.8750000000000001E-3</v>
      </c>
      <c r="W25" s="86"/>
      <c r="X25" s="87">
        <f t="shared" si="2"/>
        <v>0</v>
      </c>
      <c r="Y25" s="63"/>
      <c r="Z25" s="51"/>
      <c r="AA25" s="51"/>
      <c r="AB25" s="51"/>
      <c r="AC25" s="51"/>
      <c r="AD25" s="51"/>
      <c r="AE25" s="51"/>
    </row>
    <row r="26" spans="2:31" s="33" customFormat="1" x14ac:dyDescent="0.25">
      <c r="B26" s="7">
        <v>14</v>
      </c>
      <c r="C26" s="71" t="s">
        <v>44</v>
      </c>
      <c r="D26" s="72" t="s">
        <v>314</v>
      </c>
      <c r="E26" s="73" t="s">
        <v>315</v>
      </c>
      <c r="F26" s="141" t="s">
        <v>161</v>
      </c>
      <c r="G26" s="75" t="s">
        <v>57</v>
      </c>
      <c r="H26" s="76" t="s">
        <v>38</v>
      </c>
      <c r="I26" s="77" t="str">
        <f t="shared" si="0"/>
        <v>R</v>
      </c>
      <c r="J26" s="164">
        <v>3</v>
      </c>
      <c r="K26" s="79">
        <v>0</v>
      </c>
      <c r="L26" s="80" t="s">
        <v>28</v>
      </c>
      <c r="M26" s="81">
        <v>2</v>
      </c>
      <c r="N26" s="82">
        <v>10</v>
      </c>
      <c r="O26" s="80" t="s">
        <v>28</v>
      </c>
      <c r="P26" s="130">
        <v>1</v>
      </c>
      <c r="Q26" s="81">
        <v>5</v>
      </c>
      <c r="R26" s="74" t="s">
        <v>28</v>
      </c>
      <c r="S26" s="83">
        <v>3</v>
      </c>
      <c r="T26" s="84">
        <f t="shared" si="3"/>
        <v>0.25951388888888888</v>
      </c>
      <c r="U26" s="200"/>
      <c r="V26" s="85">
        <v>6.9444444444444441E-3</v>
      </c>
      <c r="W26" s="86"/>
      <c r="X26" s="87">
        <f t="shared" si="2"/>
        <v>0</v>
      </c>
      <c r="Y26" s="63"/>
      <c r="Z26" s="63"/>
      <c r="AA26" s="63"/>
      <c r="AB26" s="63"/>
      <c r="AC26" s="63"/>
      <c r="AD26" s="63"/>
      <c r="AE26" s="63"/>
    </row>
    <row r="27" spans="2:31" ht="30" x14ac:dyDescent="0.25">
      <c r="B27" s="7">
        <v>15</v>
      </c>
      <c r="C27" s="118" t="s">
        <v>149</v>
      </c>
      <c r="D27" s="72" t="s">
        <v>80</v>
      </c>
      <c r="E27" s="73" t="s">
        <v>19</v>
      </c>
      <c r="F27" s="141" t="s">
        <v>162</v>
      </c>
      <c r="G27" s="75" t="s">
        <v>57</v>
      </c>
      <c r="H27" s="76" t="s">
        <v>40</v>
      </c>
      <c r="I27" s="77" t="str">
        <f t="shared" si="0"/>
        <v>R</v>
      </c>
      <c r="J27" s="78">
        <v>2</v>
      </c>
      <c r="K27" s="79">
        <v>0</v>
      </c>
      <c r="L27" s="80" t="s">
        <v>28</v>
      </c>
      <c r="M27" s="81">
        <v>4</v>
      </c>
      <c r="N27" s="82">
        <v>10</v>
      </c>
      <c r="O27" s="80" t="s">
        <v>28</v>
      </c>
      <c r="P27" s="44">
        <v>1</v>
      </c>
      <c r="Q27" s="81">
        <v>5</v>
      </c>
      <c r="R27" s="74" t="s">
        <v>28</v>
      </c>
      <c r="S27" s="83">
        <v>5</v>
      </c>
      <c r="T27" s="84">
        <f t="shared" si="3"/>
        <v>0.2664583333333333</v>
      </c>
      <c r="U27" s="200"/>
      <c r="V27" s="85">
        <v>2.7777777777777779E-3</v>
      </c>
      <c r="W27" s="86"/>
      <c r="X27" s="87">
        <f t="shared" si="2"/>
        <v>0</v>
      </c>
      <c r="Y27" s="63"/>
      <c r="Z27" s="51"/>
      <c r="AA27" s="51"/>
      <c r="AB27" s="51"/>
      <c r="AC27" s="51"/>
      <c r="AD27" s="51"/>
      <c r="AE27" s="51"/>
    </row>
    <row r="28" spans="2:31" ht="30" x14ac:dyDescent="0.25">
      <c r="B28" s="7">
        <v>16</v>
      </c>
      <c r="C28" s="118" t="s">
        <v>263</v>
      </c>
      <c r="D28" s="72" t="s">
        <v>81</v>
      </c>
      <c r="E28" s="73" t="s">
        <v>20</v>
      </c>
      <c r="F28" s="141" t="s">
        <v>163</v>
      </c>
      <c r="G28" s="75" t="s">
        <v>57</v>
      </c>
      <c r="H28" s="76" t="s">
        <v>40</v>
      </c>
      <c r="I28" s="77" t="str">
        <f t="shared" si="0"/>
        <v>R</v>
      </c>
      <c r="J28" s="78">
        <v>2</v>
      </c>
      <c r="K28" s="79">
        <v>0</v>
      </c>
      <c r="L28" s="80" t="s">
        <v>28</v>
      </c>
      <c r="M28" s="81">
        <v>4</v>
      </c>
      <c r="N28" s="82">
        <v>10</v>
      </c>
      <c r="O28" s="80" t="s">
        <v>28</v>
      </c>
      <c r="P28" s="44">
        <v>1</v>
      </c>
      <c r="Q28" s="81">
        <v>5</v>
      </c>
      <c r="R28" s="74" t="s">
        <v>28</v>
      </c>
      <c r="S28" s="83">
        <v>5</v>
      </c>
      <c r="T28" s="84">
        <f t="shared" si="3"/>
        <v>0.26923611111111106</v>
      </c>
      <c r="U28" s="200"/>
      <c r="V28" s="85">
        <v>2.7777777777777779E-3</v>
      </c>
      <c r="W28" s="86"/>
      <c r="X28" s="87">
        <f t="shared" si="2"/>
        <v>0</v>
      </c>
      <c r="Y28" s="63"/>
      <c r="Z28" s="51"/>
      <c r="AA28" s="51"/>
      <c r="AB28" s="51"/>
      <c r="AC28" s="51"/>
      <c r="AD28" s="51"/>
      <c r="AE28" s="51"/>
    </row>
    <row r="29" spans="2:31" x14ac:dyDescent="0.25">
      <c r="B29" s="7">
        <v>17</v>
      </c>
      <c r="C29" s="118" t="s">
        <v>191</v>
      </c>
      <c r="D29" s="72" t="s">
        <v>82</v>
      </c>
      <c r="E29" s="73" t="s">
        <v>206</v>
      </c>
      <c r="F29" s="141" t="s">
        <v>243</v>
      </c>
      <c r="G29" s="75" t="s">
        <v>57</v>
      </c>
      <c r="H29" s="76" t="s">
        <v>40</v>
      </c>
      <c r="I29" s="77" t="str">
        <f t="shared" si="0"/>
        <v>R</v>
      </c>
      <c r="J29" s="78">
        <v>2</v>
      </c>
      <c r="K29" s="79">
        <v>0</v>
      </c>
      <c r="L29" s="80" t="s">
        <v>28</v>
      </c>
      <c r="M29" s="81">
        <v>4</v>
      </c>
      <c r="N29" s="82">
        <v>6</v>
      </c>
      <c r="O29" s="80" t="s">
        <v>28</v>
      </c>
      <c r="P29" s="44">
        <v>1</v>
      </c>
      <c r="Q29" s="81">
        <v>5</v>
      </c>
      <c r="R29" s="74" t="s">
        <v>28</v>
      </c>
      <c r="S29" s="83">
        <v>5</v>
      </c>
      <c r="T29" s="84">
        <f t="shared" si="3"/>
        <v>0.27201388888888883</v>
      </c>
      <c r="U29" s="200"/>
      <c r="V29" s="85">
        <v>3.472222222222222E-3</v>
      </c>
      <c r="W29" s="86"/>
      <c r="X29" s="87">
        <f t="shared" si="2"/>
        <v>0</v>
      </c>
      <c r="Y29" s="63"/>
      <c r="Z29" s="51"/>
      <c r="AA29" s="51"/>
      <c r="AB29" s="51"/>
      <c r="AC29" s="51"/>
      <c r="AD29" s="51"/>
      <c r="AE29" s="51"/>
    </row>
    <row r="30" spans="2:31" x14ac:dyDescent="0.25">
      <c r="B30" s="7">
        <v>18</v>
      </c>
      <c r="C30" s="117" t="s">
        <v>264</v>
      </c>
      <c r="D30" s="72" t="s">
        <v>83</v>
      </c>
      <c r="E30" s="73" t="s">
        <v>207</v>
      </c>
      <c r="F30" s="141" t="s">
        <v>159</v>
      </c>
      <c r="G30" s="75" t="s">
        <v>57</v>
      </c>
      <c r="H30" s="76" t="s">
        <v>40</v>
      </c>
      <c r="I30" s="77" t="str">
        <f t="shared" si="0"/>
        <v>R</v>
      </c>
      <c r="J30" s="78">
        <v>2</v>
      </c>
      <c r="K30" s="79">
        <v>0</v>
      </c>
      <c r="L30" s="80" t="s">
        <v>28</v>
      </c>
      <c r="M30" s="81">
        <v>4</v>
      </c>
      <c r="N30" s="82">
        <v>10</v>
      </c>
      <c r="O30" s="80" t="s">
        <v>28</v>
      </c>
      <c r="P30" s="44">
        <v>1</v>
      </c>
      <c r="Q30" s="81">
        <v>5</v>
      </c>
      <c r="R30" s="74" t="s">
        <v>28</v>
      </c>
      <c r="S30" s="83">
        <v>5</v>
      </c>
      <c r="T30" s="84">
        <f t="shared" si="3"/>
        <v>0.27548611111111104</v>
      </c>
      <c r="U30" s="200"/>
      <c r="V30" s="85">
        <v>4.1666666666666666E-3</v>
      </c>
      <c r="W30" s="86"/>
      <c r="X30" s="87">
        <f t="shared" si="2"/>
        <v>0</v>
      </c>
      <c r="Y30" s="63"/>
      <c r="Z30" s="51"/>
      <c r="AA30" s="51"/>
      <c r="AB30" s="51"/>
      <c r="AC30" s="51"/>
      <c r="AD30" s="51"/>
      <c r="AE30" s="51"/>
    </row>
    <row r="31" spans="2:31" x14ac:dyDescent="0.25">
      <c r="B31" s="7">
        <v>19</v>
      </c>
      <c r="C31" s="117" t="s">
        <v>192</v>
      </c>
      <c r="D31" s="72" t="s">
        <v>84</v>
      </c>
      <c r="E31" s="73" t="s">
        <v>208</v>
      </c>
      <c r="F31" s="141" t="s">
        <v>242</v>
      </c>
      <c r="G31" s="75" t="s">
        <v>57</v>
      </c>
      <c r="H31" s="76" t="s">
        <v>40</v>
      </c>
      <c r="I31" s="77" t="str">
        <f t="shared" si="0"/>
        <v>R</v>
      </c>
      <c r="J31" s="78">
        <v>2</v>
      </c>
      <c r="K31" s="79">
        <v>0</v>
      </c>
      <c r="L31" s="80" t="s">
        <v>28</v>
      </c>
      <c r="M31" s="81">
        <v>4</v>
      </c>
      <c r="N31" s="82">
        <v>8</v>
      </c>
      <c r="O31" s="80" t="s">
        <v>28</v>
      </c>
      <c r="P31" s="44">
        <v>1</v>
      </c>
      <c r="Q31" s="81">
        <v>5</v>
      </c>
      <c r="R31" s="74" t="s">
        <v>28</v>
      </c>
      <c r="S31" s="83">
        <v>5</v>
      </c>
      <c r="T31" s="84">
        <f t="shared" si="3"/>
        <v>0.27965277777777769</v>
      </c>
      <c r="U31" s="200"/>
      <c r="V31" s="85">
        <v>2.0833333333333333E-3</v>
      </c>
      <c r="W31" s="86"/>
      <c r="X31" s="87">
        <f t="shared" si="2"/>
        <v>0</v>
      </c>
      <c r="Y31" s="63"/>
      <c r="Z31" s="51"/>
      <c r="AA31" s="51"/>
      <c r="AB31" s="51"/>
      <c r="AC31" s="51"/>
      <c r="AD31" s="51"/>
      <c r="AE31" s="51"/>
    </row>
    <row r="32" spans="2:31" x14ac:dyDescent="0.25">
      <c r="B32" s="7">
        <v>20</v>
      </c>
      <c r="C32" s="117" t="s">
        <v>151</v>
      </c>
      <c r="D32" s="72" t="s">
        <v>85</v>
      </c>
      <c r="E32" s="73" t="s">
        <v>8</v>
      </c>
      <c r="F32" s="141" t="s">
        <v>164</v>
      </c>
      <c r="G32" s="75" t="s">
        <v>57</v>
      </c>
      <c r="H32" s="76" t="s">
        <v>40</v>
      </c>
      <c r="I32" s="77" t="str">
        <f t="shared" si="0"/>
        <v>R</v>
      </c>
      <c r="J32" s="78">
        <v>2</v>
      </c>
      <c r="K32" s="79">
        <v>0</v>
      </c>
      <c r="L32" s="80" t="s">
        <v>28</v>
      </c>
      <c r="M32" s="81">
        <v>4</v>
      </c>
      <c r="N32" s="82">
        <v>8</v>
      </c>
      <c r="O32" s="80" t="s">
        <v>28</v>
      </c>
      <c r="P32" s="44">
        <v>1</v>
      </c>
      <c r="Q32" s="81">
        <v>5</v>
      </c>
      <c r="R32" s="74" t="s">
        <v>28</v>
      </c>
      <c r="S32" s="83">
        <v>5</v>
      </c>
      <c r="T32" s="84">
        <f t="shared" si="3"/>
        <v>0.28173611111111102</v>
      </c>
      <c r="U32" s="200"/>
      <c r="V32" s="85">
        <v>5.5555555555555558E-3</v>
      </c>
      <c r="W32" s="86"/>
      <c r="X32" s="87">
        <f t="shared" si="2"/>
        <v>0</v>
      </c>
      <c r="Y32" s="63"/>
      <c r="Z32" s="51"/>
      <c r="AA32" s="51"/>
      <c r="AB32" s="51"/>
      <c r="AC32" s="51"/>
      <c r="AD32" s="51"/>
      <c r="AE32" s="51"/>
    </row>
    <row r="33" spans="2:31" x14ac:dyDescent="0.25">
      <c r="B33" s="7">
        <v>21</v>
      </c>
      <c r="C33" s="117" t="s">
        <v>150</v>
      </c>
      <c r="D33" s="72" t="s">
        <v>86</v>
      </c>
      <c r="E33" s="73" t="s">
        <v>286</v>
      </c>
      <c r="F33" s="141"/>
      <c r="G33" s="75"/>
      <c r="H33" s="76"/>
      <c r="I33" s="77" t="str">
        <f t="shared" si="0"/>
        <v>R</v>
      </c>
      <c r="J33" s="78"/>
      <c r="K33" s="79"/>
      <c r="L33" s="80"/>
      <c r="M33" s="81"/>
      <c r="N33" s="82"/>
      <c r="O33" s="80"/>
      <c r="P33" s="128"/>
      <c r="Q33" s="81"/>
      <c r="R33" s="74"/>
      <c r="S33" s="83"/>
      <c r="T33" s="84">
        <f t="shared" si="3"/>
        <v>0.28729166666666656</v>
      </c>
      <c r="U33" s="200"/>
      <c r="V33" s="85">
        <v>4.1666666666666666E-3</v>
      </c>
      <c r="W33" s="86"/>
      <c r="X33" s="87">
        <f t="shared" si="2"/>
        <v>0</v>
      </c>
      <c r="Y33" s="63"/>
      <c r="Z33" s="51"/>
      <c r="AA33" s="51"/>
      <c r="AB33" s="51"/>
      <c r="AC33" s="51"/>
      <c r="AD33" s="51"/>
      <c r="AE33" s="51"/>
    </row>
    <row r="34" spans="2:31" x14ac:dyDescent="0.25">
      <c r="B34" s="7">
        <v>22</v>
      </c>
      <c r="C34" s="117" t="s">
        <v>290</v>
      </c>
      <c r="D34" s="72" t="s">
        <v>87</v>
      </c>
      <c r="E34" s="73" t="s">
        <v>10</v>
      </c>
      <c r="F34" s="141" t="s">
        <v>160</v>
      </c>
      <c r="G34" s="75" t="s">
        <v>57</v>
      </c>
      <c r="H34" s="76" t="s">
        <v>40</v>
      </c>
      <c r="I34" s="77" t="str">
        <f t="shared" si="0"/>
        <v>R</v>
      </c>
      <c r="J34" s="78">
        <v>2</v>
      </c>
      <c r="K34" s="79">
        <v>0</v>
      </c>
      <c r="L34" s="80" t="s">
        <v>28</v>
      </c>
      <c r="M34" s="81">
        <v>4</v>
      </c>
      <c r="N34" s="82">
        <v>8</v>
      </c>
      <c r="O34" s="80" t="s">
        <v>28</v>
      </c>
      <c r="P34" s="44">
        <v>1</v>
      </c>
      <c r="Q34" s="81">
        <v>5</v>
      </c>
      <c r="R34" s="74" t="s">
        <v>28</v>
      </c>
      <c r="S34" s="83">
        <v>5</v>
      </c>
      <c r="T34" s="84">
        <f t="shared" si="3"/>
        <v>0.29145833333333321</v>
      </c>
      <c r="U34" s="201"/>
      <c r="V34" s="85">
        <v>1.3888888888888889E-3</v>
      </c>
      <c r="W34" s="86"/>
      <c r="X34" s="87">
        <f t="shared" si="2"/>
        <v>0</v>
      </c>
      <c r="Y34" s="63"/>
      <c r="Z34" s="51"/>
      <c r="AA34" s="51"/>
      <c r="AB34" s="51"/>
      <c r="AC34" s="51"/>
      <c r="AD34" s="51"/>
      <c r="AE34" s="51"/>
    </row>
    <row r="35" spans="2:31" ht="30" x14ac:dyDescent="0.25">
      <c r="B35" s="7">
        <v>23</v>
      </c>
      <c r="C35" s="71" t="s">
        <v>283</v>
      </c>
      <c r="D35" s="72" t="s">
        <v>88</v>
      </c>
      <c r="E35" s="73" t="s">
        <v>214</v>
      </c>
      <c r="F35" s="141" t="s">
        <v>242</v>
      </c>
      <c r="G35" s="75" t="s">
        <v>57</v>
      </c>
      <c r="H35" s="76" t="s">
        <v>38</v>
      </c>
      <c r="I35" s="77" t="str">
        <f t="shared" si="0"/>
        <v>R</v>
      </c>
      <c r="J35" s="78">
        <v>3</v>
      </c>
      <c r="K35" s="79">
        <v>0</v>
      </c>
      <c r="L35" s="80" t="s">
        <v>28</v>
      </c>
      <c r="M35" s="81">
        <v>5</v>
      </c>
      <c r="N35" s="82">
        <v>8</v>
      </c>
      <c r="O35" s="80" t="s">
        <v>28</v>
      </c>
      <c r="P35" s="44">
        <v>1</v>
      </c>
      <c r="Q35" s="81">
        <v>4</v>
      </c>
      <c r="R35" s="74" t="s">
        <v>28</v>
      </c>
      <c r="S35" s="83">
        <v>8</v>
      </c>
      <c r="T35" s="84">
        <v>0.25</v>
      </c>
      <c r="U35" s="42">
        <v>0.25</v>
      </c>
      <c r="V35" s="85">
        <v>1.3888888888888888E-2</v>
      </c>
      <c r="W35" s="86"/>
      <c r="X35" s="87">
        <f t="shared" si="2"/>
        <v>0</v>
      </c>
      <c r="Y35" s="63"/>
      <c r="Z35" s="51"/>
      <c r="AA35" s="51"/>
      <c r="AB35" s="51"/>
      <c r="AC35" s="51"/>
      <c r="AD35" s="51"/>
      <c r="AE35" s="51"/>
    </row>
    <row r="36" spans="2:31" ht="30" x14ac:dyDescent="0.25">
      <c r="B36" s="7">
        <v>24</v>
      </c>
      <c r="C36" s="146" t="s">
        <v>334</v>
      </c>
      <c r="D36" s="72" t="s">
        <v>89</v>
      </c>
      <c r="E36" s="73" t="s">
        <v>215</v>
      </c>
      <c r="F36" s="141" t="s">
        <v>165</v>
      </c>
      <c r="G36" s="89" t="s">
        <v>251</v>
      </c>
      <c r="H36" s="76" t="s">
        <v>39</v>
      </c>
      <c r="I36" s="77" t="str">
        <f t="shared" si="0"/>
        <v>R</v>
      </c>
      <c r="J36" s="78">
        <v>-1</v>
      </c>
      <c r="K36" s="79">
        <v>3</v>
      </c>
      <c r="L36" s="80" t="s">
        <v>28</v>
      </c>
      <c r="M36" s="81">
        <v>8</v>
      </c>
      <c r="N36" s="82">
        <v>8</v>
      </c>
      <c r="O36" s="80"/>
      <c r="P36" s="44"/>
      <c r="Q36" s="81"/>
      <c r="R36" s="74" t="s">
        <v>28</v>
      </c>
      <c r="S36" s="83">
        <v>5</v>
      </c>
      <c r="T36" s="84">
        <v>0.28125</v>
      </c>
      <c r="U36" s="42">
        <v>0.28125</v>
      </c>
      <c r="V36" s="85">
        <v>1.0416666666666666E-2</v>
      </c>
      <c r="W36" s="86"/>
      <c r="X36" s="87">
        <f t="shared" si="2"/>
        <v>0.99930555555555556</v>
      </c>
      <c r="Y36" s="63"/>
      <c r="Z36" s="51"/>
      <c r="AA36" s="51"/>
      <c r="AB36" s="51"/>
      <c r="AC36" s="51"/>
      <c r="AD36" s="51"/>
      <c r="AE36" s="51"/>
    </row>
    <row r="37" spans="2:31" ht="30" x14ac:dyDescent="0.25">
      <c r="B37" s="7">
        <v>25</v>
      </c>
      <c r="C37" s="146" t="s">
        <v>335</v>
      </c>
      <c r="D37" s="72" t="s">
        <v>90</v>
      </c>
      <c r="E37" s="73" t="s">
        <v>11</v>
      </c>
      <c r="F37" s="141" t="s">
        <v>159</v>
      </c>
      <c r="G37" s="75" t="s">
        <v>250</v>
      </c>
      <c r="H37" s="76" t="s">
        <v>38</v>
      </c>
      <c r="I37" s="77" t="str">
        <f t="shared" si="0"/>
        <v>R</v>
      </c>
      <c r="J37" s="78">
        <v>-1</v>
      </c>
      <c r="K37" s="79">
        <v>3</v>
      </c>
      <c r="L37" s="80" t="s">
        <v>28</v>
      </c>
      <c r="M37" s="81">
        <v>3</v>
      </c>
      <c r="N37" s="82">
        <v>6</v>
      </c>
      <c r="O37" s="80"/>
      <c r="P37" s="44"/>
      <c r="Q37" s="81"/>
      <c r="R37" s="74" t="s">
        <v>28</v>
      </c>
      <c r="S37" s="83">
        <v>7</v>
      </c>
      <c r="T37" s="84">
        <v>0.28125</v>
      </c>
      <c r="U37" s="42">
        <v>0.28125</v>
      </c>
      <c r="V37" s="85">
        <v>2.0833333333333332E-2</v>
      </c>
      <c r="W37" s="86"/>
      <c r="X37" s="87">
        <f t="shared" si="2"/>
        <v>0.99930555555555556</v>
      </c>
      <c r="Y37" s="63"/>
      <c r="Z37" s="51"/>
      <c r="AA37" s="51"/>
      <c r="AB37" s="51"/>
      <c r="AC37" s="51"/>
      <c r="AD37" s="51"/>
      <c r="AE37" s="51"/>
    </row>
    <row r="38" spans="2:31" x14ac:dyDescent="0.25">
      <c r="B38" s="7">
        <v>26</v>
      </c>
      <c r="C38" s="169" t="s">
        <v>44</v>
      </c>
      <c r="D38" s="147" t="s">
        <v>324</v>
      </c>
      <c r="E38" s="138" t="s">
        <v>322</v>
      </c>
      <c r="F38" s="142">
        <v>0</v>
      </c>
      <c r="G38" s="148" t="s">
        <v>57</v>
      </c>
      <c r="H38" s="149" t="s">
        <v>40</v>
      </c>
      <c r="I38" s="150" t="str">
        <f t="shared" si="0"/>
        <v>R</v>
      </c>
      <c r="J38" s="151">
        <v>3</v>
      </c>
      <c r="K38" s="152">
        <v>0</v>
      </c>
      <c r="L38" s="153" t="s">
        <v>28</v>
      </c>
      <c r="M38" s="154">
        <v>5</v>
      </c>
      <c r="N38" s="155">
        <v>8</v>
      </c>
      <c r="O38" s="153"/>
      <c r="P38" s="156"/>
      <c r="Q38" s="154"/>
      <c r="R38" s="140" t="s">
        <v>28</v>
      </c>
      <c r="S38" s="157">
        <v>5</v>
      </c>
      <c r="T38" s="145">
        <v>0.29166666666666669</v>
      </c>
      <c r="U38" s="202" t="s">
        <v>341</v>
      </c>
      <c r="V38" s="158">
        <v>3.472222222222222E-3</v>
      </c>
      <c r="W38" s="159"/>
      <c r="X38" s="160">
        <f t="shared" si="2"/>
        <v>0</v>
      </c>
      <c r="Y38" s="63"/>
      <c r="Z38" s="51"/>
      <c r="AA38" s="51"/>
      <c r="AB38" s="51"/>
      <c r="AC38" s="51"/>
      <c r="AD38" s="51"/>
      <c r="AE38" s="51"/>
    </row>
    <row r="39" spans="2:31" ht="30" x14ac:dyDescent="0.25">
      <c r="B39" s="7">
        <v>27</v>
      </c>
      <c r="C39" s="146" t="s">
        <v>327</v>
      </c>
      <c r="D39" s="72" t="s">
        <v>91</v>
      </c>
      <c r="E39" s="73" t="s">
        <v>201</v>
      </c>
      <c r="F39" s="141" t="s">
        <v>162</v>
      </c>
      <c r="G39" s="75" t="s">
        <v>57</v>
      </c>
      <c r="H39" s="76" t="s">
        <v>40</v>
      </c>
      <c r="I39" s="77" t="str">
        <f t="shared" si="0"/>
        <v>R</v>
      </c>
      <c r="J39" s="78">
        <v>2</v>
      </c>
      <c r="K39" s="79">
        <v>0</v>
      </c>
      <c r="L39" s="80" t="s">
        <v>28</v>
      </c>
      <c r="M39" s="81">
        <v>4</v>
      </c>
      <c r="N39" s="82">
        <v>8</v>
      </c>
      <c r="O39" s="80"/>
      <c r="P39" s="44"/>
      <c r="Q39" s="81"/>
      <c r="R39" s="74" t="s">
        <v>28</v>
      </c>
      <c r="S39" s="83">
        <v>6</v>
      </c>
      <c r="T39" s="145">
        <f t="shared" si="3"/>
        <v>0.2951388888888889</v>
      </c>
      <c r="U39" s="204"/>
      <c r="V39" s="158">
        <v>3.472222222222222E-3</v>
      </c>
      <c r="W39" s="86"/>
      <c r="X39" s="87">
        <f t="shared" si="2"/>
        <v>0</v>
      </c>
      <c r="Y39" s="63"/>
      <c r="Z39" s="28"/>
      <c r="AA39" s="51"/>
      <c r="AB39" s="51"/>
      <c r="AC39" s="51"/>
      <c r="AD39" s="51"/>
      <c r="AE39" s="51"/>
    </row>
    <row r="40" spans="2:31" ht="30" x14ac:dyDescent="0.25">
      <c r="B40" s="7">
        <v>28</v>
      </c>
      <c r="C40" s="117" t="s">
        <v>291</v>
      </c>
      <c r="D40" s="205" t="s">
        <v>92</v>
      </c>
      <c r="E40" s="206" t="s">
        <v>200</v>
      </c>
      <c r="F40" s="207" t="s">
        <v>242</v>
      </c>
      <c r="G40" s="208" t="s">
        <v>57</v>
      </c>
      <c r="H40" s="76" t="s">
        <v>40</v>
      </c>
      <c r="I40" s="77" t="str">
        <f t="shared" si="0"/>
        <v>R</v>
      </c>
      <c r="J40" s="78">
        <v>3</v>
      </c>
      <c r="K40" s="79">
        <v>0</v>
      </c>
      <c r="L40" s="80" t="s">
        <v>28</v>
      </c>
      <c r="M40" s="81">
        <v>3</v>
      </c>
      <c r="N40" s="82">
        <v>6</v>
      </c>
      <c r="O40" s="80"/>
      <c r="P40" s="44"/>
      <c r="Q40" s="81"/>
      <c r="R40" s="74" t="s">
        <v>28</v>
      </c>
      <c r="S40" s="83">
        <v>6</v>
      </c>
      <c r="T40" s="145">
        <f t="shared" si="3"/>
        <v>0.2986111111111111</v>
      </c>
      <c r="U40" s="202" t="s">
        <v>343</v>
      </c>
      <c r="V40" s="85">
        <v>6.9444444444444441E-3</v>
      </c>
      <c r="W40" s="86"/>
      <c r="X40" s="87">
        <f t="shared" si="2"/>
        <v>0</v>
      </c>
      <c r="Y40" s="63"/>
      <c r="Z40" s="51"/>
      <c r="AA40" s="51"/>
      <c r="AB40" s="51"/>
      <c r="AC40" s="51"/>
      <c r="AD40" s="51"/>
      <c r="AE40" s="51"/>
    </row>
    <row r="41" spans="2:31" x14ac:dyDescent="0.25">
      <c r="B41" s="7">
        <v>29</v>
      </c>
      <c r="C41" s="169" t="s">
        <v>342</v>
      </c>
      <c r="D41" s="147" t="s">
        <v>324</v>
      </c>
      <c r="E41" s="209" t="s">
        <v>322</v>
      </c>
      <c r="F41" s="142">
        <v>0</v>
      </c>
      <c r="G41" s="148" t="s">
        <v>57</v>
      </c>
      <c r="H41" s="149" t="s">
        <v>40</v>
      </c>
      <c r="I41" s="150" t="str">
        <f t="shared" si="0"/>
        <v>R</v>
      </c>
      <c r="J41" s="151">
        <v>3</v>
      </c>
      <c r="K41" s="152">
        <v>0</v>
      </c>
      <c r="L41" s="153" t="s">
        <v>28</v>
      </c>
      <c r="M41" s="154">
        <v>5</v>
      </c>
      <c r="N41" s="155">
        <v>8</v>
      </c>
      <c r="O41" s="153"/>
      <c r="P41" s="156"/>
      <c r="Q41" s="154"/>
      <c r="R41" s="140" t="s">
        <v>28</v>
      </c>
      <c r="S41" s="157">
        <v>5</v>
      </c>
      <c r="T41" s="145">
        <f t="shared" si="3"/>
        <v>0.30555555555555552</v>
      </c>
      <c r="U41" s="204"/>
      <c r="V41" s="158">
        <v>3.472222222222222E-3</v>
      </c>
      <c r="W41" s="159"/>
      <c r="X41" s="160">
        <f t="shared" si="2"/>
        <v>0</v>
      </c>
      <c r="Y41" s="63"/>
      <c r="Z41" s="28"/>
      <c r="AA41" s="51"/>
      <c r="AB41" s="51"/>
      <c r="AC41" s="51"/>
      <c r="AD41" s="51"/>
      <c r="AE41" s="51"/>
    </row>
    <row r="42" spans="2:31" x14ac:dyDescent="0.25">
      <c r="B42" s="7">
        <v>30</v>
      </c>
      <c r="C42" s="146" t="s">
        <v>44</v>
      </c>
      <c r="D42" s="147" t="s">
        <v>319</v>
      </c>
      <c r="E42" s="138" t="s">
        <v>320</v>
      </c>
      <c r="F42" s="142" t="s">
        <v>159</v>
      </c>
      <c r="G42" s="148" t="s">
        <v>57</v>
      </c>
      <c r="H42" s="149" t="s">
        <v>40</v>
      </c>
      <c r="I42" s="150" t="str">
        <f t="shared" si="0"/>
        <v>R</v>
      </c>
      <c r="J42" s="151">
        <v>1</v>
      </c>
      <c r="K42" s="152">
        <v>2</v>
      </c>
      <c r="L42" s="153" t="s">
        <v>28</v>
      </c>
      <c r="M42" s="154">
        <v>5</v>
      </c>
      <c r="N42" s="155">
        <v>8</v>
      </c>
      <c r="O42" s="153" t="s">
        <v>28</v>
      </c>
      <c r="P42" s="156">
        <v>1</v>
      </c>
      <c r="Q42" s="154">
        <v>5</v>
      </c>
      <c r="R42" s="140" t="s">
        <v>28</v>
      </c>
      <c r="S42" s="157">
        <v>5</v>
      </c>
      <c r="T42" s="145">
        <f t="shared" si="3"/>
        <v>0.30902777777777773</v>
      </c>
      <c r="U42" s="202" t="s">
        <v>338</v>
      </c>
      <c r="V42" s="158">
        <v>3.472222222222222E-3</v>
      </c>
      <c r="W42" s="159"/>
      <c r="X42" s="160">
        <f t="shared" si="2"/>
        <v>0.5</v>
      </c>
      <c r="Y42" s="63"/>
      <c r="Z42" s="28"/>
      <c r="AA42" s="51"/>
      <c r="AB42" s="51"/>
      <c r="AC42" s="51"/>
      <c r="AD42" s="51"/>
      <c r="AE42" s="51"/>
    </row>
    <row r="43" spans="2:31" x14ac:dyDescent="0.25">
      <c r="B43" s="7">
        <v>31</v>
      </c>
      <c r="C43" s="146" t="s">
        <v>321</v>
      </c>
      <c r="D43" s="72" t="s">
        <v>93</v>
      </c>
      <c r="E43" s="73" t="s">
        <v>212</v>
      </c>
      <c r="F43" s="142" t="s">
        <v>161</v>
      </c>
      <c r="G43" s="75" t="s">
        <v>57</v>
      </c>
      <c r="H43" s="76" t="s">
        <v>40</v>
      </c>
      <c r="I43" s="77" t="str">
        <f t="shared" si="0"/>
        <v>R</v>
      </c>
      <c r="J43" s="78">
        <v>1</v>
      </c>
      <c r="K43" s="79">
        <v>2</v>
      </c>
      <c r="L43" s="80" t="s">
        <v>28</v>
      </c>
      <c r="M43" s="81">
        <v>5</v>
      </c>
      <c r="N43" s="82">
        <v>8</v>
      </c>
      <c r="O43" s="80" t="s">
        <v>28</v>
      </c>
      <c r="P43" s="44">
        <v>1</v>
      </c>
      <c r="Q43" s="81">
        <v>5</v>
      </c>
      <c r="R43" s="74" t="s">
        <v>28</v>
      </c>
      <c r="S43" s="83">
        <v>5</v>
      </c>
      <c r="T43" s="145">
        <f t="shared" si="3"/>
        <v>0.31249999999999994</v>
      </c>
      <c r="U43" s="204"/>
      <c r="V43" s="85">
        <v>3.472222222222222E-3</v>
      </c>
      <c r="W43" s="86"/>
      <c r="X43" s="87">
        <f t="shared" si="2"/>
        <v>0.5</v>
      </c>
      <c r="Y43" s="63"/>
      <c r="Z43" s="51"/>
      <c r="AA43" s="51"/>
      <c r="AB43" s="51"/>
      <c r="AC43" s="51"/>
      <c r="AD43" s="51"/>
      <c r="AE43" s="51"/>
    </row>
    <row r="44" spans="2:31" x14ac:dyDescent="0.25">
      <c r="B44" s="7">
        <v>32</v>
      </c>
      <c r="C44" s="146" t="s">
        <v>339</v>
      </c>
      <c r="D44" s="72" t="s">
        <v>94</v>
      </c>
      <c r="E44" s="73" t="s">
        <v>213</v>
      </c>
      <c r="F44" s="141" t="s">
        <v>161</v>
      </c>
      <c r="G44" s="89" t="s">
        <v>256</v>
      </c>
      <c r="H44" s="76" t="s">
        <v>40</v>
      </c>
      <c r="I44" s="77" t="str">
        <f t="shared" si="0"/>
        <v>R</v>
      </c>
      <c r="J44" s="78">
        <v>-1</v>
      </c>
      <c r="K44" s="79">
        <v>3</v>
      </c>
      <c r="L44" s="80" t="s">
        <v>28</v>
      </c>
      <c r="M44" s="81">
        <v>2</v>
      </c>
      <c r="N44" s="82">
        <v>5</v>
      </c>
      <c r="O44" s="80" t="s">
        <v>28</v>
      </c>
      <c r="P44" s="44">
        <v>1</v>
      </c>
      <c r="Q44" s="81">
        <v>5</v>
      </c>
      <c r="R44" s="74" t="s">
        <v>28</v>
      </c>
      <c r="S44" s="83">
        <v>5</v>
      </c>
      <c r="T44" s="84">
        <f t="shared" si="3"/>
        <v>0.31597222222222215</v>
      </c>
      <c r="U44" s="42">
        <v>0.3125</v>
      </c>
      <c r="V44" s="85">
        <v>1.3888888888888888E-2</v>
      </c>
      <c r="W44" s="86"/>
      <c r="X44" s="87">
        <f t="shared" si="2"/>
        <v>0.99930555555555556</v>
      </c>
      <c r="Y44" s="63"/>
      <c r="Z44" s="51"/>
      <c r="AA44" s="51"/>
      <c r="AB44" s="51"/>
      <c r="AC44" s="51"/>
      <c r="AD44" s="51"/>
      <c r="AE44" s="51"/>
    </row>
    <row r="45" spans="2:31" ht="30" x14ac:dyDescent="0.25">
      <c r="B45" s="7">
        <v>33</v>
      </c>
      <c r="C45" s="88" t="s">
        <v>283</v>
      </c>
      <c r="D45" s="72" t="s">
        <v>95</v>
      </c>
      <c r="E45" s="73" t="s">
        <v>216</v>
      </c>
      <c r="F45" s="141" t="s">
        <v>159</v>
      </c>
      <c r="G45" s="75" t="s">
        <v>57</v>
      </c>
      <c r="H45" s="76" t="s">
        <v>38</v>
      </c>
      <c r="I45" s="77" t="str">
        <f t="shared" si="0"/>
        <v>R</v>
      </c>
      <c r="J45" s="78">
        <v>3</v>
      </c>
      <c r="K45" s="79">
        <v>0</v>
      </c>
      <c r="L45" s="80" t="s">
        <v>28</v>
      </c>
      <c r="M45" s="81">
        <v>3</v>
      </c>
      <c r="N45" s="82">
        <v>8</v>
      </c>
      <c r="O45" s="80" t="s">
        <v>28</v>
      </c>
      <c r="P45" s="44">
        <v>1</v>
      </c>
      <c r="Q45" s="81">
        <v>8</v>
      </c>
      <c r="R45" s="74" t="s">
        <v>28</v>
      </c>
      <c r="S45" s="83">
        <v>6</v>
      </c>
      <c r="T45" s="84">
        <v>0.3125</v>
      </c>
      <c r="U45" s="202" t="s">
        <v>255</v>
      </c>
      <c r="V45" s="85">
        <v>6.9444444444444441E-3</v>
      </c>
      <c r="W45" s="86"/>
      <c r="X45" s="87">
        <f t="shared" si="2"/>
        <v>0</v>
      </c>
      <c r="Y45" s="63"/>
      <c r="Z45" s="51"/>
      <c r="AA45" s="51"/>
      <c r="AB45" s="51"/>
      <c r="AC45" s="51"/>
      <c r="AD45" s="51"/>
      <c r="AE45" s="51"/>
    </row>
    <row r="46" spans="2:31" ht="30" x14ac:dyDescent="0.25">
      <c r="B46" s="7">
        <v>34</v>
      </c>
      <c r="C46" s="139" t="s">
        <v>292</v>
      </c>
      <c r="D46" s="147" t="s">
        <v>348</v>
      </c>
      <c r="E46" s="138" t="s">
        <v>347</v>
      </c>
      <c r="F46" s="142" t="s">
        <v>317</v>
      </c>
      <c r="G46" s="148" t="s">
        <v>57</v>
      </c>
      <c r="H46" s="149" t="s">
        <v>40</v>
      </c>
      <c r="I46" s="150" t="str">
        <f t="shared" si="0"/>
        <v>R</v>
      </c>
      <c r="J46" s="151">
        <v>3</v>
      </c>
      <c r="K46" s="152">
        <v>0</v>
      </c>
      <c r="L46" s="153" t="s">
        <v>28</v>
      </c>
      <c r="M46" s="154">
        <v>5</v>
      </c>
      <c r="N46" s="155">
        <v>8</v>
      </c>
      <c r="O46" s="153"/>
      <c r="P46" s="156"/>
      <c r="Q46" s="154"/>
      <c r="R46" s="140" t="s">
        <v>28</v>
      </c>
      <c r="S46" s="157">
        <v>5</v>
      </c>
      <c r="T46" s="145">
        <f t="shared" si="3"/>
        <v>0.31944444444444442</v>
      </c>
      <c r="U46" s="203"/>
      <c r="V46" s="158">
        <v>3.472222222222222E-3</v>
      </c>
      <c r="W46" s="159"/>
      <c r="X46" s="160">
        <f t="shared" si="2"/>
        <v>0</v>
      </c>
      <c r="Y46" s="63"/>
      <c r="Z46" s="51"/>
      <c r="AA46" s="51"/>
      <c r="AB46" s="51"/>
      <c r="AC46" s="51"/>
      <c r="AD46" s="51"/>
      <c r="AE46" s="51"/>
    </row>
    <row r="47" spans="2:31" x14ac:dyDescent="0.25">
      <c r="B47" s="7">
        <v>35</v>
      </c>
      <c r="C47" s="139" t="s">
        <v>349</v>
      </c>
      <c r="D47" s="147" t="s">
        <v>324</v>
      </c>
      <c r="E47" s="209" t="s">
        <v>322</v>
      </c>
      <c r="F47" s="142">
        <v>0</v>
      </c>
      <c r="G47" s="148" t="s">
        <v>57</v>
      </c>
      <c r="H47" s="149" t="s">
        <v>40</v>
      </c>
      <c r="I47" s="150" t="str">
        <f t="shared" si="0"/>
        <v>R</v>
      </c>
      <c r="J47" s="151">
        <v>3</v>
      </c>
      <c r="K47" s="152">
        <v>0</v>
      </c>
      <c r="L47" s="153" t="s">
        <v>28</v>
      </c>
      <c r="M47" s="154">
        <v>5</v>
      </c>
      <c r="N47" s="155">
        <v>8</v>
      </c>
      <c r="O47" s="153"/>
      <c r="P47" s="156"/>
      <c r="Q47" s="154"/>
      <c r="R47" s="140" t="s">
        <v>28</v>
      </c>
      <c r="S47" s="157">
        <v>5</v>
      </c>
      <c r="T47" s="145">
        <f t="shared" si="3"/>
        <v>0.32291666666666663</v>
      </c>
      <c r="U47" s="203"/>
      <c r="V47" s="158">
        <v>3.472222222222222E-3</v>
      </c>
      <c r="W47" s="159"/>
      <c r="X47" s="160">
        <f t="shared" si="2"/>
        <v>0</v>
      </c>
      <c r="Y47" s="63"/>
      <c r="Z47" s="51"/>
      <c r="AA47" s="51"/>
      <c r="AB47" s="51"/>
      <c r="AC47" s="51"/>
      <c r="AD47" s="51"/>
      <c r="AE47" s="51"/>
    </row>
    <row r="48" spans="2:31" x14ac:dyDescent="0.25">
      <c r="B48" s="7">
        <v>36</v>
      </c>
      <c r="C48" s="139" t="s">
        <v>327</v>
      </c>
      <c r="D48" s="147" t="s">
        <v>325</v>
      </c>
      <c r="E48" s="138" t="s">
        <v>323</v>
      </c>
      <c r="F48" s="142">
        <v>0</v>
      </c>
      <c r="G48" s="148" t="s">
        <v>57</v>
      </c>
      <c r="H48" s="149" t="s">
        <v>40</v>
      </c>
      <c r="I48" s="150" t="str">
        <f t="shared" ref="I48" si="4">IF(W48&gt;0,IF(X48-W48&gt;0,"I","R"),"R")</f>
        <v>R</v>
      </c>
      <c r="J48" s="151">
        <v>3</v>
      </c>
      <c r="K48" s="152">
        <v>0</v>
      </c>
      <c r="L48" s="153" t="s">
        <v>28</v>
      </c>
      <c r="M48" s="154">
        <v>5</v>
      </c>
      <c r="N48" s="155">
        <v>8</v>
      </c>
      <c r="O48" s="153"/>
      <c r="P48" s="156"/>
      <c r="Q48" s="154"/>
      <c r="R48" s="140" t="s">
        <v>28</v>
      </c>
      <c r="S48" s="157">
        <v>5</v>
      </c>
      <c r="T48" s="145">
        <f t="shared" si="3"/>
        <v>0.32638888888888884</v>
      </c>
      <c r="U48" s="203"/>
      <c r="V48" s="158">
        <v>3.472222222222222E-3</v>
      </c>
      <c r="W48" s="159"/>
      <c r="X48" s="160"/>
      <c r="Y48" s="63"/>
      <c r="Z48" s="51"/>
      <c r="AA48" s="51"/>
      <c r="AB48" s="51"/>
      <c r="AC48" s="51"/>
      <c r="AD48" s="51"/>
      <c r="AE48" s="51"/>
    </row>
    <row r="49" spans="2:31" ht="30" x14ac:dyDescent="0.25">
      <c r="B49" s="7">
        <v>37</v>
      </c>
      <c r="C49" s="139" t="s">
        <v>350</v>
      </c>
      <c r="D49" s="72" t="s">
        <v>96</v>
      </c>
      <c r="E49" s="73" t="s">
        <v>217</v>
      </c>
      <c r="F49" s="141" t="s">
        <v>317</v>
      </c>
      <c r="G49" s="75" t="s">
        <v>57</v>
      </c>
      <c r="H49" s="76" t="s">
        <v>40</v>
      </c>
      <c r="I49" s="77" t="str">
        <f t="shared" si="0"/>
        <v>R</v>
      </c>
      <c r="J49" s="78">
        <v>3</v>
      </c>
      <c r="K49" s="79">
        <v>0</v>
      </c>
      <c r="L49" s="80" t="s">
        <v>28</v>
      </c>
      <c r="M49" s="81">
        <v>5</v>
      </c>
      <c r="N49" s="82">
        <v>8</v>
      </c>
      <c r="O49" s="80"/>
      <c r="P49" s="44"/>
      <c r="Q49" s="81"/>
      <c r="R49" s="74" t="s">
        <v>28</v>
      </c>
      <c r="S49" s="83">
        <v>5</v>
      </c>
      <c r="T49" s="145">
        <f t="shared" si="3"/>
        <v>0.32986111111111105</v>
      </c>
      <c r="U49" s="204"/>
      <c r="V49" s="85">
        <v>1.3888888888888888E-2</v>
      </c>
      <c r="W49" s="86"/>
      <c r="X49" s="87">
        <f t="shared" si="2"/>
        <v>0</v>
      </c>
      <c r="Y49" s="63"/>
      <c r="Z49" s="51"/>
      <c r="AA49" s="51"/>
      <c r="AB49" s="51"/>
      <c r="AC49" s="51"/>
      <c r="AD49" s="51"/>
      <c r="AE49" s="51"/>
    </row>
    <row r="50" spans="2:31" x14ac:dyDescent="0.25">
      <c r="B50" s="7">
        <v>38</v>
      </c>
      <c r="C50" s="71" t="s">
        <v>44</v>
      </c>
      <c r="D50" s="72" t="s">
        <v>97</v>
      </c>
      <c r="E50" s="73" t="s">
        <v>219</v>
      </c>
      <c r="F50" s="141" t="s">
        <v>242</v>
      </c>
      <c r="G50" s="75" t="s">
        <v>57</v>
      </c>
      <c r="H50" s="76" t="s">
        <v>40</v>
      </c>
      <c r="I50" s="77" t="str">
        <f t="shared" si="0"/>
        <v>R</v>
      </c>
      <c r="J50" s="78">
        <v>3</v>
      </c>
      <c r="K50" s="79">
        <v>0</v>
      </c>
      <c r="L50" s="80" t="s">
        <v>28</v>
      </c>
      <c r="M50" s="81">
        <v>6</v>
      </c>
      <c r="N50" s="82">
        <v>8</v>
      </c>
      <c r="O50" s="80" t="s">
        <v>28</v>
      </c>
      <c r="P50" s="44">
        <v>1</v>
      </c>
      <c r="Q50" s="81">
        <v>8</v>
      </c>
      <c r="R50" s="74" t="s">
        <v>28</v>
      </c>
      <c r="S50" s="83">
        <v>6</v>
      </c>
      <c r="T50" s="145">
        <f t="shared" ref="T50:T56" si="5">T49+V49</f>
        <v>0.34374999999999994</v>
      </c>
      <c r="U50" s="202" t="s">
        <v>354</v>
      </c>
      <c r="V50" s="158">
        <v>3.472222222222222E-3</v>
      </c>
      <c r="W50" s="86"/>
      <c r="X50" s="87">
        <f t="shared" si="2"/>
        <v>0</v>
      </c>
      <c r="Y50" s="63"/>
      <c r="Z50" s="51"/>
      <c r="AA50" s="51"/>
      <c r="AB50" s="51"/>
      <c r="AC50" s="51"/>
      <c r="AD50" s="51"/>
      <c r="AE50" s="51"/>
    </row>
    <row r="51" spans="2:31" x14ac:dyDescent="0.25">
      <c r="B51" s="7">
        <v>39</v>
      </c>
      <c r="C51" s="169" t="s">
        <v>353</v>
      </c>
      <c r="D51" s="147" t="s">
        <v>355</v>
      </c>
      <c r="E51" s="138" t="s">
        <v>352</v>
      </c>
      <c r="F51" s="142">
        <v>0</v>
      </c>
      <c r="G51" s="148" t="s">
        <v>57</v>
      </c>
      <c r="H51" s="149" t="s">
        <v>40</v>
      </c>
      <c r="I51" s="150" t="str">
        <f t="shared" si="0"/>
        <v>R</v>
      </c>
      <c r="J51" s="151">
        <v>3</v>
      </c>
      <c r="K51" s="152">
        <v>0</v>
      </c>
      <c r="L51" s="153" t="s">
        <v>28</v>
      </c>
      <c r="M51" s="154">
        <v>6</v>
      </c>
      <c r="N51" s="155">
        <v>8</v>
      </c>
      <c r="O51" s="153" t="s">
        <v>28</v>
      </c>
      <c r="P51" s="156">
        <v>1</v>
      </c>
      <c r="Q51" s="154">
        <v>8</v>
      </c>
      <c r="R51" s="140" t="s">
        <v>28</v>
      </c>
      <c r="S51" s="157">
        <v>6</v>
      </c>
      <c r="T51" s="145">
        <f t="shared" si="5"/>
        <v>0.34722222222222215</v>
      </c>
      <c r="U51" s="204"/>
      <c r="V51" s="85">
        <v>3.472222222222222E-3</v>
      </c>
      <c r="W51" s="86"/>
      <c r="X51" s="87">
        <f t="shared" si="2"/>
        <v>0</v>
      </c>
      <c r="Y51" s="63"/>
      <c r="Z51" s="51"/>
      <c r="AA51" s="51"/>
      <c r="AB51" s="51"/>
      <c r="AC51" s="51"/>
      <c r="AD51" s="51"/>
      <c r="AE51" s="51"/>
    </row>
    <row r="52" spans="2:31" x14ac:dyDescent="0.25">
      <c r="B52" s="7">
        <v>40</v>
      </c>
      <c r="C52" s="169" t="s">
        <v>336</v>
      </c>
      <c r="D52" s="147" t="s">
        <v>324</v>
      </c>
      <c r="E52" s="138" t="s">
        <v>322</v>
      </c>
      <c r="F52" s="142">
        <v>0</v>
      </c>
      <c r="G52" s="148" t="s">
        <v>57</v>
      </c>
      <c r="H52" s="149" t="s">
        <v>40</v>
      </c>
      <c r="I52" s="150" t="str">
        <f t="shared" si="0"/>
        <v>R</v>
      </c>
      <c r="J52" s="151">
        <v>3</v>
      </c>
      <c r="K52" s="152">
        <v>0</v>
      </c>
      <c r="L52" s="153" t="s">
        <v>28</v>
      </c>
      <c r="M52" s="154">
        <v>5</v>
      </c>
      <c r="N52" s="155">
        <v>8</v>
      </c>
      <c r="O52" s="153"/>
      <c r="P52" s="156"/>
      <c r="Q52" s="154"/>
      <c r="R52" s="140" t="s">
        <v>28</v>
      </c>
      <c r="S52" s="157">
        <v>5</v>
      </c>
      <c r="T52" s="145">
        <f t="shared" si="5"/>
        <v>0.35069444444444436</v>
      </c>
      <c r="U52" s="202" t="s">
        <v>337</v>
      </c>
      <c r="V52" s="158">
        <v>3.472222222222222E-3</v>
      </c>
      <c r="W52" s="159"/>
      <c r="X52" s="160">
        <f t="shared" si="2"/>
        <v>0</v>
      </c>
      <c r="Y52" s="63"/>
      <c r="Z52" s="51"/>
      <c r="AA52" s="51"/>
      <c r="AB52" s="51"/>
      <c r="AC52" s="51"/>
      <c r="AD52" s="51"/>
      <c r="AE52" s="51"/>
    </row>
    <row r="53" spans="2:31" x14ac:dyDescent="0.25">
      <c r="B53" s="7">
        <v>41</v>
      </c>
      <c r="C53" s="139" t="s">
        <v>327</v>
      </c>
      <c r="D53" s="147" t="s">
        <v>325</v>
      </c>
      <c r="E53" s="138" t="s">
        <v>323</v>
      </c>
      <c r="F53" s="142">
        <v>0</v>
      </c>
      <c r="G53" s="148" t="s">
        <v>57</v>
      </c>
      <c r="H53" s="149" t="s">
        <v>40</v>
      </c>
      <c r="I53" s="150" t="str">
        <f t="shared" si="0"/>
        <v>R</v>
      </c>
      <c r="J53" s="151">
        <v>3</v>
      </c>
      <c r="K53" s="152">
        <v>0</v>
      </c>
      <c r="L53" s="153" t="s">
        <v>28</v>
      </c>
      <c r="M53" s="154">
        <v>5</v>
      </c>
      <c r="N53" s="155">
        <v>8</v>
      </c>
      <c r="O53" s="153"/>
      <c r="P53" s="156"/>
      <c r="Q53" s="154"/>
      <c r="R53" s="140" t="s">
        <v>28</v>
      </c>
      <c r="S53" s="157">
        <v>5</v>
      </c>
      <c r="T53" s="145">
        <f t="shared" si="5"/>
        <v>0.35416666666666657</v>
      </c>
      <c r="U53" s="203"/>
      <c r="V53" s="158">
        <v>3.472222222222222E-3</v>
      </c>
      <c r="W53" s="159"/>
      <c r="X53" s="160">
        <f t="shared" si="2"/>
        <v>0</v>
      </c>
      <c r="Y53" s="63"/>
      <c r="Z53" s="51"/>
      <c r="AA53" s="51"/>
      <c r="AB53" s="51"/>
      <c r="AC53" s="51"/>
      <c r="AD53" s="51"/>
      <c r="AE53" s="51"/>
    </row>
    <row r="54" spans="2:31" ht="30" x14ac:dyDescent="0.25">
      <c r="B54" s="7">
        <v>42</v>
      </c>
      <c r="C54" s="139" t="s">
        <v>328</v>
      </c>
      <c r="D54" s="147" t="s">
        <v>326</v>
      </c>
      <c r="E54" s="138" t="s">
        <v>330</v>
      </c>
      <c r="F54" s="142" t="s">
        <v>333</v>
      </c>
      <c r="G54" s="148" t="s">
        <v>57</v>
      </c>
      <c r="H54" s="149" t="s">
        <v>40</v>
      </c>
      <c r="I54" s="150" t="str">
        <f t="shared" si="0"/>
        <v>R</v>
      </c>
      <c r="J54" s="151">
        <v>3</v>
      </c>
      <c r="K54" s="152">
        <v>0</v>
      </c>
      <c r="L54" s="153" t="s">
        <v>28</v>
      </c>
      <c r="M54" s="154">
        <v>5</v>
      </c>
      <c r="N54" s="155">
        <v>8</v>
      </c>
      <c r="O54" s="153"/>
      <c r="P54" s="156"/>
      <c r="Q54" s="154"/>
      <c r="R54" s="140" t="s">
        <v>28</v>
      </c>
      <c r="S54" s="157">
        <v>5</v>
      </c>
      <c r="T54" s="145">
        <f t="shared" si="5"/>
        <v>0.35763888888888878</v>
      </c>
      <c r="U54" s="203"/>
      <c r="V54" s="158">
        <v>3.472222222222222E-3</v>
      </c>
      <c r="W54" s="159"/>
      <c r="X54" s="160">
        <f t="shared" si="2"/>
        <v>0</v>
      </c>
      <c r="Y54" s="63"/>
      <c r="Z54" s="51"/>
      <c r="AA54" s="51"/>
      <c r="AB54" s="51"/>
      <c r="AC54" s="51"/>
      <c r="AD54" s="51"/>
      <c r="AE54" s="51"/>
    </row>
    <row r="55" spans="2:31" ht="30" x14ac:dyDescent="0.25">
      <c r="B55" s="7">
        <v>43</v>
      </c>
      <c r="C55" s="139" t="s">
        <v>329</v>
      </c>
      <c r="D55" s="72" t="s">
        <v>98</v>
      </c>
      <c r="E55" s="73" t="s">
        <v>218</v>
      </c>
      <c r="F55" s="141" t="s">
        <v>318</v>
      </c>
      <c r="G55" s="75" t="s">
        <v>57</v>
      </c>
      <c r="H55" s="76" t="s">
        <v>40</v>
      </c>
      <c r="I55" s="77" t="str">
        <f t="shared" si="0"/>
        <v>R</v>
      </c>
      <c r="J55" s="78">
        <v>3</v>
      </c>
      <c r="K55" s="79">
        <v>0</v>
      </c>
      <c r="L55" s="80" t="s">
        <v>28</v>
      </c>
      <c r="M55" s="81">
        <v>5</v>
      </c>
      <c r="N55" s="82">
        <v>8</v>
      </c>
      <c r="O55" s="80"/>
      <c r="P55" s="44"/>
      <c r="Q55" s="81"/>
      <c r="R55" s="74" t="s">
        <v>28</v>
      </c>
      <c r="S55" s="83">
        <v>5</v>
      </c>
      <c r="T55" s="145">
        <f t="shared" si="5"/>
        <v>0.36111111111111099</v>
      </c>
      <c r="U55" s="204"/>
      <c r="V55" s="85">
        <v>1.0416666666666666E-2</v>
      </c>
      <c r="W55" s="86"/>
      <c r="X55" s="87">
        <f t="shared" si="2"/>
        <v>0</v>
      </c>
      <c r="Y55" s="63"/>
      <c r="Z55" s="51"/>
      <c r="AA55" s="51"/>
      <c r="AB55" s="51"/>
      <c r="AC55" s="51"/>
      <c r="AD55" s="51"/>
      <c r="AE55" s="51"/>
    </row>
    <row r="56" spans="2:31" x14ac:dyDescent="0.25">
      <c r="B56" s="7">
        <v>44</v>
      </c>
      <c r="C56" s="88" t="s">
        <v>46</v>
      </c>
      <c r="D56" s="72" t="s">
        <v>99</v>
      </c>
      <c r="E56" s="73" t="s">
        <v>268</v>
      </c>
      <c r="F56" s="141" t="s">
        <v>165</v>
      </c>
      <c r="G56" s="75" t="s">
        <v>199</v>
      </c>
      <c r="H56" s="76" t="s">
        <v>40</v>
      </c>
      <c r="I56" s="77" t="str">
        <f t="shared" si="0"/>
        <v>R</v>
      </c>
      <c r="J56" s="78">
        <v>3</v>
      </c>
      <c r="K56" s="79">
        <v>0</v>
      </c>
      <c r="L56" s="80" t="s">
        <v>28</v>
      </c>
      <c r="M56" s="81">
        <v>7</v>
      </c>
      <c r="N56" s="82">
        <v>10</v>
      </c>
      <c r="O56" s="80" t="s">
        <v>28</v>
      </c>
      <c r="P56" s="44">
        <v>1</v>
      </c>
      <c r="Q56" s="81">
        <v>8</v>
      </c>
      <c r="R56" s="74" t="s">
        <v>28</v>
      </c>
      <c r="S56" s="83">
        <v>5</v>
      </c>
      <c r="T56" s="145">
        <f t="shared" si="5"/>
        <v>0.37152777777777768</v>
      </c>
      <c r="U56" s="42">
        <v>0.35416666666666669</v>
      </c>
      <c r="V56" s="85">
        <v>0.375</v>
      </c>
      <c r="W56" s="86"/>
      <c r="X56" s="87">
        <f t="shared" si="2"/>
        <v>0</v>
      </c>
      <c r="Y56" s="63"/>
      <c r="Z56" s="51"/>
      <c r="AA56" s="51"/>
      <c r="AB56" s="51"/>
      <c r="AC56" s="51"/>
      <c r="AD56" s="51"/>
      <c r="AE56" s="51"/>
    </row>
    <row r="57" spans="2:31" ht="30" x14ac:dyDescent="0.25">
      <c r="B57" s="7">
        <v>45</v>
      </c>
      <c r="C57" s="88" t="s">
        <v>44</v>
      </c>
      <c r="D57" s="72" t="s">
        <v>100</v>
      </c>
      <c r="E57" s="73" t="s">
        <v>9</v>
      </c>
      <c r="F57" s="141" t="s">
        <v>161</v>
      </c>
      <c r="G57" s="75" t="s">
        <v>57</v>
      </c>
      <c r="H57" s="76" t="s">
        <v>39</v>
      </c>
      <c r="I57" s="77" t="str">
        <f t="shared" si="0"/>
        <v>R</v>
      </c>
      <c r="J57" s="78">
        <v>-1</v>
      </c>
      <c r="K57" s="79">
        <v>3</v>
      </c>
      <c r="L57" s="80" t="s">
        <v>28</v>
      </c>
      <c r="M57" s="81">
        <v>8</v>
      </c>
      <c r="N57" s="82">
        <v>5</v>
      </c>
      <c r="O57" s="80"/>
      <c r="P57" s="44"/>
      <c r="Q57" s="81"/>
      <c r="R57" s="74" t="s">
        <v>28</v>
      </c>
      <c r="S57" s="83">
        <v>3</v>
      </c>
      <c r="T57" s="84">
        <v>0.375</v>
      </c>
      <c r="U57" s="42">
        <v>0.375</v>
      </c>
      <c r="V57" s="85">
        <v>2.0833333333333332E-2</v>
      </c>
      <c r="W57" s="86"/>
      <c r="X57" s="87">
        <f t="shared" si="2"/>
        <v>0.99930555555555556</v>
      </c>
      <c r="Y57" s="63"/>
      <c r="Z57" s="51"/>
      <c r="AA57" s="51"/>
      <c r="AB57" s="51"/>
      <c r="AC57" s="51"/>
      <c r="AD57" s="51"/>
      <c r="AE57" s="51"/>
    </row>
    <row r="58" spans="2:31" ht="15" customHeight="1" x14ac:dyDescent="0.25">
      <c r="B58" s="7">
        <v>46</v>
      </c>
      <c r="C58" s="139" t="s">
        <v>44</v>
      </c>
      <c r="D58" s="147" t="s">
        <v>324</v>
      </c>
      <c r="E58" s="209" t="s">
        <v>322</v>
      </c>
      <c r="F58" s="142">
        <v>0</v>
      </c>
      <c r="G58" s="148" t="s">
        <v>57</v>
      </c>
      <c r="H58" s="149" t="s">
        <v>40</v>
      </c>
      <c r="I58" s="150" t="str">
        <f t="shared" si="0"/>
        <v>R</v>
      </c>
      <c r="J58" s="151">
        <v>3</v>
      </c>
      <c r="K58" s="152">
        <v>0</v>
      </c>
      <c r="L58" s="153" t="s">
        <v>28</v>
      </c>
      <c r="M58" s="154">
        <v>5</v>
      </c>
      <c r="N58" s="155">
        <v>8</v>
      </c>
      <c r="O58" s="153"/>
      <c r="P58" s="156"/>
      <c r="Q58" s="154"/>
      <c r="R58" s="140" t="s">
        <v>28</v>
      </c>
      <c r="S58" s="157">
        <v>5</v>
      </c>
      <c r="T58" s="145">
        <f>T57+V57</f>
        <v>0.39583333333333331</v>
      </c>
      <c r="U58" s="202" t="s">
        <v>346</v>
      </c>
      <c r="V58" s="158">
        <v>3.472222222222222E-3</v>
      </c>
      <c r="W58" s="159"/>
      <c r="X58" s="160">
        <f t="shared" si="2"/>
        <v>0</v>
      </c>
      <c r="Y58" s="63"/>
      <c r="Z58" s="51"/>
      <c r="AA58" s="51"/>
      <c r="AB58" s="51"/>
      <c r="AC58" s="51"/>
      <c r="AD58" s="51"/>
      <c r="AE58" s="51"/>
    </row>
    <row r="59" spans="2:31" ht="30" x14ac:dyDescent="0.25">
      <c r="B59" s="7">
        <v>47</v>
      </c>
      <c r="C59" s="139" t="s">
        <v>327</v>
      </c>
      <c r="D59" s="72" t="s">
        <v>101</v>
      </c>
      <c r="E59" s="73" t="s">
        <v>225</v>
      </c>
      <c r="F59" s="141" t="s">
        <v>311</v>
      </c>
      <c r="G59" s="75" t="s">
        <v>57</v>
      </c>
      <c r="H59" s="76" t="s">
        <v>39</v>
      </c>
      <c r="I59" s="77" t="str">
        <f t="shared" si="0"/>
        <v>R</v>
      </c>
      <c r="J59" s="78">
        <v>-1</v>
      </c>
      <c r="K59" s="79">
        <v>3</v>
      </c>
      <c r="L59" s="80" t="s">
        <v>28</v>
      </c>
      <c r="M59" s="81">
        <v>5</v>
      </c>
      <c r="N59" s="82">
        <v>3</v>
      </c>
      <c r="O59" s="80"/>
      <c r="P59" s="44"/>
      <c r="Q59" s="81"/>
      <c r="R59" s="74" t="s">
        <v>28</v>
      </c>
      <c r="S59" s="83">
        <v>5</v>
      </c>
      <c r="T59" s="145">
        <f>T58+V58</f>
        <v>0.39930555555555552</v>
      </c>
      <c r="U59" s="204"/>
      <c r="V59" s="85">
        <v>4.1666666666666664E-2</v>
      </c>
      <c r="W59" s="86"/>
      <c r="X59" s="87">
        <f t="shared" si="2"/>
        <v>0.99930555555555556</v>
      </c>
      <c r="Y59" s="63"/>
      <c r="Z59" s="51"/>
      <c r="AA59" s="51"/>
      <c r="AB59" s="51"/>
      <c r="AC59" s="51"/>
      <c r="AD59" s="51"/>
      <c r="AE59" s="51"/>
    </row>
    <row r="60" spans="2:31" ht="30" x14ac:dyDescent="0.25">
      <c r="B60" s="7">
        <v>48</v>
      </c>
      <c r="C60" s="71" t="s">
        <v>46</v>
      </c>
      <c r="D60" s="72" t="s">
        <v>102</v>
      </c>
      <c r="E60" s="73" t="s">
        <v>223</v>
      </c>
      <c r="F60" s="141" t="s">
        <v>165</v>
      </c>
      <c r="G60" s="75" t="s">
        <v>58</v>
      </c>
      <c r="H60" s="76" t="s">
        <v>39</v>
      </c>
      <c r="I60" s="77" t="str">
        <f t="shared" si="0"/>
        <v>R</v>
      </c>
      <c r="J60" s="78">
        <v>-1</v>
      </c>
      <c r="K60" s="79">
        <v>4</v>
      </c>
      <c r="L60" s="80" t="s">
        <v>28</v>
      </c>
      <c r="M60" s="81">
        <v>8</v>
      </c>
      <c r="N60" s="82">
        <v>8</v>
      </c>
      <c r="O60" s="80"/>
      <c r="P60" s="44"/>
      <c r="Q60" s="81"/>
      <c r="R60" s="74" t="s">
        <v>28</v>
      </c>
      <c r="S60" s="83">
        <v>3</v>
      </c>
      <c r="T60" s="84">
        <v>0.375</v>
      </c>
      <c r="U60" s="42">
        <v>0.375</v>
      </c>
      <c r="V60" s="85">
        <v>0.10416666666666667</v>
      </c>
      <c r="W60" s="86"/>
      <c r="X60" s="87">
        <f t="shared" si="2"/>
        <v>7</v>
      </c>
      <c r="Y60" s="63"/>
      <c r="Z60" s="51"/>
      <c r="AA60" s="51"/>
      <c r="AB60" s="51"/>
      <c r="AC60" s="51"/>
      <c r="AD60" s="51"/>
      <c r="AE60" s="51"/>
    </row>
    <row r="61" spans="2:31" x14ac:dyDescent="0.25">
      <c r="B61" s="7">
        <v>49</v>
      </c>
      <c r="C61" s="71" t="s">
        <v>44</v>
      </c>
      <c r="D61" s="72" t="s">
        <v>103</v>
      </c>
      <c r="E61" s="73" t="s">
        <v>210</v>
      </c>
      <c r="F61" s="141" t="s">
        <v>166</v>
      </c>
      <c r="G61" s="75" t="s">
        <v>57</v>
      </c>
      <c r="H61" s="76" t="s">
        <v>40</v>
      </c>
      <c r="I61" s="77" t="str">
        <f t="shared" si="0"/>
        <v>R</v>
      </c>
      <c r="J61" s="78">
        <v>1</v>
      </c>
      <c r="K61" s="79">
        <v>2</v>
      </c>
      <c r="L61" s="80" t="s">
        <v>28</v>
      </c>
      <c r="M61" s="81">
        <v>5</v>
      </c>
      <c r="N61" s="82">
        <v>8</v>
      </c>
      <c r="O61" s="80" t="s">
        <v>28</v>
      </c>
      <c r="P61" s="44">
        <v>1</v>
      </c>
      <c r="Q61" s="81">
        <v>5</v>
      </c>
      <c r="R61" s="74" t="s">
        <v>28</v>
      </c>
      <c r="S61" s="83">
        <v>5</v>
      </c>
      <c r="T61" s="84">
        <v>0.39583333333333331</v>
      </c>
      <c r="U61" s="199" t="s">
        <v>258</v>
      </c>
      <c r="V61" s="85">
        <v>5.5555555555555558E-3</v>
      </c>
      <c r="W61" s="86"/>
      <c r="X61" s="87">
        <f t="shared" si="2"/>
        <v>0.5</v>
      </c>
      <c r="Y61" s="63"/>
      <c r="Z61" s="51"/>
      <c r="AA61" s="51"/>
      <c r="AB61" s="51"/>
      <c r="AC61" s="51"/>
      <c r="AD61" s="51"/>
      <c r="AE61" s="51"/>
    </row>
    <row r="62" spans="2:31" x14ac:dyDescent="0.25">
      <c r="B62" s="7">
        <v>50</v>
      </c>
      <c r="C62" s="71" t="s">
        <v>44</v>
      </c>
      <c r="D62" s="72" t="s">
        <v>104</v>
      </c>
      <c r="E62" s="73" t="s">
        <v>209</v>
      </c>
      <c r="F62" s="141" t="s">
        <v>244</v>
      </c>
      <c r="G62" s="75" t="s">
        <v>57</v>
      </c>
      <c r="H62" s="76" t="s">
        <v>40</v>
      </c>
      <c r="I62" s="77" t="str">
        <f t="shared" si="0"/>
        <v>R</v>
      </c>
      <c r="J62" s="78">
        <v>1</v>
      </c>
      <c r="K62" s="79">
        <v>2</v>
      </c>
      <c r="L62" s="80" t="s">
        <v>28</v>
      </c>
      <c r="M62" s="81">
        <v>5</v>
      </c>
      <c r="N62" s="82">
        <v>10</v>
      </c>
      <c r="O62" s="80" t="s">
        <v>28</v>
      </c>
      <c r="P62" s="44">
        <v>1</v>
      </c>
      <c r="Q62" s="81">
        <v>5</v>
      </c>
      <c r="R62" s="74" t="s">
        <v>28</v>
      </c>
      <c r="S62" s="83">
        <v>5</v>
      </c>
      <c r="T62" s="84">
        <f>T61+V61</f>
        <v>0.40138888888888885</v>
      </c>
      <c r="U62" s="200"/>
      <c r="V62" s="85">
        <v>6.9444444444444441E-3</v>
      </c>
      <c r="W62" s="86"/>
      <c r="X62" s="87">
        <f t="shared" si="2"/>
        <v>0.5</v>
      </c>
      <c r="Y62" s="63"/>
      <c r="Z62" s="51"/>
      <c r="AA62" s="51"/>
      <c r="AB62" s="51"/>
      <c r="AC62" s="51"/>
      <c r="AD62" s="51"/>
      <c r="AE62" s="51"/>
    </row>
    <row r="63" spans="2:31" x14ac:dyDescent="0.25">
      <c r="B63" s="7">
        <v>51</v>
      </c>
      <c r="C63" s="71" t="s">
        <v>44</v>
      </c>
      <c r="D63" s="72" t="s">
        <v>105</v>
      </c>
      <c r="E63" s="73" t="s">
        <v>308</v>
      </c>
      <c r="F63" s="141" t="s">
        <v>245</v>
      </c>
      <c r="G63" s="75" t="s">
        <v>57</v>
      </c>
      <c r="H63" s="76" t="s">
        <v>40</v>
      </c>
      <c r="I63" s="77" t="str">
        <f t="shared" si="0"/>
        <v>R</v>
      </c>
      <c r="J63" s="78">
        <v>1</v>
      </c>
      <c r="K63" s="79">
        <v>2</v>
      </c>
      <c r="L63" s="80" t="s">
        <v>28</v>
      </c>
      <c r="M63" s="81">
        <v>5</v>
      </c>
      <c r="N63" s="82">
        <v>10</v>
      </c>
      <c r="O63" s="80" t="s">
        <v>28</v>
      </c>
      <c r="P63" s="44">
        <v>1</v>
      </c>
      <c r="Q63" s="81">
        <v>5</v>
      </c>
      <c r="R63" s="74" t="s">
        <v>28</v>
      </c>
      <c r="S63" s="83">
        <v>5</v>
      </c>
      <c r="T63" s="84">
        <f>T62+V62</f>
        <v>0.40833333333333327</v>
      </c>
      <c r="U63" s="200"/>
      <c r="V63" s="85">
        <v>6.9444444444444441E-3</v>
      </c>
      <c r="W63" s="86"/>
      <c r="X63" s="87">
        <f t="shared" si="2"/>
        <v>0.5</v>
      </c>
      <c r="Y63" s="63"/>
      <c r="Z63" s="51"/>
      <c r="AA63" s="51"/>
      <c r="AB63" s="51"/>
      <c r="AC63" s="51"/>
      <c r="AD63" s="51"/>
      <c r="AE63" s="51"/>
    </row>
    <row r="64" spans="2:31" x14ac:dyDescent="0.25">
      <c r="B64" s="7">
        <v>52</v>
      </c>
      <c r="C64" s="71" t="s">
        <v>44</v>
      </c>
      <c r="D64" s="72" t="s">
        <v>106</v>
      </c>
      <c r="E64" s="73" t="s">
        <v>211</v>
      </c>
      <c r="F64" s="141" t="s">
        <v>246</v>
      </c>
      <c r="G64" s="75" t="s">
        <v>57</v>
      </c>
      <c r="H64" s="76" t="s">
        <v>40</v>
      </c>
      <c r="I64" s="77" t="str">
        <f t="shared" si="0"/>
        <v>R</v>
      </c>
      <c r="J64" s="78">
        <v>1</v>
      </c>
      <c r="K64" s="79">
        <v>2</v>
      </c>
      <c r="L64" s="80" t="s">
        <v>28</v>
      </c>
      <c r="M64" s="81">
        <v>5</v>
      </c>
      <c r="N64" s="82">
        <v>6</v>
      </c>
      <c r="O64" s="80" t="s">
        <v>28</v>
      </c>
      <c r="P64" s="44">
        <v>1</v>
      </c>
      <c r="Q64" s="81">
        <v>5</v>
      </c>
      <c r="R64" s="74" t="s">
        <v>28</v>
      </c>
      <c r="S64" s="83">
        <v>5</v>
      </c>
      <c r="T64" s="84">
        <f>T63+V63</f>
        <v>0.41527777777777769</v>
      </c>
      <c r="U64" s="201"/>
      <c r="V64" s="85">
        <v>6.9444444444444441E-3</v>
      </c>
      <c r="W64" s="86"/>
      <c r="X64" s="87">
        <f t="shared" si="2"/>
        <v>0.5</v>
      </c>
      <c r="Y64" s="63"/>
      <c r="Z64" s="51"/>
      <c r="AA64" s="51"/>
      <c r="AB64" s="51"/>
      <c r="AC64" s="51"/>
      <c r="AD64" s="51"/>
      <c r="AE64" s="51"/>
    </row>
    <row r="65" spans="2:31" x14ac:dyDescent="0.25">
      <c r="B65" s="7">
        <v>53</v>
      </c>
      <c r="C65" s="119" t="s">
        <v>293</v>
      </c>
      <c r="D65" s="72" t="s">
        <v>107</v>
      </c>
      <c r="E65" s="73" t="s">
        <v>13</v>
      </c>
      <c r="F65" s="141" t="s">
        <v>248</v>
      </c>
      <c r="G65" s="75" t="s">
        <v>57</v>
      </c>
      <c r="H65" s="76" t="s">
        <v>39</v>
      </c>
      <c r="I65" s="77" t="str">
        <f t="shared" si="0"/>
        <v>R</v>
      </c>
      <c r="J65" s="78">
        <v>2</v>
      </c>
      <c r="K65" s="79">
        <v>1</v>
      </c>
      <c r="L65" s="80" t="s">
        <v>28</v>
      </c>
      <c r="M65" s="81">
        <v>3</v>
      </c>
      <c r="N65" s="82">
        <v>6</v>
      </c>
      <c r="O65" s="80" t="s">
        <v>28</v>
      </c>
      <c r="P65" s="44">
        <v>1</v>
      </c>
      <c r="Q65" s="81">
        <v>5</v>
      </c>
      <c r="R65" s="74" t="s">
        <v>28</v>
      </c>
      <c r="S65" s="83">
        <v>6</v>
      </c>
      <c r="T65" s="84">
        <v>0.41666666666666669</v>
      </c>
      <c r="U65" s="42">
        <v>0.41666666666666669</v>
      </c>
      <c r="V65" s="85">
        <v>4.1666666666666664E-2</v>
      </c>
      <c r="W65" s="86"/>
      <c r="X65" s="87">
        <f t="shared" si="2"/>
        <v>0.25</v>
      </c>
      <c r="Y65" s="63"/>
      <c r="Z65" s="51"/>
      <c r="AA65" s="51"/>
      <c r="AB65" s="51"/>
      <c r="AC65" s="51"/>
      <c r="AD65" s="51"/>
      <c r="AE65" s="51"/>
    </row>
    <row r="66" spans="2:31" x14ac:dyDescent="0.25">
      <c r="B66" s="7">
        <v>54</v>
      </c>
      <c r="C66" s="119" t="s">
        <v>294</v>
      </c>
      <c r="D66" s="72" t="s">
        <v>108</v>
      </c>
      <c r="E66" s="73" t="s">
        <v>12</v>
      </c>
      <c r="F66" s="141" t="s">
        <v>248</v>
      </c>
      <c r="G66" s="75" t="s">
        <v>57</v>
      </c>
      <c r="H66" s="76" t="s">
        <v>39</v>
      </c>
      <c r="I66" s="77" t="str">
        <f t="shared" si="0"/>
        <v>R</v>
      </c>
      <c r="J66" s="78">
        <v>3</v>
      </c>
      <c r="K66" s="79">
        <v>1</v>
      </c>
      <c r="L66" s="80" t="s">
        <v>28</v>
      </c>
      <c r="M66" s="81">
        <v>5</v>
      </c>
      <c r="N66" s="82">
        <v>7</v>
      </c>
      <c r="O66" s="80" t="s">
        <v>28</v>
      </c>
      <c r="P66" s="44">
        <v>1</v>
      </c>
      <c r="Q66" s="81">
        <v>7</v>
      </c>
      <c r="R66" s="74" t="s">
        <v>28</v>
      </c>
      <c r="S66" s="83">
        <v>6</v>
      </c>
      <c r="T66" s="84">
        <v>0.41666666666666669</v>
      </c>
      <c r="U66" s="42">
        <v>0.41666666666666669</v>
      </c>
      <c r="V66" s="85">
        <v>2.0833333333333332E-2</v>
      </c>
      <c r="W66" s="86"/>
      <c r="X66" s="87">
        <f t="shared" si="2"/>
        <v>0.25</v>
      </c>
      <c r="Y66" s="63"/>
      <c r="Z66" s="51"/>
      <c r="AA66" s="51"/>
      <c r="AB66" s="51"/>
      <c r="AC66" s="51"/>
      <c r="AD66" s="51"/>
      <c r="AE66" s="51"/>
    </row>
    <row r="67" spans="2:31" ht="30" x14ac:dyDescent="0.25">
      <c r="B67" s="7">
        <v>55</v>
      </c>
      <c r="C67" s="117" t="s">
        <v>295</v>
      </c>
      <c r="D67" s="72" t="s">
        <v>109</v>
      </c>
      <c r="E67" s="73" t="s">
        <v>14</v>
      </c>
      <c r="F67" s="141" t="s">
        <v>248</v>
      </c>
      <c r="G67" s="75" t="s">
        <v>57</v>
      </c>
      <c r="H67" s="76" t="s">
        <v>39</v>
      </c>
      <c r="I67" s="77" t="str">
        <f t="shared" si="0"/>
        <v>R</v>
      </c>
      <c r="J67" s="78">
        <v>3</v>
      </c>
      <c r="K67" s="79">
        <v>0</v>
      </c>
      <c r="L67" s="80" t="s">
        <v>28</v>
      </c>
      <c r="M67" s="81">
        <v>5</v>
      </c>
      <c r="N67" s="82">
        <v>10</v>
      </c>
      <c r="O67" s="80"/>
      <c r="P67" s="44"/>
      <c r="Q67" s="81"/>
      <c r="R67" s="74" t="s">
        <v>28</v>
      </c>
      <c r="S67" s="83">
        <v>5</v>
      </c>
      <c r="T67" s="84">
        <f>T66+V66</f>
        <v>0.4375</v>
      </c>
      <c r="U67" s="42" t="s">
        <v>188</v>
      </c>
      <c r="V67" s="85">
        <v>2.0833333333333332E-2</v>
      </c>
      <c r="W67" s="86"/>
      <c r="X67" s="87">
        <f t="shared" si="2"/>
        <v>0</v>
      </c>
      <c r="Y67" s="63"/>
      <c r="Z67" s="51"/>
      <c r="AA67" s="51"/>
      <c r="AB67" s="51"/>
      <c r="AC67" s="51"/>
      <c r="AD67" s="51"/>
      <c r="AE67" s="51"/>
    </row>
    <row r="68" spans="2:31" x14ac:dyDescent="0.25">
      <c r="B68" s="7">
        <v>56</v>
      </c>
      <c r="C68" s="88" t="s">
        <v>44</v>
      </c>
      <c r="D68" s="72" t="s">
        <v>110</v>
      </c>
      <c r="E68" s="73" t="s">
        <v>240</v>
      </c>
      <c r="F68" s="141" t="s">
        <v>243</v>
      </c>
      <c r="G68" s="75" t="s">
        <v>57</v>
      </c>
      <c r="H68" s="76" t="s">
        <v>39</v>
      </c>
      <c r="I68" s="77" t="str">
        <f t="shared" si="0"/>
        <v>R</v>
      </c>
      <c r="J68" s="78">
        <v>1</v>
      </c>
      <c r="K68" s="79">
        <v>2</v>
      </c>
      <c r="L68" s="80" t="s">
        <v>28</v>
      </c>
      <c r="M68" s="81">
        <v>10</v>
      </c>
      <c r="N68" s="82">
        <v>8</v>
      </c>
      <c r="O68" s="80"/>
      <c r="P68" s="44"/>
      <c r="Q68" s="81"/>
      <c r="R68" s="74" t="s">
        <v>28</v>
      </c>
      <c r="S68" s="83">
        <v>8</v>
      </c>
      <c r="T68" s="84">
        <v>0.41666666666666669</v>
      </c>
      <c r="U68" s="42">
        <v>0.41666666666666669</v>
      </c>
      <c r="V68" s="85">
        <v>8.3333333333333329E-2</v>
      </c>
      <c r="W68" s="86"/>
      <c r="X68" s="87">
        <f t="shared" si="2"/>
        <v>0.5</v>
      </c>
      <c r="Y68" s="63"/>
      <c r="Z68" s="51"/>
      <c r="AA68" s="51"/>
      <c r="AB68" s="51"/>
      <c r="AC68" s="51"/>
      <c r="AD68" s="51"/>
      <c r="AE68" s="51"/>
    </row>
    <row r="69" spans="2:31" x14ac:dyDescent="0.25">
      <c r="B69" s="7">
        <v>57</v>
      </c>
      <c r="C69" s="119" t="s">
        <v>296</v>
      </c>
      <c r="D69" s="72" t="s">
        <v>111</v>
      </c>
      <c r="E69" s="73" t="s">
        <v>41</v>
      </c>
      <c r="F69" s="141" t="s">
        <v>165</v>
      </c>
      <c r="G69" s="75" t="s">
        <v>196</v>
      </c>
      <c r="H69" s="76" t="s">
        <v>40</v>
      </c>
      <c r="I69" s="77" t="str">
        <f t="shared" si="0"/>
        <v>R</v>
      </c>
      <c r="J69" s="78">
        <v>-1</v>
      </c>
      <c r="K69" s="79">
        <v>3</v>
      </c>
      <c r="L69" s="80" t="s">
        <v>28</v>
      </c>
      <c r="M69" s="81">
        <v>3</v>
      </c>
      <c r="N69" s="82">
        <v>6</v>
      </c>
      <c r="O69" s="80"/>
      <c r="P69" s="44"/>
      <c r="Q69" s="81"/>
      <c r="R69" s="74" t="s">
        <v>28</v>
      </c>
      <c r="S69" s="83">
        <v>5</v>
      </c>
      <c r="T69" s="84">
        <v>0.4375</v>
      </c>
      <c r="U69" s="42">
        <v>0.4375</v>
      </c>
      <c r="V69" s="85">
        <v>2.0833333333333332E-2</v>
      </c>
      <c r="W69" s="86"/>
      <c r="X69" s="87">
        <f t="shared" si="2"/>
        <v>0.99930555555555556</v>
      </c>
      <c r="Y69" s="63"/>
      <c r="Z69" s="51"/>
      <c r="AA69" s="51"/>
      <c r="AB69" s="51"/>
      <c r="AC69" s="51"/>
      <c r="AD69" s="51"/>
      <c r="AE69" s="51"/>
    </row>
    <row r="70" spans="2:31" x14ac:dyDescent="0.25">
      <c r="B70" s="7">
        <v>58</v>
      </c>
      <c r="C70" s="88" t="s">
        <v>44</v>
      </c>
      <c r="D70" s="72" t="s">
        <v>112</v>
      </c>
      <c r="E70" s="73" t="s">
        <v>224</v>
      </c>
      <c r="F70" s="141" t="s">
        <v>164</v>
      </c>
      <c r="G70" s="75" t="s">
        <v>252</v>
      </c>
      <c r="H70" s="76" t="s">
        <v>39</v>
      </c>
      <c r="I70" s="77" t="str">
        <f t="shared" si="0"/>
        <v>R</v>
      </c>
      <c r="J70" s="78">
        <v>-1</v>
      </c>
      <c r="K70" s="79">
        <v>3</v>
      </c>
      <c r="L70" s="80" t="s">
        <v>28</v>
      </c>
      <c r="M70" s="81">
        <v>5</v>
      </c>
      <c r="N70" s="82">
        <v>3</v>
      </c>
      <c r="O70" s="80"/>
      <c r="P70" s="44"/>
      <c r="Q70" s="81"/>
      <c r="R70" s="74" t="s">
        <v>28</v>
      </c>
      <c r="S70" s="83">
        <v>3</v>
      </c>
      <c r="T70" s="84">
        <v>0.4375</v>
      </c>
      <c r="U70" s="42">
        <v>0.4375</v>
      </c>
      <c r="V70" s="85">
        <v>4.1666666666666664E-2</v>
      </c>
      <c r="W70" s="86"/>
      <c r="X70" s="87">
        <f t="shared" si="2"/>
        <v>0.99930555555555556</v>
      </c>
      <c r="Y70" s="63"/>
      <c r="Z70" s="51"/>
      <c r="AA70" s="51"/>
      <c r="AB70" s="51"/>
      <c r="AC70" s="51"/>
      <c r="AD70" s="51"/>
      <c r="AE70" s="51"/>
    </row>
    <row r="71" spans="2:31" ht="30" x14ac:dyDescent="0.25">
      <c r="B71" s="7">
        <v>59</v>
      </c>
      <c r="C71" s="88" t="s">
        <v>283</v>
      </c>
      <c r="D71" s="72" t="s">
        <v>113</v>
      </c>
      <c r="E71" s="73" t="s">
        <v>226</v>
      </c>
      <c r="F71" s="141" t="s">
        <v>242</v>
      </c>
      <c r="G71" s="75" t="s">
        <v>57</v>
      </c>
      <c r="H71" s="76" t="s">
        <v>38</v>
      </c>
      <c r="I71" s="77" t="str">
        <f t="shared" si="0"/>
        <v>R</v>
      </c>
      <c r="J71" s="78">
        <v>3</v>
      </c>
      <c r="K71" s="79">
        <v>0</v>
      </c>
      <c r="L71" s="80" t="s">
        <v>28</v>
      </c>
      <c r="M71" s="81">
        <v>5</v>
      </c>
      <c r="N71" s="82">
        <v>8</v>
      </c>
      <c r="O71" s="80" t="s">
        <v>28</v>
      </c>
      <c r="P71" s="44">
        <v>1</v>
      </c>
      <c r="Q71" s="81">
        <v>8</v>
      </c>
      <c r="R71" s="74" t="s">
        <v>28</v>
      </c>
      <c r="S71" s="83">
        <v>8</v>
      </c>
      <c r="T71" s="84">
        <v>0.5</v>
      </c>
      <c r="U71" s="42">
        <v>0.5</v>
      </c>
      <c r="V71" s="85">
        <v>1.3888888888888888E-2</v>
      </c>
      <c r="W71" s="86"/>
      <c r="X71" s="87">
        <f t="shared" si="2"/>
        <v>0</v>
      </c>
      <c r="Y71" s="63"/>
      <c r="Z71" s="51"/>
      <c r="AA71" s="51"/>
      <c r="AB71" s="51"/>
      <c r="AC71" s="51"/>
      <c r="AD71" s="51"/>
      <c r="AE71" s="51"/>
    </row>
    <row r="72" spans="2:31" ht="30" x14ac:dyDescent="0.25">
      <c r="B72" s="7">
        <v>60</v>
      </c>
      <c r="C72" s="119" t="s">
        <v>297</v>
      </c>
      <c r="D72" s="72" t="s">
        <v>260</v>
      </c>
      <c r="E72" s="73" t="s">
        <v>228</v>
      </c>
      <c r="F72" s="141" t="s">
        <v>165</v>
      </c>
      <c r="G72" s="75" t="s">
        <v>250</v>
      </c>
      <c r="H72" s="76" t="s">
        <v>39</v>
      </c>
      <c r="I72" s="77" t="str">
        <f t="shared" si="0"/>
        <v>R</v>
      </c>
      <c r="J72" s="78">
        <v>-1</v>
      </c>
      <c r="K72" s="79">
        <v>3</v>
      </c>
      <c r="L72" s="80" t="s">
        <v>28</v>
      </c>
      <c r="M72" s="81">
        <v>3</v>
      </c>
      <c r="N72" s="82">
        <v>5</v>
      </c>
      <c r="O72" s="80"/>
      <c r="P72" s="44"/>
      <c r="Q72" s="81"/>
      <c r="R72" s="74" t="s">
        <v>28</v>
      </c>
      <c r="S72" s="83">
        <v>4</v>
      </c>
      <c r="T72" s="84">
        <v>0.50208333333333333</v>
      </c>
      <c r="U72" s="42">
        <v>0.52083333333333337</v>
      </c>
      <c r="V72" s="85">
        <v>2.0833333333333332E-2</v>
      </c>
      <c r="W72" s="86"/>
      <c r="X72" s="87">
        <f t="shared" si="2"/>
        <v>0.99930555555555556</v>
      </c>
      <c r="Y72" s="63"/>
      <c r="Z72" s="51"/>
      <c r="AA72" s="51"/>
      <c r="AB72" s="51"/>
      <c r="AC72" s="51"/>
      <c r="AD72" s="51"/>
      <c r="AE72" s="51"/>
    </row>
    <row r="73" spans="2:31" ht="30" x14ac:dyDescent="0.25">
      <c r="B73" s="7">
        <v>61</v>
      </c>
      <c r="C73" s="119" t="s">
        <v>298</v>
      </c>
      <c r="D73" s="72" t="s">
        <v>114</v>
      </c>
      <c r="E73" s="73" t="s">
        <v>15</v>
      </c>
      <c r="F73" s="141" t="s">
        <v>159</v>
      </c>
      <c r="G73" s="75" t="s">
        <v>251</v>
      </c>
      <c r="H73" s="76" t="s">
        <v>38</v>
      </c>
      <c r="I73" s="77" t="str">
        <f t="shared" si="0"/>
        <v>R</v>
      </c>
      <c r="J73" s="78">
        <v>-1</v>
      </c>
      <c r="K73" s="79">
        <v>3</v>
      </c>
      <c r="L73" s="80" t="s">
        <v>28</v>
      </c>
      <c r="M73" s="81">
        <v>8</v>
      </c>
      <c r="N73" s="82">
        <v>6</v>
      </c>
      <c r="O73" s="80"/>
      <c r="P73" s="44"/>
      <c r="Q73" s="81"/>
      <c r="R73" s="74" t="s">
        <v>28</v>
      </c>
      <c r="S73" s="83">
        <v>5</v>
      </c>
      <c r="T73" s="84">
        <f>T72+V72</f>
        <v>0.5229166666666667</v>
      </c>
      <c r="U73" s="42">
        <v>0.52083333333333337</v>
      </c>
      <c r="V73" s="85">
        <v>3.125E-2</v>
      </c>
      <c r="W73" s="86"/>
      <c r="X73" s="87">
        <f t="shared" si="2"/>
        <v>0.99930555555555556</v>
      </c>
      <c r="Y73" s="63"/>
      <c r="Z73" s="51"/>
      <c r="AA73" s="51"/>
      <c r="AB73" s="51"/>
      <c r="AC73" s="51"/>
      <c r="AD73" s="51"/>
      <c r="AE73" s="51"/>
    </row>
    <row r="74" spans="2:31" x14ac:dyDescent="0.25">
      <c r="B74" s="7">
        <v>62</v>
      </c>
      <c r="C74" s="169" t="s">
        <v>336</v>
      </c>
      <c r="D74" s="147" t="s">
        <v>324</v>
      </c>
      <c r="E74" s="138" t="s">
        <v>322</v>
      </c>
      <c r="F74" s="142">
        <v>0</v>
      </c>
      <c r="G74" s="148" t="s">
        <v>57</v>
      </c>
      <c r="H74" s="149" t="s">
        <v>40</v>
      </c>
      <c r="I74" s="150" t="str">
        <f t="shared" si="0"/>
        <v>R</v>
      </c>
      <c r="J74" s="151">
        <v>3</v>
      </c>
      <c r="K74" s="152">
        <v>0</v>
      </c>
      <c r="L74" s="153" t="s">
        <v>28</v>
      </c>
      <c r="M74" s="154">
        <v>5</v>
      </c>
      <c r="N74" s="155">
        <v>8</v>
      </c>
      <c r="O74" s="153"/>
      <c r="P74" s="156"/>
      <c r="Q74" s="154"/>
      <c r="R74" s="140" t="s">
        <v>28</v>
      </c>
      <c r="S74" s="157">
        <v>5</v>
      </c>
      <c r="T74" s="145">
        <v>0.54166666666666663</v>
      </c>
      <c r="U74" s="202" t="s">
        <v>337</v>
      </c>
      <c r="V74" s="158">
        <v>3.472222222222222E-3</v>
      </c>
      <c r="W74" s="159"/>
      <c r="X74" s="160">
        <f t="shared" si="2"/>
        <v>0</v>
      </c>
      <c r="Y74" s="63"/>
      <c r="Z74" s="51"/>
      <c r="AA74" s="51"/>
      <c r="AB74" s="51"/>
      <c r="AC74" s="51"/>
      <c r="AD74" s="51"/>
      <c r="AE74" s="51"/>
    </row>
    <row r="75" spans="2:31" x14ac:dyDescent="0.25">
      <c r="B75" s="7">
        <v>63</v>
      </c>
      <c r="C75" s="139" t="s">
        <v>327</v>
      </c>
      <c r="D75" s="147" t="s">
        <v>325</v>
      </c>
      <c r="E75" s="138" t="s">
        <v>323</v>
      </c>
      <c r="F75" s="142">
        <v>0</v>
      </c>
      <c r="G75" s="148" t="s">
        <v>57</v>
      </c>
      <c r="H75" s="149" t="s">
        <v>40</v>
      </c>
      <c r="I75" s="150" t="str">
        <f t="shared" si="0"/>
        <v>R</v>
      </c>
      <c r="J75" s="151">
        <v>3</v>
      </c>
      <c r="K75" s="152">
        <v>0</v>
      </c>
      <c r="L75" s="153" t="s">
        <v>28</v>
      </c>
      <c r="M75" s="154">
        <v>5</v>
      </c>
      <c r="N75" s="155">
        <v>8</v>
      </c>
      <c r="O75" s="153"/>
      <c r="P75" s="156"/>
      <c r="Q75" s="154"/>
      <c r="R75" s="140" t="s">
        <v>28</v>
      </c>
      <c r="S75" s="157">
        <v>5</v>
      </c>
      <c r="T75" s="145">
        <f>T74+V74</f>
        <v>0.54513888888888884</v>
      </c>
      <c r="U75" s="203"/>
      <c r="V75" s="158">
        <v>3.472222222222222E-3</v>
      </c>
      <c r="W75" s="159"/>
      <c r="X75" s="160">
        <f t="shared" si="2"/>
        <v>0</v>
      </c>
      <c r="Y75" s="63"/>
      <c r="Z75" s="51"/>
      <c r="AA75" s="51"/>
      <c r="AB75" s="51"/>
      <c r="AC75" s="51"/>
      <c r="AD75" s="51"/>
      <c r="AE75" s="51"/>
    </row>
    <row r="76" spans="2:31" ht="30" x14ac:dyDescent="0.25">
      <c r="B76" s="7">
        <v>64</v>
      </c>
      <c r="C76" s="139" t="s">
        <v>328</v>
      </c>
      <c r="D76" s="147" t="s">
        <v>326</v>
      </c>
      <c r="E76" s="138" t="s">
        <v>330</v>
      </c>
      <c r="F76" s="142" t="s">
        <v>333</v>
      </c>
      <c r="G76" s="148" t="s">
        <v>57</v>
      </c>
      <c r="H76" s="149" t="s">
        <v>40</v>
      </c>
      <c r="I76" s="150" t="str">
        <f t="shared" si="0"/>
        <v>R</v>
      </c>
      <c r="J76" s="151">
        <v>3</v>
      </c>
      <c r="K76" s="152">
        <v>0</v>
      </c>
      <c r="L76" s="153" t="s">
        <v>28</v>
      </c>
      <c r="M76" s="154">
        <v>5</v>
      </c>
      <c r="N76" s="155">
        <v>8</v>
      </c>
      <c r="O76" s="153"/>
      <c r="P76" s="156"/>
      <c r="Q76" s="154"/>
      <c r="R76" s="140" t="s">
        <v>28</v>
      </c>
      <c r="S76" s="157">
        <v>5</v>
      </c>
      <c r="T76" s="145">
        <f>T75+V75</f>
        <v>0.54861111111111105</v>
      </c>
      <c r="U76" s="203"/>
      <c r="V76" s="158">
        <v>3.472222222222222E-3</v>
      </c>
      <c r="W76" s="159"/>
      <c r="X76" s="160">
        <f t="shared" si="2"/>
        <v>0</v>
      </c>
      <c r="Y76" s="63"/>
      <c r="Z76" s="51"/>
      <c r="AA76" s="51"/>
      <c r="AB76" s="51"/>
      <c r="AC76" s="51"/>
      <c r="AD76" s="51"/>
      <c r="AE76" s="51"/>
    </row>
    <row r="77" spans="2:31" ht="30" x14ac:dyDescent="0.25">
      <c r="B77" s="7">
        <v>65</v>
      </c>
      <c r="C77" s="139" t="s">
        <v>329</v>
      </c>
      <c r="D77" s="72" t="s">
        <v>115</v>
      </c>
      <c r="E77" s="73" t="s">
        <v>227</v>
      </c>
      <c r="F77" s="142" t="s">
        <v>318</v>
      </c>
      <c r="G77" s="75" t="s">
        <v>57</v>
      </c>
      <c r="H77" s="76" t="s">
        <v>40</v>
      </c>
      <c r="I77" s="77" t="str">
        <f t="shared" si="0"/>
        <v>R</v>
      </c>
      <c r="J77" s="78">
        <v>3</v>
      </c>
      <c r="K77" s="79">
        <v>0</v>
      </c>
      <c r="L77" s="80" t="s">
        <v>28</v>
      </c>
      <c r="M77" s="81">
        <v>5</v>
      </c>
      <c r="N77" s="82">
        <v>8</v>
      </c>
      <c r="O77" s="80"/>
      <c r="P77" s="44"/>
      <c r="Q77" s="81"/>
      <c r="R77" s="74" t="s">
        <v>28</v>
      </c>
      <c r="S77" s="83">
        <v>5</v>
      </c>
      <c r="T77" s="145">
        <f>T76+V76</f>
        <v>0.55208333333333326</v>
      </c>
      <c r="U77" s="204"/>
      <c r="V77" s="85">
        <v>2.0833333333333332E-2</v>
      </c>
      <c r="W77" s="86"/>
      <c r="X77" s="87">
        <f t="shared" si="2"/>
        <v>0</v>
      </c>
      <c r="Y77" s="63"/>
      <c r="Z77" s="51"/>
      <c r="AA77" s="51"/>
      <c r="AB77" s="51"/>
      <c r="AC77" s="51"/>
      <c r="AD77" s="51"/>
      <c r="AE77" s="51"/>
    </row>
    <row r="78" spans="2:31" x14ac:dyDescent="0.25">
      <c r="B78" s="7">
        <v>66</v>
      </c>
      <c r="C78" s="88" t="s">
        <v>44</v>
      </c>
      <c r="D78" s="72" t="s">
        <v>116</v>
      </c>
      <c r="E78" s="73" t="s">
        <v>16</v>
      </c>
      <c r="F78" s="141" t="s">
        <v>164</v>
      </c>
      <c r="G78" s="75" t="s">
        <v>57</v>
      </c>
      <c r="H78" s="76" t="s">
        <v>39</v>
      </c>
      <c r="I78" s="77" t="str">
        <f t="shared" ref="I78:I117" si="6">IF(W78&gt;0,IF(X78-W78&gt;0,"I","R"),"R")</f>
        <v>R</v>
      </c>
      <c r="J78" s="78">
        <v>-1</v>
      </c>
      <c r="K78" s="79">
        <v>3</v>
      </c>
      <c r="L78" s="80" t="s">
        <v>28</v>
      </c>
      <c r="M78" s="81">
        <v>5</v>
      </c>
      <c r="N78" s="82">
        <v>5</v>
      </c>
      <c r="O78" s="80"/>
      <c r="P78" s="44"/>
      <c r="Q78" s="81"/>
      <c r="R78" s="74" t="s">
        <v>28</v>
      </c>
      <c r="S78" s="83">
        <v>3</v>
      </c>
      <c r="T78" s="84">
        <f>T77+V77</f>
        <v>0.57291666666666663</v>
      </c>
      <c r="U78" s="42">
        <v>0.5625</v>
      </c>
      <c r="V78" s="85">
        <v>8.3333333333333329E-2</v>
      </c>
      <c r="W78" s="86"/>
      <c r="X78" s="87">
        <f t="shared" si="2"/>
        <v>0.99930555555555556</v>
      </c>
      <c r="Y78" s="63"/>
      <c r="Z78" s="51"/>
      <c r="AA78" s="51"/>
      <c r="AB78" s="51"/>
      <c r="AC78" s="51"/>
      <c r="AD78" s="51"/>
      <c r="AE78" s="51"/>
    </row>
    <row r="79" spans="2:31" ht="15" customHeight="1" x14ac:dyDescent="0.25">
      <c r="B79" s="7">
        <v>67</v>
      </c>
      <c r="C79" s="139" t="s">
        <v>44</v>
      </c>
      <c r="D79" s="147" t="s">
        <v>324</v>
      </c>
      <c r="E79" s="209" t="s">
        <v>322</v>
      </c>
      <c r="F79" s="142">
        <v>0</v>
      </c>
      <c r="G79" s="148" t="s">
        <v>57</v>
      </c>
      <c r="H79" s="149" t="s">
        <v>40</v>
      </c>
      <c r="I79" s="150" t="str">
        <f t="shared" si="6"/>
        <v>R</v>
      </c>
      <c r="J79" s="151">
        <v>3</v>
      </c>
      <c r="K79" s="152">
        <v>0</v>
      </c>
      <c r="L79" s="153" t="s">
        <v>28</v>
      </c>
      <c r="M79" s="154">
        <v>5</v>
      </c>
      <c r="N79" s="155">
        <v>8</v>
      </c>
      <c r="O79" s="153"/>
      <c r="P79" s="156"/>
      <c r="Q79" s="154"/>
      <c r="R79" s="140" t="s">
        <v>28</v>
      </c>
      <c r="S79" s="157">
        <v>5</v>
      </c>
      <c r="T79" s="145">
        <v>0.60416666666666663</v>
      </c>
      <c r="U79" s="202" t="s">
        <v>346</v>
      </c>
      <c r="V79" s="158">
        <v>3.472222222222222E-3</v>
      </c>
      <c r="W79" s="159"/>
      <c r="X79" s="160">
        <f t="shared" ref="X79:X117" si="7">IF(K79=0,0,IF(K79=1,W79+$Y$13,IF(K79=2,W79+$Y$14,IF(K79=3,W79+$Y$15,IF(K79=4,W79+$Y$16,0)))))</f>
        <v>0</v>
      </c>
      <c r="Y79" s="63"/>
      <c r="Z79" s="51"/>
      <c r="AA79" s="51"/>
      <c r="AB79" s="51"/>
      <c r="AC79" s="51"/>
      <c r="AD79" s="51"/>
      <c r="AE79" s="51"/>
    </row>
    <row r="80" spans="2:31" ht="30" x14ac:dyDescent="0.25">
      <c r="B80" s="7">
        <v>68</v>
      </c>
      <c r="C80" s="139" t="s">
        <v>327</v>
      </c>
      <c r="D80" s="72" t="s">
        <v>117</v>
      </c>
      <c r="E80" s="73" t="s">
        <v>307</v>
      </c>
      <c r="F80" s="141" t="s">
        <v>311</v>
      </c>
      <c r="G80" s="75" t="s">
        <v>57</v>
      </c>
      <c r="H80" s="76" t="s">
        <v>40</v>
      </c>
      <c r="I80" s="77" t="str">
        <f t="shared" si="6"/>
        <v>R</v>
      </c>
      <c r="J80" s="78">
        <v>2</v>
      </c>
      <c r="K80" s="79">
        <v>0</v>
      </c>
      <c r="L80" s="80" t="s">
        <v>28</v>
      </c>
      <c r="M80" s="81">
        <v>5</v>
      </c>
      <c r="N80" s="82">
        <v>8</v>
      </c>
      <c r="O80" s="80"/>
      <c r="P80" s="130"/>
      <c r="Q80" s="81"/>
      <c r="R80" s="74" t="s">
        <v>28</v>
      </c>
      <c r="S80" s="83">
        <v>5</v>
      </c>
      <c r="T80" s="145">
        <f>T79+V79</f>
        <v>0.60763888888888884</v>
      </c>
      <c r="U80" s="204"/>
      <c r="V80" s="85">
        <v>4.1666666666666664E-2</v>
      </c>
      <c r="W80" s="86"/>
      <c r="X80" s="87">
        <f t="shared" si="7"/>
        <v>0</v>
      </c>
      <c r="Y80" s="63"/>
      <c r="Z80" s="51"/>
      <c r="AA80" s="51"/>
      <c r="AB80" s="51"/>
      <c r="AC80" s="51"/>
      <c r="AD80" s="51"/>
      <c r="AE80" s="51"/>
    </row>
    <row r="81" spans="2:31" ht="30" x14ac:dyDescent="0.25">
      <c r="B81" s="7">
        <v>69</v>
      </c>
      <c r="C81" s="88" t="s">
        <v>44</v>
      </c>
      <c r="D81" s="72" t="s">
        <v>118</v>
      </c>
      <c r="E81" s="73" t="s">
        <v>229</v>
      </c>
      <c r="F81" s="141" t="s">
        <v>242</v>
      </c>
      <c r="G81" s="75" t="s">
        <v>57</v>
      </c>
      <c r="H81" s="76" t="s">
        <v>40</v>
      </c>
      <c r="I81" s="77" t="str">
        <f t="shared" si="6"/>
        <v>R</v>
      </c>
      <c r="J81" s="78">
        <v>3</v>
      </c>
      <c r="K81" s="79">
        <v>0</v>
      </c>
      <c r="L81" s="80" t="s">
        <v>28</v>
      </c>
      <c r="M81" s="81">
        <v>5</v>
      </c>
      <c r="N81" s="82">
        <v>8</v>
      </c>
      <c r="O81" s="80"/>
      <c r="P81" s="44"/>
      <c r="Q81" s="81"/>
      <c r="R81" s="74" t="s">
        <v>28</v>
      </c>
      <c r="S81" s="83">
        <v>8</v>
      </c>
      <c r="T81" s="145">
        <f>T80+V80</f>
        <v>0.64930555555555547</v>
      </c>
      <c r="U81" s="202" t="s">
        <v>343</v>
      </c>
      <c r="V81" s="85">
        <v>6.9444444444444441E-3</v>
      </c>
      <c r="W81" s="86"/>
      <c r="X81" s="87">
        <f t="shared" si="7"/>
        <v>0</v>
      </c>
      <c r="Y81" s="63"/>
      <c r="Z81" s="51"/>
      <c r="AA81" s="51"/>
      <c r="AB81" s="51"/>
      <c r="AC81" s="51"/>
      <c r="AD81" s="51"/>
      <c r="AE81" s="51"/>
    </row>
    <row r="82" spans="2:31" x14ac:dyDescent="0.25">
      <c r="B82" s="7">
        <v>70</v>
      </c>
      <c r="C82" s="169" t="s">
        <v>344</v>
      </c>
      <c r="D82" s="147" t="s">
        <v>324</v>
      </c>
      <c r="E82" s="209" t="s">
        <v>322</v>
      </c>
      <c r="F82" s="142">
        <v>0</v>
      </c>
      <c r="G82" s="148" t="s">
        <v>57</v>
      </c>
      <c r="H82" s="149" t="s">
        <v>40</v>
      </c>
      <c r="I82" s="150" t="str">
        <f t="shared" si="6"/>
        <v>R</v>
      </c>
      <c r="J82" s="151">
        <v>3</v>
      </c>
      <c r="K82" s="152">
        <v>0</v>
      </c>
      <c r="L82" s="153" t="s">
        <v>28</v>
      </c>
      <c r="M82" s="154">
        <v>5</v>
      </c>
      <c r="N82" s="155">
        <v>8</v>
      </c>
      <c r="O82" s="153"/>
      <c r="P82" s="156"/>
      <c r="Q82" s="154"/>
      <c r="R82" s="140" t="s">
        <v>28</v>
      </c>
      <c r="S82" s="157">
        <v>5</v>
      </c>
      <c r="T82" s="145">
        <f>T81+V81</f>
        <v>0.65624999999999989</v>
      </c>
      <c r="U82" s="204"/>
      <c r="V82" s="158">
        <v>3.472222222222222E-3</v>
      </c>
      <c r="W82" s="159"/>
      <c r="X82" s="160">
        <f t="shared" si="7"/>
        <v>0</v>
      </c>
      <c r="Y82" s="63"/>
      <c r="Z82" s="51"/>
      <c r="AA82" s="51"/>
      <c r="AB82" s="51"/>
      <c r="AC82" s="51"/>
      <c r="AD82" s="51"/>
      <c r="AE82" s="51"/>
    </row>
    <row r="83" spans="2:31" ht="30" x14ac:dyDescent="0.25">
      <c r="B83" s="7">
        <v>71</v>
      </c>
      <c r="C83" s="88" t="s">
        <v>46</v>
      </c>
      <c r="D83" s="72" t="s">
        <v>119</v>
      </c>
      <c r="E83" s="73" t="s">
        <v>230</v>
      </c>
      <c r="F83" s="141" t="s">
        <v>161</v>
      </c>
      <c r="G83" s="75" t="s">
        <v>252</v>
      </c>
      <c r="H83" s="76" t="s">
        <v>39</v>
      </c>
      <c r="I83" s="77" t="str">
        <f t="shared" si="6"/>
        <v>R</v>
      </c>
      <c r="J83" s="78">
        <v>-1</v>
      </c>
      <c r="K83" s="79">
        <v>3</v>
      </c>
      <c r="L83" s="80" t="s">
        <v>28</v>
      </c>
      <c r="M83" s="81">
        <v>8</v>
      </c>
      <c r="N83" s="82">
        <v>7</v>
      </c>
      <c r="O83" s="80"/>
      <c r="P83" s="44"/>
      <c r="Q83" s="81"/>
      <c r="R83" s="74" t="s">
        <v>28</v>
      </c>
      <c r="S83" s="83">
        <v>8</v>
      </c>
      <c r="T83" s="84">
        <f>T82+V82</f>
        <v>0.6597222222222221</v>
      </c>
      <c r="U83" s="42">
        <v>0.64583333333333337</v>
      </c>
      <c r="V83" s="85">
        <v>3.125E-2</v>
      </c>
      <c r="W83" s="86"/>
      <c r="X83" s="87">
        <f t="shared" si="7"/>
        <v>0.99930555555555556</v>
      </c>
      <c r="Y83" s="63"/>
      <c r="Z83" s="51"/>
      <c r="AA83" s="51"/>
      <c r="AB83" s="51"/>
      <c r="AC83" s="51"/>
      <c r="AD83" s="51"/>
      <c r="AE83" s="51"/>
    </row>
    <row r="84" spans="2:31" ht="30" x14ac:dyDescent="0.25">
      <c r="B84" s="7">
        <v>72</v>
      </c>
      <c r="C84" s="88" t="s">
        <v>44</v>
      </c>
      <c r="D84" s="72" t="s">
        <v>261</v>
      </c>
      <c r="E84" s="73" t="s">
        <v>24</v>
      </c>
      <c r="F84" s="141" t="s">
        <v>161</v>
      </c>
      <c r="G84" s="75" t="s">
        <v>57</v>
      </c>
      <c r="H84" s="76" t="s">
        <v>39</v>
      </c>
      <c r="I84" s="77" t="str">
        <f t="shared" si="6"/>
        <v>R</v>
      </c>
      <c r="J84" s="78">
        <v>3</v>
      </c>
      <c r="K84" s="79">
        <v>0</v>
      </c>
      <c r="L84" s="80" t="s">
        <v>28</v>
      </c>
      <c r="M84" s="81">
        <v>10</v>
      </c>
      <c r="N84" s="82">
        <v>9</v>
      </c>
      <c r="O84" s="80"/>
      <c r="P84" s="44"/>
      <c r="Q84" s="81"/>
      <c r="R84" s="74" t="s">
        <v>28</v>
      </c>
      <c r="S84" s="83">
        <v>7</v>
      </c>
      <c r="T84" s="84">
        <v>0.66666666666666663</v>
      </c>
      <c r="U84" s="42">
        <v>0.66666666666666663</v>
      </c>
      <c r="V84" s="85">
        <v>2.0833333333333332E-2</v>
      </c>
      <c r="W84" s="86"/>
      <c r="X84" s="87">
        <f t="shared" si="7"/>
        <v>0</v>
      </c>
      <c r="Y84" s="63"/>
      <c r="Z84" s="51"/>
      <c r="AA84" s="51"/>
      <c r="AB84" s="51"/>
      <c r="AC84" s="51"/>
      <c r="AD84" s="51"/>
      <c r="AE84" s="51"/>
    </row>
    <row r="85" spans="2:31" x14ac:dyDescent="0.25">
      <c r="B85" s="7">
        <v>73</v>
      </c>
      <c r="C85" s="117" t="s">
        <v>299</v>
      </c>
      <c r="D85" s="72" t="s">
        <v>120</v>
      </c>
      <c r="E85" s="73" t="s">
        <v>22</v>
      </c>
      <c r="F85" s="141" t="s">
        <v>248</v>
      </c>
      <c r="G85" s="75" t="s">
        <v>57</v>
      </c>
      <c r="H85" s="76" t="s">
        <v>38</v>
      </c>
      <c r="I85" s="77" t="str">
        <f t="shared" si="6"/>
        <v>R</v>
      </c>
      <c r="J85" s="78">
        <v>3</v>
      </c>
      <c r="K85" s="79">
        <v>0</v>
      </c>
      <c r="L85" s="80" t="s">
        <v>28</v>
      </c>
      <c r="M85" s="81">
        <v>4</v>
      </c>
      <c r="N85" s="82">
        <v>10</v>
      </c>
      <c r="O85" s="80" t="s">
        <v>28</v>
      </c>
      <c r="P85" s="44">
        <v>1</v>
      </c>
      <c r="Q85" s="81">
        <v>8</v>
      </c>
      <c r="R85" s="74" t="s">
        <v>28</v>
      </c>
      <c r="S85" s="83">
        <v>6</v>
      </c>
      <c r="T85" s="84">
        <v>0.66666666666666663</v>
      </c>
      <c r="U85" s="42">
        <v>0.66666666666666663</v>
      </c>
      <c r="V85" s="85">
        <v>1.3888888888888888E-2</v>
      </c>
      <c r="W85" s="86"/>
      <c r="X85" s="87">
        <f t="shared" si="7"/>
        <v>0</v>
      </c>
      <c r="Y85" s="63"/>
      <c r="Z85" s="51"/>
      <c r="AA85" s="51"/>
      <c r="AB85" s="51"/>
      <c r="AC85" s="51"/>
      <c r="AD85" s="51"/>
      <c r="AE85" s="51"/>
    </row>
    <row r="86" spans="2:31" ht="30" x14ac:dyDescent="0.25">
      <c r="B86" s="7">
        <v>74</v>
      </c>
      <c r="C86" s="88" t="s">
        <v>44</v>
      </c>
      <c r="D86" s="72" t="s">
        <v>121</v>
      </c>
      <c r="E86" s="73" t="s">
        <v>60</v>
      </c>
      <c r="F86" s="141" t="s">
        <v>165</v>
      </c>
      <c r="G86" s="75" t="s">
        <v>57</v>
      </c>
      <c r="H86" s="76" t="s">
        <v>38</v>
      </c>
      <c r="I86" s="77" t="str">
        <f t="shared" si="6"/>
        <v>R</v>
      </c>
      <c r="J86" s="78">
        <v>2</v>
      </c>
      <c r="K86" s="79">
        <v>0</v>
      </c>
      <c r="L86" s="80" t="s">
        <v>28</v>
      </c>
      <c r="M86" s="81">
        <v>8</v>
      </c>
      <c r="N86" s="82">
        <v>10</v>
      </c>
      <c r="O86" s="80" t="s">
        <v>28</v>
      </c>
      <c r="P86" s="44">
        <v>1</v>
      </c>
      <c r="Q86" s="81">
        <v>8</v>
      </c>
      <c r="R86" s="74" t="s">
        <v>28</v>
      </c>
      <c r="S86" s="83">
        <v>7</v>
      </c>
      <c r="T86" s="84">
        <v>0.6875</v>
      </c>
      <c r="U86" s="42">
        <v>0.6875</v>
      </c>
      <c r="V86" s="85">
        <v>0.52083333333333337</v>
      </c>
      <c r="W86" s="86"/>
      <c r="X86" s="87">
        <f t="shared" si="7"/>
        <v>0</v>
      </c>
      <c r="Y86" s="63"/>
      <c r="Z86" s="51"/>
      <c r="AA86" s="51"/>
      <c r="AB86" s="51"/>
      <c r="AC86" s="51"/>
      <c r="AD86" s="51"/>
      <c r="AE86" s="51"/>
    </row>
    <row r="87" spans="2:31" ht="30" x14ac:dyDescent="0.25">
      <c r="B87" s="7">
        <v>75</v>
      </c>
      <c r="C87" s="88" t="s">
        <v>283</v>
      </c>
      <c r="D87" s="72" t="s">
        <v>122</v>
      </c>
      <c r="E87" s="73" t="s">
        <v>231</v>
      </c>
      <c r="F87" s="141" t="s">
        <v>159</v>
      </c>
      <c r="G87" s="75" t="s">
        <v>57</v>
      </c>
      <c r="H87" s="76" t="s">
        <v>38</v>
      </c>
      <c r="I87" s="77" t="str">
        <f t="shared" si="6"/>
        <v>R</v>
      </c>
      <c r="J87" s="78">
        <v>3</v>
      </c>
      <c r="K87" s="79">
        <v>0</v>
      </c>
      <c r="L87" s="80" t="s">
        <v>28</v>
      </c>
      <c r="M87" s="81">
        <v>5</v>
      </c>
      <c r="N87" s="82">
        <v>8</v>
      </c>
      <c r="O87" s="80" t="s">
        <v>28</v>
      </c>
      <c r="P87" s="44">
        <v>1</v>
      </c>
      <c r="Q87" s="81"/>
      <c r="R87" s="74" t="s">
        <v>28</v>
      </c>
      <c r="S87" s="83">
        <v>8</v>
      </c>
      <c r="T87" s="84">
        <v>0.72916666666666663</v>
      </c>
      <c r="U87" s="202" t="s">
        <v>255</v>
      </c>
      <c r="V87" s="85">
        <v>6.9444444444444441E-3</v>
      </c>
      <c r="W87" s="86"/>
      <c r="X87" s="87">
        <f t="shared" si="7"/>
        <v>0</v>
      </c>
      <c r="Y87" s="63"/>
      <c r="Z87" s="51"/>
      <c r="AA87" s="51"/>
      <c r="AB87" s="51"/>
      <c r="AC87" s="51"/>
      <c r="AD87" s="51"/>
      <c r="AE87" s="51"/>
    </row>
    <row r="88" spans="2:31" ht="30" x14ac:dyDescent="0.25">
      <c r="B88" s="7">
        <v>76</v>
      </c>
      <c r="C88" s="139" t="s">
        <v>300</v>
      </c>
      <c r="D88" s="147" t="s">
        <v>348</v>
      </c>
      <c r="E88" s="138" t="s">
        <v>347</v>
      </c>
      <c r="F88" s="142" t="s">
        <v>317</v>
      </c>
      <c r="G88" s="148" t="s">
        <v>57</v>
      </c>
      <c r="H88" s="149" t="s">
        <v>40</v>
      </c>
      <c r="I88" s="150" t="str">
        <f t="shared" si="6"/>
        <v>R</v>
      </c>
      <c r="J88" s="151">
        <v>3</v>
      </c>
      <c r="K88" s="152">
        <v>0</v>
      </c>
      <c r="L88" s="153" t="s">
        <v>28</v>
      </c>
      <c r="M88" s="154">
        <v>5</v>
      </c>
      <c r="N88" s="155">
        <v>8</v>
      </c>
      <c r="O88" s="153"/>
      <c r="P88" s="156"/>
      <c r="Q88" s="154"/>
      <c r="R88" s="140" t="s">
        <v>28</v>
      </c>
      <c r="S88" s="157">
        <v>5</v>
      </c>
      <c r="T88" s="145">
        <f t="shared" ref="T88:T91" si="8">T87+V87</f>
        <v>0.73611111111111105</v>
      </c>
      <c r="U88" s="203"/>
      <c r="V88" s="158">
        <v>3.472222222222222E-3</v>
      </c>
      <c r="W88" s="86"/>
      <c r="X88" s="87">
        <f t="shared" si="7"/>
        <v>0</v>
      </c>
      <c r="Y88" s="63"/>
      <c r="Z88" s="51"/>
      <c r="AA88" s="51"/>
      <c r="AB88" s="51"/>
      <c r="AC88" s="51"/>
      <c r="AD88" s="51"/>
      <c r="AE88" s="51"/>
    </row>
    <row r="89" spans="2:31" x14ac:dyDescent="0.25">
      <c r="B89" s="7">
        <v>77</v>
      </c>
      <c r="C89" s="139" t="s">
        <v>349</v>
      </c>
      <c r="D89" s="147" t="s">
        <v>324</v>
      </c>
      <c r="E89" s="209" t="s">
        <v>322</v>
      </c>
      <c r="F89" s="142">
        <v>0</v>
      </c>
      <c r="G89" s="148" t="s">
        <v>57</v>
      </c>
      <c r="H89" s="149" t="s">
        <v>40</v>
      </c>
      <c r="I89" s="150" t="str">
        <f t="shared" si="6"/>
        <v>R</v>
      </c>
      <c r="J89" s="151">
        <v>3</v>
      </c>
      <c r="K89" s="152">
        <v>0</v>
      </c>
      <c r="L89" s="153" t="s">
        <v>28</v>
      </c>
      <c r="M89" s="154">
        <v>5</v>
      </c>
      <c r="N89" s="155">
        <v>8</v>
      </c>
      <c r="O89" s="153"/>
      <c r="P89" s="156"/>
      <c r="Q89" s="154"/>
      <c r="R89" s="140" t="s">
        <v>28</v>
      </c>
      <c r="S89" s="157">
        <v>5</v>
      </c>
      <c r="T89" s="145">
        <f t="shared" si="8"/>
        <v>0.73958333333333326</v>
      </c>
      <c r="U89" s="203"/>
      <c r="V89" s="158">
        <v>3.472222222222222E-3</v>
      </c>
      <c r="W89" s="86"/>
      <c r="X89" s="87">
        <f t="shared" si="7"/>
        <v>0</v>
      </c>
      <c r="Y89" s="63"/>
      <c r="Z89" s="51"/>
      <c r="AA89" s="51"/>
      <c r="AB89" s="51"/>
      <c r="AC89" s="51"/>
      <c r="AD89" s="51"/>
      <c r="AE89" s="51"/>
    </row>
    <row r="90" spans="2:31" x14ac:dyDescent="0.25">
      <c r="B90" s="7">
        <v>78</v>
      </c>
      <c r="C90" s="139" t="s">
        <v>327</v>
      </c>
      <c r="D90" s="147" t="s">
        <v>325</v>
      </c>
      <c r="E90" s="138" t="s">
        <v>323</v>
      </c>
      <c r="F90" s="142">
        <v>0</v>
      </c>
      <c r="G90" s="148" t="s">
        <v>57</v>
      </c>
      <c r="H90" s="149" t="s">
        <v>40</v>
      </c>
      <c r="I90" s="150" t="str">
        <f t="shared" si="6"/>
        <v>R</v>
      </c>
      <c r="J90" s="151">
        <v>3</v>
      </c>
      <c r="K90" s="152">
        <v>0</v>
      </c>
      <c r="L90" s="153" t="s">
        <v>28</v>
      </c>
      <c r="M90" s="154">
        <v>5</v>
      </c>
      <c r="N90" s="155">
        <v>8</v>
      </c>
      <c r="O90" s="153"/>
      <c r="P90" s="156"/>
      <c r="Q90" s="154"/>
      <c r="R90" s="140" t="s">
        <v>28</v>
      </c>
      <c r="S90" s="157">
        <v>5</v>
      </c>
      <c r="T90" s="145">
        <f t="shared" si="8"/>
        <v>0.74305555555555547</v>
      </c>
      <c r="U90" s="203"/>
      <c r="V90" s="158">
        <v>3.472222222222222E-3</v>
      </c>
      <c r="W90" s="159"/>
      <c r="X90" s="160"/>
      <c r="Y90" s="63"/>
      <c r="Z90" s="51"/>
      <c r="AA90" s="51"/>
      <c r="AB90" s="51"/>
      <c r="AC90" s="51"/>
      <c r="AD90" s="51"/>
      <c r="AE90" s="51"/>
    </row>
    <row r="91" spans="2:31" ht="30" x14ac:dyDescent="0.25">
      <c r="B91" s="7">
        <v>79</v>
      </c>
      <c r="C91" s="139" t="s">
        <v>351</v>
      </c>
      <c r="D91" s="72" t="s">
        <v>123</v>
      </c>
      <c r="E91" s="73" t="s">
        <v>232</v>
      </c>
      <c r="F91" s="142" t="s">
        <v>317</v>
      </c>
      <c r="G91" s="75" t="s">
        <v>57</v>
      </c>
      <c r="H91" s="76" t="s">
        <v>40</v>
      </c>
      <c r="I91" s="77" t="str">
        <f t="shared" si="6"/>
        <v>R</v>
      </c>
      <c r="J91" s="78">
        <v>3</v>
      </c>
      <c r="K91" s="79">
        <v>0</v>
      </c>
      <c r="L91" s="80" t="s">
        <v>28</v>
      </c>
      <c r="M91" s="81">
        <v>5</v>
      </c>
      <c r="N91" s="82">
        <v>8</v>
      </c>
      <c r="O91" s="80"/>
      <c r="P91" s="44"/>
      <c r="Q91" s="81"/>
      <c r="R91" s="74" t="s">
        <v>28</v>
      </c>
      <c r="S91" s="83">
        <v>5</v>
      </c>
      <c r="T91" s="145">
        <f t="shared" si="8"/>
        <v>0.74652777777777768</v>
      </c>
      <c r="U91" s="204"/>
      <c r="V91" s="85">
        <v>1.3888888888888888E-2</v>
      </c>
      <c r="W91" s="86"/>
      <c r="X91" s="87">
        <f t="shared" si="7"/>
        <v>0</v>
      </c>
      <c r="Y91" s="63"/>
      <c r="Z91" s="51"/>
      <c r="AA91" s="51"/>
      <c r="AB91" s="51"/>
      <c r="AC91" s="51"/>
      <c r="AD91" s="51"/>
      <c r="AE91" s="51"/>
    </row>
    <row r="92" spans="2:31" ht="30" x14ac:dyDescent="0.25">
      <c r="B92" s="7">
        <v>80</v>
      </c>
      <c r="C92" s="88" t="s">
        <v>283</v>
      </c>
      <c r="D92" s="72" t="s">
        <v>124</v>
      </c>
      <c r="E92" s="73" t="s">
        <v>233</v>
      </c>
      <c r="F92" s="141" t="s">
        <v>242</v>
      </c>
      <c r="G92" s="75" t="s">
        <v>57</v>
      </c>
      <c r="H92" s="76" t="s">
        <v>38</v>
      </c>
      <c r="I92" s="77" t="str">
        <f t="shared" si="6"/>
        <v>R</v>
      </c>
      <c r="J92" s="78">
        <v>3</v>
      </c>
      <c r="K92" s="79">
        <v>0</v>
      </c>
      <c r="L92" s="80" t="s">
        <v>28</v>
      </c>
      <c r="M92" s="81">
        <v>5</v>
      </c>
      <c r="N92" s="82">
        <v>8</v>
      </c>
      <c r="O92" s="80" t="s">
        <v>28</v>
      </c>
      <c r="P92" s="44">
        <v>1</v>
      </c>
      <c r="Q92" s="81">
        <v>5</v>
      </c>
      <c r="R92" s="74" t="s">
        <v>28</v>
      </c>
      <c r="S92" s="83">
        <v>6</v>
      </c>
      <c r="T92" s="84">
        <v>0.75</v>
      </c>
      <c r="U92" s="42">
        <v>0.75</v>
      </c>
      <c r="V92" s="85">
        <v>1.3888888888888888E-2</v>
      </c>
      <c r="W92" s="86"/>
      <c r="X92" s="87">
        <f t="shared" si="7"/>
        <v>0</v>
      </c>
      <c r="Y92" s="63"/>
      <c r="Z92" s="51"/>
      <c r="AA92" s="51"/>
      <c r="AB92" s="51"/>
      <c r="AC92" s="51"/>
      <c r="AD92" s="51"/>
      <c r="AE92" s="51"/>
    </row>
    <row r="93" spans="2:31" x14ac:dyDescent="0.25">
      <c r="B93" s="7">
        <v>81</v>
      </c>
      <c r="C93" s="88" t="s">
        <v>46</v>
      </c>
      <c r="D93" s="72" t="s">
        <v>125</v>
      </c>
      <c r="E93" s="73" t="s">
        <v>42</v>
      </c>
      <c r="F93" s="141" t="s">
        <v>165</v>
      </c>
      <c r="G93" s="75" t="s">
        <v>196</v>
      </c>
      <c r="H93" s="76" t="s">
        <v>40</v>
      </c>
      <c r="I93" s="77" t="str">
        <f t="shared" si="6"/>
        <v>R</v>
      </c>
      <c r="J93" s="78">
        <v>-1</v>
      </c>
      <c r="K93" s="79">
        <v>3</v>
      </c>
      <c r="L93" s="80" t="s">
        <v>28</v>
      </c>
      <c r="M93" s="81">
        <v>3</v>
      </c>
      <c r="N93" s="82">
        <v>6</v>
      </c>
      <c r="O93" s="80"/>
      <c r="P93" s="44"/>
      <c r="Q93" s="81"/>
      <c r="R93" s="74" t="s">
        <v>28</v>
      </c>
      <c r="S93" s="83">
        <v>5</v>
      </c>
      <c r="T93" s="84">
        <v>0.75</v>
      </c>
      <c r="U93" s="42">
        <v>0.75</v>
      </c>
      <c r="V93" s="85">
        <v>2.0833333333333332E-2</v>
      </c>
      <c r="W93" s="86"/>
      <c r="X93" s="87">
        <f t="shared" si="7"/>
        <v>0.99930555555555556</v>
      </c>
      <c r="Y93" s="63"/>
      <c r="Z93" s="51"/>
      <c r="AA93" s="51"/>
      <c r="AB93" s="51"/>
      <c r="AC93" s="51"/>
      <c r="AD93" s="51"/>
      <c r="AE93" s="51"/>
    </row>
    <row r="94" spans="2:31" ht="30" x14ac:dyDescent="0.25">
      <c r="B94" s="7">
        <v>82</v>
      </c>
      <c r="C94" s="119" t="s">
        <v>301</v>
      </c>
      <c r="D94" s="72" t="s">
        <v>126</v>
      </c>
      <c r="E94" s="73" t="s">
        <v>234</v>
      </c>
      <c r="F94" s="141" t="s">
        <v>165</v>
      </c>
      <c r="G94" s="75" t="s">
        <v>251</v>
      </c>
      <c r="H94" s="76" t="s">
        <v>39</v>
      </c>
      <c r="I94" s="77" t="str">
        <f t="shared" si="6"/>
        <v>R</v>
      </c>
      <c r="J94" s="78">
        <v>-1</v>
      </c>
      <c r="K94" s="79">
        <v>3</v>
      </c>
      <c r="L94" s="80" t="s">
        <v>28</v>
      </c>
      <c r="M94" s="81">
        <v>6</v>
      </c>
      <c r="N94" s="82">
        <v>7</v>
      </c>
      <c r="O94" s="80"/>
      <c r="P94" s="44"/>
      <c r="Q94" s="81"/>
      <c r="R94" s="74" t="s">
        <v>28</v>
      </c>
      <c r="S94" s="83">
        <v>6</v>
      </c>
      <c r="T94" s="84">
        <v>0.77083333333333337</v>
      </c>
      <c r="U94" s="42">
        <v>0.77083333333333337</v>
      </c>
      <c r="V94" s="85">
        <v>2.0833333333333332E-2</v>
      </c>
      <c r="W94" s="86"/>
      <c r="X94" s="87">
        <f t="shared" si="7"/>
        <v>0.99930555555555556</v>
      </c>
      <c r="Y94" s="63"/>
      <c r="Z94" s="51"/>
      <c r="AA94" s="51"/>
      <c r="AB94" s="51"/>
      <c r="AC94" s="51"/>
      <c r="AD94" s="51"/>
      <c r="AE94" s="51"/>
    </row>
    <row r="95" spans="2:31" ht="30" x14ac:dyDescent="0.25">
      <c r="B95" s="7">
        <v>83</v>
      </c>
      <c r="C95" s="119" t="s">
        <v>302</v>
      </c>
      <c r="D95" s="72" t="s">
        <v>127</v>
      </c>
      <c r="E95" s="73" t="s">
        <v>25</v>
      </c>
      <c r="F95" s="141" t="s">
        <v>159</v>
      </c>
      <c r="G95" s="75" t="s">
        <v>250</v>
      </c>
      <c r="H95" s="76" t="s">
        <v>38</v>
      </c>
      <c r="I95" s="77" t="str">
        <f t="shared" si="6"/>
        <v>R</v>
      </c>
      <c r="J95" s="78">
        <v>-1</v>
      </c>
      <c r="K95" s="79">
        <v>3</v>
      </c>
      <c r="L95" s="80" t="s">
        <v>28</v>
      </c>
      <c r="M95" s="81">
        <v>3</v>
      </c>
      <c r="N95" s="82">
        <v>5</v>
      </c>
      <c r="O95" s="80"/>
      <c r="P95" s="44"/>
      <c r="Q95" s="81"/>
      <c r="R95" s="74" t="s">
        <v>28</v>
      </c>
      <c r="S95" s="83">
        <v>5</v>
      </c>
      <c r="T95" s="84">
        <v>0.77083333333333337</v>
      </c>
      <c r="U95" s="42">
        <v>0.77083333333333337</v>
      </c>
      <c r="V95" s="85">
        <v>3.125E-2</v>
      </c>
      <c r="W95" s="86"/>
      <c r="X95" s="87">
        <f t="shared" si="7"/>
        <v>0.99930555555555556</v>
      </c>
      <c r="Y95" s="63"/>
      <c r="Z95" s="51"/>
      <c r="AA95" s="51"/>
      <c r="AB95" s="51"/>
      <c r="AC95" s="51"/>
      <c r="AD95" s="51"/>
      <c r="AE95" s="51"/>
    </row>
    <row r="96" spans="2:31" x14ac:dyDescent="0.25">
      <c r="B96" s="7">
        <v>84</v>
      </c>
      <c r="C96" s="169" t="s">
        <v>336</v>
      </c>
      <c r="D96" s="147" t="s">
        <v>324</v>
      </c>
      <c r="E96" s="138" t="s">
        <v>322</v>
      </c>
      <c r="F96" s="142">
        <v>0</v>
      </c>
      <c r="G96" s="148" t="s">
        <v>57</v>
      </c>
      <c r="H96" s="149" t="s">
        <v>40</v>
      </c>
      <c r="I96" s="150" t="str">
        <f t="shared" si="6"/>
        <v>R</v>
      </c>
      <c r="J96" s="151">
        <v>3</v>
      </c>
      <c r="K96" s="152">
        <v>0</v>
      </c>
      <c r="L96" s="153" t="s">
        <v>28</v>
      </c>
      <c r="M96" s="154">
        <v>5</v>
      </c>
      <c r="N96" s="155">
        <v>8</v>
      </c>
      <c r="O96" s="153"/>
      <c r="P96" s="156"/>
      <c r="Q96" s="154"/>
      <c r="R96" s="140" t="s">
        <v>28</v>
      </c>
      <c r="S96" s="157">
        <v>5</v>
      </c>
      <c r="T96" s="145">
        <v>0.79166666666666663</v>
      </c>
      <c r="U96" s="202" t="s">
        <v>337</v>
      </c>
      <c r="V96" s="158">
        <v>3.472222222222222E-3</v>
      </c>
      <c r="W96" s="159"/>
      <c r="X96" s="160">
        <f t="shared" si="7"/>
        <v>0</v>
      </c>
      <c r="Y96" s="63"/>
      <c r="Z96" s="51"/>
      <c r="AA96" s="51"/>
      <c r="AB96" s="51"/>
      <c r="AC96" s="51"/>
      <c r="AD96" s="51"/>
      <c r="AE96" s="51"/>
    </row>
    <row r="97" spans="2:31" x14ac:dyDescent="0.25">
      <c r="B97" s="7">
        <v>85</v>
      </c>
      <c r="C97" s="139" t="s">
        <v>327</v>
      </c>
      <c r="D97" s="147" t="s">
        <v>325</v>
      </c>
      <c r="E97" s="138" t="s">
        <v>323</v>
      </c>
      <c r="F97" s="142">
        <v>0</v>
      </c>
      <c r="G97" s="148" t="s">
        <v>57</v>
      </c>
      <c r="H97" s="149" t="s">
        <v>40</v>
      </c>
      <c r="I97" s="150" t="str">
        <f t="shared" si="6"/>
        <v>R</v>
      </c>
      <c r="J97" s="151">
        <v>3</v>
      </c>
      <c r="K97" s="152">
        <v>0</v>
      </c>
      <c r="L97" s="153" t="s">
        <v>28</v>
      </c>
      <c r="M97" s="154">
        <v>5</v>
      </c>
      <c r="N97" s="155">
        <v>8</v>
      </c>
      <c r="O97" s="153"/>
      <c r="P97" s="156"/>
      <c r="Q97" s="154"/>
      <c r="R97" s="140" t="s">
        <v>28</v>
      </c>
      <c r="S97" s="157">
        <v>5</v>
      </c>
      <c r="T97" s="145">
        <f>T96+V96</f>
        <v>0.79513888888888884</v>
      </c>
      <c r="U97" s="203"/>
      <c r="V97" s="158">
        <v>3.472222222222222E-3</v>
      </c>
      <c r="W97" s="159"/>
      <c r="X97" s="160">
        <f t="shared" si="7"/>
        <v>0</v>
      </c>
      <c r="Y97" s="63"/>
      <c r="Z97" s="51"/>
      <c r="AA97" s="51"/>
      <c r="AB97" s="51"/>
      <c r="AC97" s="51"/>
      <c r="AD97" s="51"/>
      <c r="AE97" s="51"/>
    </row>
    <row r="98" spans="2:31" ht="30" x14ac:dyDescent="0.25">
      <c r="B98" s="7">
        <v>86</v>
      </c>
      <c r="C98" s="139" t="s">
        <v>328</v>
      </c>
      <c r="D98" s="147" t="s">
        <v>326</v>
      </c>
      <c r="E98" s="138" t="s">
        <v>330</v>
      </c>
      <c r="F98" s="142" t="s">
        <v>333</v>
      </c>
      <c r="G98" s="148" t="s">
        <v>57</v>
      </c>
      <c r="H98" s="149" t="s">
        <v>40</v>
      </c>
      <c r="I98" s="150" t="str">
        <f t="shared" si="6"/>
        <v>R</v>
      </c>
      <c r="J98" s="151">
        <v>3</v>
      </c>
      <c r="K98" s="152">
        <v>0</v>
      </c>
      <c r="L98" s="153" t="s">
        <v>28</v>
      </c>
      <c r="M98" s="154">
        <v>5</v>
      </c>
      <c r="N98" s="155">
        <v>8</v>
      </c>
      <c r="O98" s="153"/>
      <c r="P98" s="156"/>
      <c r="Q98" s="154"/>
      <c r="R98" s="140" t="s">
        <v>28</v>
      </c>
      <c r="S98" s="157">
        <v>5</v>
      </c>
      <c r="T98" s="145">
        <f>T97+V97</f>
        <v>0.79861111111111105</v>
      </c>
      <c r="U98" s="203"/>
      <c r="V98" s="158">
        <v>3.472222222222222E-3</v>
      </c>
      <c r="W98" s="159"/>
      <c r="X98" s="160">
        <f t="shared" si="7"/>
        <v>0</v>
      </c>
      <c r="Y98" s="63"/>
      <c r="Z98" s="51"/>
      <c r="AA98" s="51"/>
      <c r="AB98" s="51"/>
      <c r="AC98" s="51"/>
      <c r="AD98" s="51"/>
      <c r="AE98" s="51"/>
    </row>
    <row r="99" spans="2:31" ht="30" x14ac:dyDescent="0.25">
      <c r="B99" s="7">
        <v>87</v>
      </c>
      <c r="C99" s="139" t="s">
        <v>329</v>
      </c>
      <c r="D99" s="72" t="s">
        <v>128</v>
      </c>
      <c r="E99" s="73" t="s">
        <v>235</v>
      </c>
      <c r="F99" s="142" t="s">
        <v>318</v>
      </c>
      <c r="G99" s="75" t="s">
        <v>57</v>
      </c>
      <c r="H99" s="76" t="s">
        <v>40</v>
      </c>
      <c r="I99" s="77" t="str">
        <f t="shared" si="6"/>
        <v>R</v>
      </c>
      <c r="J99" s="78">
        <v>3</v>
      </c>
      <c r="K99" s="79">
        <v>0</v>
      </c>
      <c r="L99" s="80" t="s">
        <v>28</v>
      </c>
      <c r="M99" s="81">
        <v>5</v>
      </c>
      <c r="N99" s="82">
        <v>8</v>
      </c>
      <c r="O99" s="80"/>
      <c r="P99" s="44"/>
      <c r="Q99" s="81"/>
      <c r="R99" s="74" t="s">
        <v>28</v>
      </c>
      <c r="S99" s="83">
        <v>5</v>
      </c>
      <c r="T99" s="145">
        <f>T98+V98</f>
        <v>0.80208333333333326</v>
      </c>
      <c r="U99" s="204"/>
      <c r="V99" s="85">
        <v>2.0833333333333332E-2</v>
      </c>
      <c r="W99" s="86"/>
      <c r="X99" s="87">
        <f t="shared" si="7"/>
        <v>0</v>
      </c>
      <c r="Y99" s="63"/>
      <c r="Z99" s="51"/>
      <c r="AA99" s="51"/>
      <c r="AB99" s="51"/>
      <c r="AC99" s="51"/>
      <c r="AD99" s="51"/>
      <c r="AE99" s="51"/>
    </row>
    <row r="100" spans="2:31" x14ac:dyDescent="0.25">
      <c r="B100" s="7">
        <v>88</v>
      </c>
      <c r="C100" s="117" t="s">
        <v>303</v>
      </c>
      <c r="D100" s="72" t="s">
        <v>129</v>
      </c>
      <c r="E100" s="73" t="s">
        <v>23</v>
      </c>
      <c r="F100" s="141" t="s">
        <v>243</v>
      </c>
      <c r="G100" s="75" t="s">
        <v>57</v>
      </c>
      <c r="H100" s="76" t="s">
        <v>39</v>
      </c>
      <c r="I100" s="77" t="str">
        <f t="shared" si="6"/>
        <v>R</v>
      </c>
      <c r="J100" s="78">
        <v>1</v>
      </c>
      <c r="K100" s="79">
        <v>2</v>
      </c>
      <c r="L100" s="80" t="s">
        <v>28</v>
      </c>
      <c r="M100" s="81">
        <v>6</v>
      </c>
      <c r="N100" s="82">
        <v>8</v>
      </c>
      <c r="O100" s="80" t="s">
        <v>28</v>
      </c>
      <c r="P100" s="44">
        <v>1</v>
      </c>
      <c r="Q100" s="81">
        <v>6</v>
      </c>
      <c r="R100" s="74" t="s">
        <v>28</v>
      </c>
      <c r="S100" s="83">
        <v>6</v>
      </c>
      <c r="T100" s="84">
        <v>0.8125</v>
      </c>
      <c r="U100" s="42">
        <v>0.8125</v>
      </c>
      <c r="V100" s="85">
        <v>8.3333333333333329E-2</v>
      </c>
      <c r="W100" s="86"/>
      <c r="X100" s="87">
        <f t="shared" si="7"/>
        <v>0.5</v>
      </c>
      <c r="Y100" s="63"/>
      <c r="Z100" s="51"/>
      <c r="AA100" s="51"/>
      <c r="AB100" s="51"/>
      <c r="AC100" s="51"/>
      <c r="AD100" s="51"/>
      <c r="AE100" s="51"/>
    </row>
    <row r="101" spans="2:31" x14ac:dyDescent="0.25">
      <c r="B101" s="7">
        <v>89</v>
      </c>
      <c r="C101" s="88" t="s">
        <v>44</v>
      </c>
      <c r="D101" s="72" t="s">
        <v>130</v>
      </c>
      <c r="E101" s="73" t="s">
        <v>27</v>
      </c>
      <c r="F101" s="141" t="s">
        <v>164</v>
      </c>
      <c r="G101" s="75" t="s">
        <v>57</v>
      </c>
      <c r="H101" s="76" t="s">
        <v>39</v>
      </c>
      <c r="I101" s="77" t="str">
        <f t="shared" si="6"/>
        <v>R</v>
      </c>
      <c r="J101" s="78">
        <v>2</v>
      </c>
      <c r="K101" s="79">
        <v>0</v>
      </c>
      <c r="L101" s="80" t="s">
        <v>28</v>
      </c>
      <c r="M101" s="81">
        <v>8</v>
      </c>
      <c r="N101" s="82">
        <v>6</v>
      </c>
      <c r="O101" s="80"/>
      <c r="P101" s="44"/>
      <c r="Q101" s="81"/>
      <c r="R101" s="74" t="s">
        <v>28</v>
      </c>
      <c r="S101" s="83">
        <v>5</v>
      </c>
      <c r="T101" s="84">
        <v>0.8125</v>
      </c>
      <c r="U101" s="42">
        <v>0.8125</v>
      </c>
      <c r="V101" s="85">
        <v>6.25E-2</v>
      </c>
      <c r="W101" s="86"/>
      <c r="X101" s="87">
        <f t="shared" si="7"/>
        <v>0</v>
      </c>
      <c r="Y101" s="63"/>
      <c r="Z101" s="51"/>
      <c r="AA101" s="51"/>
      <c r="AB101" s="51"/>
      <c r="AC101" s="51"/>
      <c r="AD101" s="51"/>
      <c r="AE101" s="51"/>
    </row>
    <row r="102" spans="2:31" ht="15" customHeight="1" x14ac:dyDescent="0.25">
      <c r="B102" s="7">
        <v>90</v>
      </c>
      <c r="C102" s="169" t="s">
        <v>44</v>
      </c>
      <c r="D102" s="147" t="s">
        <v>324</v>
      </c>
      <c r="E102" s="209" t="s">
        <v>322</v>
      </c>
      <c r="F102" s="142">
        <v>0</v>
      </c>
      <c r="G102" s="148" t="s">
        <v>57</v>
      </c>
      <c r="H102" s="149" t="s">
        <v>40</v>
      </c>
      <c r="I102" s="150" t="str">
        <f t="shared" si="6"/>
        <v>R</v>
      </c>
      <c r="J102" s="151">
        <v>3</v>
      </c>
      <c r="K102" s="152">
        <v>0</v>
      </c>
      <c r="L102" s="153" t="s">
        <v>28</v>
      </c>
      <c r="M102" s="154">
        <v>5</v>
      </c>
      <c r="N102" s="155">
        <v>8</v>
      </c>
      <c r="O102" s="153"/>
      <c r="P102" s="156"/>
      <c r="Q102" s="154"/>
      <c r="R102" s="140" t="s">
        <v>28</v>
      </c>
      <c r="S102" s="157">
        <v>5</v>
      </c>
      <c r="T102" s="145">
        <v>0.83333333333333337</v>
      </c>
      <c r="U102" s="202" t="s">
        <v>346</v>
      </c>
      <c r="V102" s="158">
        <v>3.472222222222222E-3</v>
      </c>
      <c r="W102" s="159"/>
      <c r="X102" s="160">
        <f t="shared" si="7"/>
        <v>0</v>
      </c>
      <c r="Y102" s="63"/>
      <c r="Z102" s="51"/>
      <c r="AA102" s="51"/>
      <c r="AB102" s="51"/>
      <c r="AC102" s="51"/>
      <c r="AD102" s="51"/>
      <c r="AE102" s="51"/>
    </row>
    <row r="103" spans="2:31" ht="30" x14ac:dyDescent="0.25">
      <c r="B103" s="7">
        <v>91</v>
      </c>
      <c r="C103" s="139" t="s">
        <v>327</v>
      </c>
      <c r="D103" s="72" t="s">
        <v>131</v>
      </c>
      <c r="E103" s="73" t="s">
        <v>236</v>
      </c>
      <c r="F103" s="141" t="s">
        <v>311</v>
      </c>
      <c r="G103" s="75" t="s">
        <v>57</v>
      </c>
      <c r="H103" s="76" t="s">
        <v>40</v>
      </c>
      <c r="I103" s="77" t="str">
        <f t="shared" si="6"/>
        <v>R</v>
      </c>
      <c r="J103" s="78">
        <v>2</v>
      </c>
      <c r="K103" s="79">
        <v>0</v>
      </c>
      <c r="L103" s="80" t="s">
        <v>28</v>
      </c>
      <c r="M103" s="81">
        <v>5</v>
      </c>
      <c r="N103" s="82">
        <v>8</v>
      </c>
      <c r="O103" s="80"/>
      <c r="P103" s="44"/>
      <c r="Q103" s="81"/>
      <c r="R103" s="74" t="s">
        <v>28</v>
      </c>
      <c r="S103" s="83">
        <v>5</v>
      </c>
      <c r="T103" s="145">
        <f>T102+V102</f>
        <v>0.83680555555555558</v>
      </c>
      <c r="U103" s="204"/>
      <c r="V103" s="85">
        <v>4.1666666666666664E-2</v>
      </c>
      <c r="W103" s="86"/>
      <c r="X103" s="87">
        <f t="shared" si="7"/>
        <v>0</v>
      </c>
      <c r="Y103" s="63"/>
      <c r="Z103" s="51"/>
      <c r="AA103" s="51"/>
      <c r="AB103" s="51"/>
      <c r="AC103" s="51"/>
      <c r="AD103" s="51"/>
      <c r="AE103" s="51"/>
    </row>
    <row r="104" spans="2:31" ht="30" x14ac:dyDescent="0.25">
      <c r="B104" s="7">
        <v>92</v>
      </c>
      <c r="C104" s="88" t="s">
        <v>44</v>
      </c>
      <c r="D104" s="72" t="s">
        <v>132</v>
      </c>
      <c r="E104" s="73" t="s">
        <v>237</v>
      </c>
      <c r="F104" s="141" t="s">
        <v>242</v>
      </c>
      <c r="G104" s="75" t="s">
        <v>57</v>
      </c>
      <c r="H104" s="76" t="s">
        <v>40</v>
      </c>
      <c r="I104" s="77" t="str">
        <f t="shared" si="6"/>
        <v>R</v>
      </c>
      <c r="J104" s="78">
        <v>3</v>
      </c>
      <c r="K104" s="79">
        <v>0</v>
      </c>
      <c r="L104" s="80" t="s">
        <v>28</v>
      </c>
      <c r="M104" s="81">
        <v>6</v>
      </c>
      <c r="N104" s="82">
        <v>8</v>
      </c>
      <c r="O104" s="80"/>
      <c r="P104" s="44"/>
      <c r="Q104" s="81"/>
      <c r="R104" s="74" t="s">
        <v>28</v>
      </c>
      <c r="S104" s="83">
        <v>8</v>
      </c>
      <c r="T104" s="145">
        <f t="shared" ref="T104:T108" si="9">T103+V103</f>
        <v>0.87847222222222221</v>
      </c>
      <c r="U104" s="202" t="s">
        <v>343</v>
      </c>
      <c r="V104" s="158">
        <v>6.9444444444444441E-3</v>
      </c>
      <c r="W104" s="86"/>
      <c r="X104" s="87">
        <f t="shared" si="7"/>
        <v>0</v>
      </c>
      <c r="Y104" s="63"/>
      <c r="Z104" s="51"/>
      <c r="AA104" s="51"/>
      <c r="AB104" s="51"/>
      <c r="AC104" s="51"/>
      <c r="AD104" s="51"/>
      <c r="AE104" s="51"/>
    </row>
    <row r="105" spans="2:31" x14ac:dyDescent="0.25">
      <c r="B105" s="7">
        <v>93</v>
      </c>
      <c r="C105" s="169" t="s">
        <v>345</v>
      </c>
      <c r="D105" s="147" t="s">
        <v>324</v>
      </c>
      <c r="E105" s="209" t="s">
        <v>322</v>
      </c>
      <c r="F105" s="142">
        <v>0</v>
      </c>
      <c r="G105" s="148" t="s">
        <v>57</v>
      </c>
      <c r="H105" s="149" t="s">
        <v>40</v>
      </c>
      <c r="I105" s="150" t="str">
        <f t="shared" si="6"/>
        <v>R</v>
      </c>
      <c r="J105" s="151">
        <v>3</v>
      </c>
      <c r="K105" s="152">
        <v>0</v>
      </c>
      <c r="L105" s="153" t="s">
        <v>28</v>
      </c>
      <c r="M105" s="154">
        <v>5</v>
      </c>
      <c r="N105" s="155">
        <v>8</v>
      </c>
      <c r="O105" s="153"/>
      <c r="P105" s="156"/>
      <c r="Q105" s="154"/>
      <c r="R105" s="140" t="s">
        <v>28</v>
      </c>
      <c r="S105" s="157">
        <v>5</v>
      </c>
      <c r="T105" s="145">
        <f t="shared" si="9"/>
        <v>0.88541666666666663</v>
      </c>
      <c r="U105" s="204"/>
      <c r="V105" s="158">
        <v>3.472222222222222E-3</v>
      </c>
      <c r="W105" s="159"/>
      <c r="X105" s="160">
        <f t="shared" si="7"/>
        <v>0</v>
      </c>
      <c r="Y105" s="63"/>
      <c r="Z105" s="51"/>
      <c r="AA105" s="51"/>
      <c r="AB105" s="51"/>
      <c r="AC105" s="51"/>
      <c r="AD105" s="51"/>
      <c r="AE105" s="51"/>
    </row>
    <row r="106" spans="2:31" ht="30" x14ac:dyDescent="0.25">
      <c r="B106" s="7">
        <v>94</v>
      </c>
      <c r="C106" s="88" t="s">
        <v>44</v>
      </c>
      <c r="D106" s="72" t="s">
        <v>133</v>
      </c>
      <c r="E106" s="73" t="s">
        <v>220</v>
      </c>
      <c r="F106" s="141" t="s">
        <v>243</v>
      </c>
      <c r="G106" s="75" t="s">
        <v>250</v>
      </c>
      <c r="H106" s="76" t="s">
        <v>38</v>
      </c>
      <c r="I106" s="77" t="str">
        <f t="shared" si="6"/>
        <v>R</v>
      </c>
      <c r="J106" s="78">
        <v>-1</v>
      </c>
      <c r="K106" s="79">
        <v>3</v>
      </c>
      <c r="L106" s="80" t="s">
        <v>28</v>
      </c>
      <c r="M106" s="81">
        <v>5</v>
      </c>
      <c r="N106" s="82">
        <v>10</v>
      </c>
      <c r="O106" s="80"/>
      <c r="P106" s="44"/>
      <c r="Q106" s="81"/>
      <c r="R106" s="74" t="s">
        <v>28</v>
      </c>
      <c r="S106" s="83">
        <v>6</v>
      </c>
      <c r="T106" s="145">
        <f t="shared" si="9"/>
        <v>0.88888888888888884</v>
      </c>
      <c r="U106" s="42">
        <v>0.85416666666666663</v>
      </c>
      <c r="V106" s="85">
        <v>8.3333333333333329E-2</v>
      </c>
      <c r="W106" s="86"/>
      <c r="X106" s="87">
        <f t="shared" si="7"/>
        <v>0.99930555555555556</v>
      </c>
      <c r="Y106" s="63"/>
      <c r="Z106" s="51"/>
      <c r="AA106" s="51"/>
      <c r="AB106" s="51"/>
      <c r="AC106" s="51"/>
      <c r="AD106" s="51"/>
      <c r="AE106" s="51"/>
    </row>
    <row r="107" spans="2:31" x14ac:dyDescent="0.25">
      <c r="B107" s="7">
        <v>95</v>
      </c>
      <c r="C107" s="88" t="s">
        <v>309</v>
      </c>
      <c r="D107" s="72" t="s">
        <v>134</v>
      </c>
      <c r="E107" s="73" t="s">
        <v>221</v>
      </c>
      <c r="F107" s="141" t="s">
        <v>243</v>
      </c>
      <c r="G107" s="75" t="s">
        <v>196</v>
      </c>
      <c r="H107" s="76" t="s">
        <v>39</v>
      </c>
      <c r="I107" s="77" t="str">
        <f t="shared" si="6"/>
        <v>R</v>
      </c>
      <c r="J107" s="78">
        <v>2</v>
      </c>
      <c r="K107" s="79">
        <v>0</v>
      </c>
      <c r="L107" s="80" t="s">
        <v>28</v>
      </c>
      <c r="M107" s="81">
        <v>3</v>
      </c>
      <c r="N107" s="82">
        <v>6</v>
      </c>
      <c r="O107" s="80"/>
      <c r="P107" s="44"/>
      <c r="Q107" s="81"/>
      <c r="R107" s="74" t="s">
        <v>28</v>
      </c>
      <c r="S107" s="83">
        <v>6</v>
      </c>
      <c r="T107" s="145">
        <f t="shared" si="9"/>
        <v>0.97222222222222221</v>
      </c>
      <c r="U107" s="42" t="s">
        <v>189</v>
      </c>
      <c r="V107" s="85">
        <v>1.0416666666666666E-2</v>
      </c>
      <c r="W107" s="86"/>
      <c r="X107" s="87">
        <f t="shared" si="7"/>
        <v>0</v>
      </c>
      <c r="Y107" s="63"/>
      <c r="Z107" s="51"/>
      <c r="AA107" s="51"/>
      <c r="AB107" s="51"/>
      <c r="AC107" s="51"/>
      <c r="AD107" s="51"/>
      <c r="AE107" s="51"/>
    </row>
    <row r="108" spans="2:31" ht="30" x14ac:dyDescent="0.25">
      <c r="B108" s="7">
        <v>96</v>
      </c>
      <c r="C108" s="88" t="s">
        <v>44</v>
      </c>
      <c r="D108" s="72" t="s">
        <v>135</v>
      </c>
      <c r="E108" s="73" t="s">
        <v>238</v>
      </c>
      <c r="F108" s="141" t="s">
        <v>162</v>
      </c>
      <c r="G108" s="75" t="s">
        <v>57</v>
      </c>
      <c r="H108" s="76" t="s">
        <v>40</v>
      </c>
      <c r="I108" s="77" t="str">
        <f t="shared" si="6"/>
        <v>R</v>
      </c>
      <c r="J108" s="78">
        <v>3</v>
      </c>
      <c r="K108" s="79">
        <v>0</v>
      </c>
      <c r="L108" s="80" t="s">
        <v>28</v>
      </c>
      <c r="M108" s="81">
        <v>5</v>
      </c>
      <c r="N108" s="82">
        <v>10</v>
      </c>
      <c r="O108" s="80" t="s">
        <v>28</v>
      </c>
      <c r="P108" s="44">
        <v>1</v>
      </c>
      <c r="Q108" s="81"/>
      <c r="R108" s="74" t="s">
        <v>28</v>
      </c>
      <c r="S108" s="83">
        <v>8</v>
      </c>
      <c r="T108" s="145">
        <f t="shared" si="9"/>
        <v>0.98263888888888884</v>
      </c>
      <c r="U108" s="42">
        <v>0.91666666666666663</v>
      </c>
      <c r="V108" s="85">
        <v>3.472222222222222E-3</v>
      </c>
      <c r="W108" s="86"/>
      <c r="X108" s="87">
        <f t="shared" si="7"/>
        <v>0</v>
      </c>
      <c r="Y108" s="63"/>
      <c r="Z108" s="51"/>
      <c r="AA108" s="51"/>
      <c r="AB108" s="51"/>
      <c r="AC108" s="51"/>
      <c r="AD108" s="51"/>
      <c r="AE108" s="51"/>
    </row>
    <row r="109" spans="2:31" x14ac:dyDescent="0.25">
      <c r="B109" s="7">
        <v>97</v>
      </c>
      <c r="C109" s="117" t="s">
        <v>304</v>
      </c>
      <c r="D109" s="72" t="s">
        <v>136</v>
      </c>
      <c r="E109" s="73" t="s">
        <v>247</v>
      </c>
      <c r="F109" s="141" t="s">
        <v>242</v>
      </c>
      <c r="G109" s="75" t="s">
        <v>57</v>
      </c>
      <c r="H109" s="76" t="s">
        <v>40</v>
      </c>
      <c r="I109" s="77" t="str">
        <f t="shared" si="6"/>
        <v>R</v>
      </c>
      <c r="J109" s="78">
        <v>1</v>
      </c>
      <c r="K109" s="79">
        <v>0</v>
      </c>
      <c r="L109" s="80" t="s">
        <v>28</v>
      </c>
      <c r="M109" s="81">
        <v>8</v>
      </c>
      <c r="N109" s="82">
        <v>10</v>
      </c>
      <c r="O109" s="80" t="s">
        <v>28</v>
      </c>
      <c r="P109" s="44">
        <v>1</v>
      </c>
      <c r="Q109" s="81">
        <v>10</v>
      </c>
      <c r="R109" s="74" t="s">
        <v>28</v>
      </c>
      <c r="S109" s="83">
        <v>8</v>
      </c>
      <c r="T109" s="90" t="s">
        <v>185</v>
      </c>
      <c r="U109" s="48" t="s">
        <v>185</v>
      </c>
      <c r="V109" s="85">
        <v>2.0833333333333333E-3</v>
      </c>
      <c r="W109" s="86"/>
      <c r="X109" s="87">
        <f t="shared" si="7"/>
        <v>0</v>
      </c>
      <c r="Y109" s="63"/>
      <c r="Z109" s="51"/>
      <c r="AA109" s="51"/>
      <c r="AB109" s="51"/>
      <c r="AC109" s="51"/>
      <c r="AD109" s="51"/>
      <c r="AE109" s="51"/>
    </row>
    <row r="110" spans="2:31" ht="30" x14ac:dyDescent="0.25">
      <c r="B110" s="7">
        <v>98</v>
      </c>
      <c r="C110" s="117" t="s">
        <v>305</v>
      </c>
      <c r="D110" s="72" t="s">
        <v>137</v>
      </c>
      <c r="E110" s="73" t="s">
        <v>266</v>
      </c>
      <c r="F110" s="141" t="s">
        <v>311</v>
      </c>
      <c r="G110" s="75" t="s">
        <v>57</v>
      </c>
      <c r="H110" s="76" t="s">
        <v>40</v>
      </c>
      <c r="I110" s="77" t="str">
        <f t="shared" si="6"/>
        <v>R</v>
      </c>
      <c r="J110" s="78">
        <v>1</v>
      </c>
      <c r="K110" s="79">
        <v>0</v>
      </c>
      <c r="L110" s="80" t="s">
        <v>28</v>
      </c>
      <c r="M110" s="81">
        <v>3</v>
      </c>
      <c r="N110" s="82">
        <v>5</v>
      </c>
      <c r="O110" s="80" t="s">
        <v>28</v>
      </c>
      <c r="P110" s="44">
        <v>1</v>
      </c>
      <c r="Q110" s="81">
        <v>6</v>
      </c>
      <c r="R110" s="74" t="s">
        <v>28</v>
      </c>
      <c r="S110" s="83">
        <v>6</v>
      </c>
      <c r="T110" s="84" t="s">
        <v>185</v>
      </c>
      <c r="U110" s="42" t="s">
        <v>185</v>
      </c>
      <c r="V110" s="85">
        <v>6.9444444444444441E-3</v>
      </c>
      <c r="W110" s="86"/>
      <c r="X110" s="87">
        <f t="shared" si="7"/>
        <v>0</v>
      </c>
      <c r="Y110" s="63"/>
      <c r="Z110" s="51"/>
      <c r="AA110" s="51"/>
      <c r="AB110" s="51"/>
      <c r="AC110" s="51"/>
      <c r="AD110" s="51"/>
      <c r="AE110" s="51"/>
    </row>
    <row r="111" spans="2:31" ht="30" x14ac:dyDescent="0.25">
      <c r="B111" s="7">
        <v>99</v>
      </c>
      <c r="C111" s="117" t="s">
        <v>306</v>
      </c>
      <c r="D111" s="72" t="s">
        <v>138</v>
      </c>
      <c r="E111" s="73" t="s">
        <v>257</v>
      </c>
      <c r="F111" s="141" t="s">
        <v>159</v>
      </c>
      <c r="G111" s="75" t="s">
        <v>57</v>
      </c>
      <c r="H111" s="76" t="s">
        <v>39</v>
      </c>
      <c r="I111" s="77" t="str">
        <f t="shared" si="6"/>
        <v>R</v>
      </c>
      <c r="J111" s="78">
        <v>2</v>
      </c>
      <c r="K111" s="79">
        <v>0</v>
      </c>
      <c r="L111" s="80" t="s">
        <v>28</v>
      </c>
      <c r="M111" s="81">
        <v>3</v>
      </c>
      <c r="N111" s="82">
        <v>9</v>
      </c>
      <c r="O111" s="80" t="s">
        <v>28</v>
      </c>
      <c r="P111" s="44">
        <v>1</v>
      </c>
      <c r="Q111" s="81">
        <v>8</v>
      </c>
      <c r="R111" s="74" t="s">
        <v>28</v>
      </c>
      <c r="S111" s="83">
        <v>2</v>
      </c>
      <c r="T111" s="84" t="s">
        <v>185</v>
      </c>
      <c r="U111" s="42" t="s">
        <v>185</v>
      </c>
      <c r="V111" s="85">
        <v>1.3888888888888888E-2</v>
      </c>
      <c r="W111" s="86"/>
      <c r="X111" s="87">
        <f t="shared" si="7"/>
        <v>0</v>
      </c>
      <c r="Y111" s="63"/>
      <c r="Z111" s="51"/>
      <c r="AA111" s="51"/>
      <c r="AB111" s="51"/>
      <c r="AC111" s="51"/>
      <c r="AD111" s="51"/>
      <c r="AE111" s="51"/>
    </row>
    <row r="112" spans="2:31" x14ac:dyDescent="0.25">
      <c r="B112" s="7">
        <v>100</v>
      </c>
      <c r="C112" s="117" t="s">
        <v>280</v>
      </c>
      <c r="D112" s="72" t="s">
        <v>139</v>
      </c>
      <c r="E112" s="73" t="s">
        <v>67</v>
      </c>
      <c r="F112" s="141" t="s">
        <v>162</v>
      </c>
      <c r="G112" s="75" t="s">
        <v>57</v>
      </c>
      <c r="H112" s="76" t="s">
        <v>40</v>
      </c>
      <c r="I112" s="77" t="str">
        <f t="shared" si="6"/>
        <v>R</v>
      </c>
      <c r="J112" s="78">
        <v>-1</v>
      </c>
      <c r="K112" s="79">
        <v>0</v>
      </c>
      <c r="L112" s="80" t="s">
        <v>28</v>
      </c>
      <c r="M112" s="81">
        <v>6</v>
      </c>
      <c r="N112" s="82">
        <v>8</v>
      </c>
      <c r="O112" s="80"/>
      <c r="P112" s="44"/>
      <c r="Q112" s="81"/>
      <c r="R112" s="74" t="s">
        <v>28</v>
      </c>
      <c r="S112" s="83">
        <v>5</v>
      </c>
      <c r="T112" s="84" t="s">
        <v>185</v>
      </c>
      <c r="U112" s="42" t="s">
        <v>185</v>
      </c>
      <c r="V112" s="85">
        <v>6.9444444444444441E-3</v>
      </c>
      <c r="W112" s="86"/>
      <c r="X112" s="87">
        <f t="shared" si="7"/>
        <v>0</v>
      </c>
      <c r="Y112" s="63"/>
      <c r="Z112" s="51"/>
      <c r="AA112" s="51"/>
      <c r="AB112" s="51"/>
      <c r="AC112" s="51"/>
      <c r="AD112" s="51"/>
      <c r="AE112" s="51"/>
    </row>
    <row r="113" spans="2:31" x14ac:dyDescent="0.25">
      <c r="B113" s="7">
        <v>101</v>
      </c>
      <c r="C113" s="88" t="s">
        <v>45</v>
      </c>
      <c r="D113" s="72" t="s">
        <v>140</v>
      </c>
      <c r="E113" s="73" t="s">
        <v>21</v>
      </c>
      <c r="F113" s="141" t="s">
        <v>243</v>
      </c>
      <c r="G113" s="75" t="s">
        <v>57</v>
      </c>
      <c r="H113" s="76" t="s">
        <v>39</v>
      </c>
      <c r="I113" s="77" t="str">
        <f t="shared" si="6"/>
        <v>R</v>
      </c>
      <c r="J113" s="78">
        <v>-1</v>
      </c>
      <c r="K113" s="79">
        <v>3</v>
      </c>
      <c r="L113" s="80" t="s">
        <v>28</v>
      </c>
      <c r="M113" s="81">
        <v>6</v>
      </c>
      <c r="N113" s="82">
        <v>8</v>
      </c>
      <c r="O113" s="80"/>
      <c r="P113" s="44"/>
      <c r="Q113" s="81"/>
      <c r="R113" s="74" t="s">
        <v>28</v>
      </c>
      <c r="S113" s="83">
        <v>6</v>
      </c>
      <c r="T113" s="84" t="s">
        <v>185</v>
      </c>
      <c r="U113" s="42" t="s">
        <v>185</v>
      </c>
      <c r="V113" s="85">
        <v>2.0833333333333332E-2</v>
      </c>
      <c r="W113" s="86"/>
      <c r="X113" s="87">
        <f t="shared" si="7"/>
        <v>0.99930555555555556</v>
      </c>
      <c r="Y113" s="63"/>
      <c r="Z113" s="51"/>
      <c r="AA113" s="51"/>
      <c r="AB113" s="51"/>
      <c r="AC113" s="51"/>
      <c r="AD113" s="51"/>
      <c r="AE113" s="51"/>
    </row>
    <row r="114" spans="2:31" ht="30" x14ac:dyDescent="0.25">
      <c r="B114" s="7">
        <v>102</v>
      </c>
      <c r="C114" s="88" t="s">
        <v>45</v>
      </c>
      <c r="D114" s="72" t="s">
        <v>141</v>
      </c>
      <c r="E114" s="73" t="s">
        <v>26</v>
      </c>
      <c r="F114" s="141" t="s">
        <v>311</v>
      </c>
      <c r="G114" s="75" t="s">
        <v>57</v>
      </c>
      <c r="H114" s="76" t="s">
        <v>39</v>
      </c>
      <c r="I114" s="77" t="str">
        <f t="shared" si="6"/>
        <v>R</v>
      </c>
      <c r="J114" s="78">
        <v>-1</v>
      </c>
      <c r="K114" s="79">
        <v>0</v>
      </c>
      <c r="L114" s="80" t="s">
        <v>28</v>
      </c>
      <c r="M114" s="81">
        <v>8</v>
      </c>
      <c r="N114" s="82">
        <v>6</v>
      </c>
      <c r="O114" s="80"/>
      <c r="P114" s="44"/>
      <c r="Q114" s="81"/>
      <c r="R114" s="74" t="s">
        <v>28</v>
      </c>
      <c r="S114" s="83">
        <v>8</v>
      </c>
      <c r="T114" s="84" t="s">
        <v>185</v>
      </c>
      <c r="U114" s="42" t="s">
        <v>185</v>
      </c>
      <c r="V114" s="85">
        <v>6.25E-2</v>
      </c>
      <c r="W114" s="86"/>
      <c r="X114" s="87">
        <f t="shared" si="7"/>
        <v>0</v>
      </c>
      <c r="Y114" s="63"/>
      <c r="Z114" s="51"/>
      <c r="AA114" s="51"/>
      <c r="AB114" s="51"/>
      <c r="AC114" s="51"/>
      <c r="AD114" s="51"/>
      <c r="AE114" s="51"/>
    </row>
    <row r="115" spans="2:31" x14ac:dyDescent="0.25">
      <c r="B115" s="7">
        <v>103</v>
      </c>
      <c r="C115" s="88" t="s">
        <v>45</v>
      </c>
      <c r="D115" s="72" t="s">
        <v>287</v>
      </c>
      <c r="E115" s="73" t="s">
        <v>222</v>
      </c>
      <c r="F115" s="141" t="s">
        <v>243</v>
      </c>
      <c r="G115" s="75" t="s">
        <v>57</v>
      </c>
      <c r="H115" s="76" t="s">
        <v>39</v>
      </c>
      <c r="I115" s="77" t="str">
        <f t="shared" si="6"/>
        <v>R</v>
      </c>
      <c r="J115" s="78">
        <v>3</v>
      </c>
      <c r="K115" s="79">
        <v>0</v>
      </c>
      <c r="L115" s="80" t="s">
        <v>28</v>
      </c>
      <c r="M115" s="81">
        <v>6</v>
      </c>
      <c r="N115" s="82">
        <v>6</v>
      </c>
      <c r="O115" s="80"/>
      <c r="P115" s="44"/>
      <c r="Q115" s="81"/>
      <c r="R115" s="74" t="s">
        <v>28</v>
      </c>
      <c r="S115" s="83">
        <v>5</v>
      </c>
      <c r="T115" s="84" t="s">
        <v>185</v>
      </c>
      <c r="U115" s="42" t="s">
        <v>185</v>
      </c>
      <c r="V115" s="85">
        <v>8.3333333333333329E-2</v>
      </c>
      <c r="W115" s="86"/>
      <c r="X115" s="87">
        <f t="shared" si="7"/>
        <v>0</v>
      </c>
      <c r="Y115" s="63"/>
      <c r="Z115" s="51"/>
      <c r="AA115" s="51"/>
      <c r="AB115" s="51"/>
      <c r="AC115" s="51"/>
      <c r="AD115" s="51"/>
      <c r="AE115" s="51"/>
    </row>
    <row r="116" spans="2:31" ht="30" x14ac:dyDescent="0.25">
      <c r="B116" s="7">
        <v>104</v>
      </c>
      <c r="C116" s="88" t="s">
        <v>45</v>
      </c>
      <c r="D116" s="72" t="s">
        <v>288</v>
      </c>
      <c r="E116" s="73" t="s">
        <v>241</v>
      </c>
      <c r="F116" s="141" t="s">
        <v>310</v>
      </c>
      <c r="G116" s="75" t="s">
        <v>253</v>
      </c>
      <c r="H116" s="76" t="s">
        <v>40</v>
      </c>
      <c r="I116" s="77" t="str">
        <f t="shared" si="6"/>
        <v>R</v>
      </c>
      <c r="J116" s="78">
        <v>3</v>
      </c>
      <c r="K116" s="79">
        <v>0</v>
      </c>
      <c r="L116" s="80" t="s">
        <v>28</v>
      </c>
      <c r="M116" s="81">
        <v>5</v>
      </c>
      <c r="N116" s="82">
        <v>5</v>
      </c>
      <c r="O116" s="80"/>
      <c r="P116" s="130"/>
      <c r="Q116" s="81"/>
      <c r="R116" s="74" t="s">
        <v>28</v>
      </c>
      <c r="S116" s="83">
        <v>3</v>
      </c>
      <c r="T116" s="84" t="s">
        <v>185</v>
      </c>
      <c r="U116" s="161" t="s">
        <v>185</v>
      </c>
      <c r="V116" s="85">
        <v>3.125E-2</v>
      </c>
      <c r="W116" s="86"/>
      <c r="X116" s="87">
        <f t="shared" si="7"/>
        <v>0</v>
      </c>
      <c r="Y116" s="63"/>
      <c r="Z116" s="51"/>
      <c r="AA116" s="51"/>
      <c r="AB116" s="51"/>
      <c r="AC116" s="51"/>
      <c r="AD116" s="51"/>
      <c r="AE116" s="51"/>
    </row>
    <row r="117" spans="2:31" ht="30.75" thickBot="1" x14ac:dyDescent="0.3">
      <c r="B117" s="7">
        <v>105</v>
      </c>
      <c r="C117" s="168" t="s">
        <v>44</v>
      </c>
      <c r="D117" s="168" t="s">
        <v>331</v>
      </c>
      <c r="E117" s="210" t="s">
        <v>340</v>
      </c>
      <c r="F117" s="211" t="s">
        <v>333</v>
      </c>
      <c r="G117" s="148" t="s">
        <v>57</v>
      </c>
      <c r="H117" s="149" t="s">
        <v>40</v>
      </c>
      <c r="I117" s="150" t="str">
        <f t="shared" si="6"/>
        <v>R</v>
      </c>
      <c r="J117" s="151">
        <v>3</v>
      </c>
      <c r="K117" s="152">
        <v>0</v>
      </c>
      <c r="L117" s="153" t="s">
        <v>28</v>
      </c>
      <c r="M117" s="154">
        <v>5</v>
      </c>
      <c r="N117" s="155">
        <v>8</v>
      </c>
      <c r="O117" s="153"/>
      <c r="P117" s="156"/>
      <c r="Q117" s="154"/>
      <c r="R117" s="140" t="s">
        <v>28</v>
      </c>
      <c r="S117" s="157">
        <v>5</v>
      </c>
      <c r="T117" s="145" t="s">
        <v>185</v>
      </c>
      <c r="U117" s="170" t="s">
        <v>185</v>
      </c>
      <c r="V117" s="158">
        <v>3.472222222222222E-3</v>
      </c>
      <c r="W117" s="159"/>
      <c r="X117" s="160">
        <f t="shared" si="7"/>
        <v>0</v>
      </c>
      <c r="Y117" s="63"/>
      <c r="Z117" s="51"/>
      <c r="AA117" s="51"/>
      <c r="AB117" s="51"/>
      <c r="AC117" s="51"/>
      <c r="AD117" s="51"/>
      <c r="AE117" s="51"/>
    </row>
    <row r="118" spans="2:31" ht="15.75" thickBot="1" x14ac:dyDescent="0.3">
      <c r="B118" s="92"/>
      <c r="C118" s="92"/>
      <c r="D118" s="92"/>
      <c r="E118" s="171"/>
      <c r="F118" s="17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49"/>
      <c r="V118" s="91"/>
      <c r="W118" s="91"/>
      <c r="X118" s="91"/>
      <c r="Y118" s="63"/>
      <c r="Z118" s="93"/>
      <c r="AA118" s="93"/>
      <c r="AB118" s="93"/>
      <c r="AC118" s="93"/>
      <c r="AD118" s="93"/>
      <c r="AE118" s="51"/>
    </row>
    <row r="119" spans="2:31" x14ac:dyDescent="0.25">
      <c r="B119" s="70">
        <v>1</v>
      </c>
      <c r="C119" s="11" t="s">
        <v>47</v>
      </c>
      <c r="D119" s="11" t="s">
        <v>142</v>
      </c>
      <c r="E119" s="134" t="s">
        <v>37</v>
      </c>
      <c r="F119" s="165" t="s">
        <v>162</v>
      </c>
      <c r="G119" s="95" t="s">
        <v>57</v>
      </c>
      <c r="H119" s="96" t="s">
        <v>40</v>
      </c>
      <c r="I119" s="97" t="s">
        <v>5</v>
      </c>
      <c r="J119" s="96"/>
      <c r="K119" s="98">
        <v>0</v>
      </c>
      <c r="L119" s="59"/>
      <c r="M119" s="57"/>
      <c r="N119" s="57"/>
      <c r="O119" s="99"/>
      <c r="P119" s="59"/>
      <c r="Q119" s="59"/>
      <c r="R119" s="59"/>
      <c r="S119" s="59"/>
      <c r="T119" s="121" t="s">
        <v>185</v>
      </c>
      <c r="U119" s="122" t="s">
        <v>185</v>
      </c>
      <c r="V119" s="100">
        <v>3.472222222222222E-3</v>
      </c>
      <c r="W119" s="101"/>
      <c r="X119" s="87">
        <f>IF(K119=0,0,IF(K119=1,W119+$Y$13,IF(K119=2,W119+$Y$14,IF(K119=3,W119+$Y$15,IF(K119=4,W119+$Y$16,0)))))</f>
        <v>0</v>
      </c>
      <c r="Y119" s="63"/>
      <c r="Z119" s="93"/>
      <c r="AA119" s="93"/>
      <c r="AB119" s="93"/>
      <c r="AC119" s="93"/>
      <c r="AD119" s="93"/>
      <c r="AE119" s="51"/>
    </row>
    <row r="120" spans="2:31" ht="30" x14ac:dyDescent="0.25">
      <c r="B120" s="94">
        <v>2</v>
      </c>
      <c r="C120" s="139" t="s">
        <v>332</v>
      </c>
      <c r="D120" s="7" t="s">
        <v>143</v>
      </c>
      <c r="E120" s="135" t="s">
        <v>62</v>
      </c>
      <c r="F120" s="141" t="s">
        <v>318</v>
      </c>
      <c r="G120" s="102" t="s">
        <v>57</v>
      </c>
      <c r="H120" s="103" t="s">
        <v>40</v>
      </c>
      <c r="I120" s="77" t="str">
        <f t="shared" ref="I120:I124" si="10">IF(W120&gt;0,IF(X120-W120&gt;0,"I","R"),"R")</f>
        <v>R</v>
      </c>
      <c r="J120" s="104"/>
      <c r="K120" s="79">
        <v>0</v>
      </c>
      <c r="L120" s="59"/>
      <c r="M120" s="57"/>
      <c r="N120" s="57"/>
      <c r="O120" s="99"/>
      <c r="P120" s="59"/>
      <c r="Q120" s="59"/>
      <c r="R120" s="59"/>
      <c r="S120" s="59"/>
      <c r="T120" s="123" t="s">
        <v>185</v>
      </c>
      <c r="U120" s="124" t="s">
        <v>185</v>
      </c>
      <c r="V120" s="105">
        <v>1.0416666666666666E-2</v>
      </c>
      <c r="W120" s="106"/>
      <c r="X120" s="87">
        <f>IF(K120=0,0,IF(K120=1,W120+$Y$13,IF(K120=2,W120+$Y$14,IF(K120=3,W120+$Y$15,IF(K120=4,W120+$Y$16,0)))))</f>
        <v>0</v>
      </c>
      <c r="Y120" s="63"/>
      <c r="Z120" s="51"/>
      <c r="AA120" s="51"/>
      <c r="AB120" s="51"/>
      <c r="AC120" s="51"/>
      <c r="AD120" s="51"/>
      <c r="AE120" s="51"/>
    </row>
    <row r="121" spans="2:31" x14ac:dyDescent="0.25">
      <c r="B121" s="94">
        <v>3</v>
      </c>
      <c r="C121" s="7" t="s">
        <v>47</v>
      </c>
      <c r="D121" s="7" t="s">
        <v>144</v>
      </c>
      <c r="E121" s="136" t="s">
        <v>36</v>
      </c>
      <c r="F121" s="166" t="s">
        <v>242</v>
      </c>
      <c r="G121" s="102" t="s">
        <v>57</v>
      </c>
      <c r="H121" s="103" t="s">
        <v>40</v>
      </c>
      <c r="I121" s="77" t="str">
        <f t="shared" si="10"/>
        <v>R</v>
      </c>
      <c r="J121" s="104"/>
      <c r="K121" s="79">
        <v>0</v>
      </c>
      <c r="L121" s="59"/>
      <c r="M121" s="57"/>
      <c r="N121" s="57"/>
      <c r="O121" s="99"/>
      <c r="P121" s="59"/>
      <c r="Q121" s="59"/>
      <c r="R121" s="59"/>
      <c r="S121" s="59"/>
      <c r="T121" s="123" t="s">
        <v>185</v>
      </c>
      <c r="U121" s="124" t="s">
        <v>185</v>
      </c>
      <c r="V121" s="105">
        <v>3.472222222222222E-3</v>
      </c>
      <c r="W121" s="106"/>
      <c r="X121" s="87">
        <f>IF(K121=0,0,IF(K121=1,W121+$Y$13,IF(K121=2,W121+$Y$14,IF(K121=3,W121+$Y$15,IF(K121=4,W121+$Y$16,0)))))</f>
        <v>0</v>
      </c>
      <c r="Y121" s="191"/>
      <c r="Z121" s="192"/>
      <c r="AA121" s="192"/>
      <c r="AB121" s="192"/>
      <c r="AC121" s="192"/>
      <c r="AD121" s="192"/>
      <c r="AE121" s="192"/>
    </row>
    <row r="122" spans="2:31" x14ac:dyDescent="0.25">
      <c r="B122" s="94">
        <v>4</v>
      </c>
      <c r="C122" s="7" t="s">
        <v>47</v>
      </c>
      <c r="D122" s="7" t="s">
        <v>145</v>
      </c>
      <c r="E122" s="135" t="s">
        <v>63</v>
      </c>
      <c r="F122" s="141" t="s">
        <v>162</v>
      </c>
      <c r="G122" s="102" t="s">
        <v>57</v>
      </c>
      <c r="H122" s="103" t="s">
        <v>40</v>
      </c>
      <c r="I122" s="77" t="s">
        <v>5</v>
      </c>
      <c r="J122" s="104"/>
      <c r="K122" s="79">
        <v>0</v>
      </c>
      <c r="L122" s="59"/>
      <c r="M122" s="57"/>
      <c r="N122" s="57"/>
      <c r="O122" s="99"/>
      <c r="P122" s="59"/>
      <c r="Q122" s="59"/>
      <c r="R122" s="59"/>
      <c r="S122" s="59"/>
      <c r="T122" s="123" t="s">
        <v>185</v>
      </c>
      <c r="U122" s="124" t="s">
        <v>185</v>
      </c>
      <c r="V122" s="105" t="s">
        <v>31</v>
      </c>
      <c r="W122" s="106"/>
      <c r="X122" s="87">
        <f>IF(K122=0,0,IF(K122=1,W122+$Y$13,IF(K122=2,W122+$Y$14,IF(K122=3,W122+$Y$15,IF(K122=4,W122+$Y$16,0)))))</f>
        <v>0</v>
      </c>
      <c r="Y122" s="191"/>
      <c r="Z122" s="192"/>
      <c r="AA122" s="192"/>
      <c r="AB122" s="192"/>
      <c r="AC122" s="192"/>
      <c r="AD122" s="192"/>
      <c r="AE122" s="192"/>
    </row>
    <row r="123" spans="2:31" ht="30" x14ac:dyDescent="0.25">
      <c r="B123" s="94">
        <v>5</v>
      </c>
      <c r="C123" s="7" t="s">
        <v>47</v>
      </c>
      <c r="D123" s="7" t="s">
        <v>146</v>
      </c>
      <c r="E123" s="136" t="s">
        <v>29</v>
      </c>
      <c r="F123" s="166" t="s">
        <v>316</v>
      </c>
      <c r="G123" s="102" t="s">
        <v>57</v>
      </c>
      <c r="H123" s="104" t="s">
        <v>40</v>
      </c>
      <c r="I123" s="77" t="str">
        <f t="shared" si="10"/>
        <v>R</v>
      </c>
      <c r="J123" s="104"/>
      <c r="K123" s="79">
        <v>0</v>
      </c>
      <c r="L123" s="59"/>
      <c r="M123" s="57"/>
      <c r="N123" s="57"/>
      <c r="O123" s="99"/>
      <c r="P123" s="59"/>
      <c r="Q123" s="59"/>
      <c r="R123" s="59"/>
      <c r="S123" s="59"/>
      <c r="T123" s="123" t="s">
        <v>185</v>
      </c>
      <c r="U123" s="124" t="s">
        <v>185</v>
      </c>
      <c r="V123" s="105">
        <v>3.472222222222222E-3</v>
      </c>
      <c r="W123" s="106"/>
      <c r="X123" s="87">
        <f>IF(K123=0,0,IF(K123=1,W123+$Y$13,IF(K123=2,W123+$Y$14,IF(K123=3,W123+$Y$15,IF(K123=4,W123+$Y$16,0)))))</f>
        <v>0</v>
      </c>
      <c r="Y123" s="63"/>
      <c r="Z123" s="51"/>
      <c r="AA123" s="51"/>
      <c r="AB123" s="51"/>
      <c r="AC123" s="51"/>
      <c r="AD123" s="51"/>
      <c r="AE123" s="51"/>
    </row>
    <row r="124" spans="2:31" ht="30" x14ac:dyDescent="0.25">
      <c r="B124" s="94">
        <v>6</v>
      </c>
      <c r="C124" s="7" t="s">
        <v>47</v>
      </c>
      <c r="D124" s="7" t="s">
        <v>147</v>
      </c>
      <c r="E124" s="136" t="s">
        <v>30</v>
      </c>
      <c r="F124" s="166" t="s">
        <v>316</v>
      </c>
      <c r="G124" s="102" t="s">
        <v>57</v>
      </c>
      <c r="H124" s="104" t="s">
        <v>40</v>
      </c>
      <c r="I124" s="77" t="str">
        <f t="shared" si="10"/>
        <v>R</v>
      </c>
      <c r="J124" s="104"/>
      <c r="K124" s="79">
        <v>0</v>
      </c>
      <c r="L124" s="59"/>
      <c r="M124" s="57"/>
      <c r="N124" s="57"/>
      <c r="O124" s="99"/>
      <c r="P124" s="59"/>
      <c r="Q124" s="59"/>
      <c r="R124" s="59"/>
      <c r="S124" s="59"/>
      <c r="T124" s="123" t="s">
        <v>185</v>
      </c>
      <c r="U124" s="124" t="s">
        <v>185</v>
      </c>
      <c r="V124" s="105">
        <v>6.9444444444444441E-3</v>
      </c>
      <c r="W124" s="106"/>
      <c r="X124" s="87">
        <f>IF(K124=0,0,IF(K124=1,W124+$Y$13,IF(K124=2,W124+$Y$14,IF(K124=3,W124+$Y$15,IF(K124=4,W124+$Y$16,0)))))</f>
        <v>0</v>
      </c>
      <c r="Y124" s="63"/>
      <c r="Z124" s="51"/>
      <c r="AA124" s="51"/>
      <c r="AB124" s="51"/>
      <c r="AC124" s="51"/>
      <c r="AD124" s="51"/>
      <c r="AE124" s="51"/>
    </row>
    <row r="125" spans="2:31" s="3" customFormat="1" ht="30.75" thickBot="1" x14ac:dyDescent="0.3">
      <c r="B125" s="15">
        <v>7</v>
      </c>
      <c r="C125" s="15" t="s">
        <v>47</v>
      </c>
      <c r="D125" s="15" t="s">
        <v>148</v>
      </c>
      <c r="E125" s="137" t="s">
        <v>64</v>
      </c>
      <c r="F125" s="167" t="s">
        <v>317</v>
      </c>
      <c r="G125" s="107" t="s">
        <v>57</v>
      </c>
      <c r="H125" s="108" t="s">
        <v>40</v>
      </c>
      <c r="I125" s="109" t="str">
        <f t="shared" ref="I125" si="11">IF(W125&gt;0,IF(X125-W125&gt;0,"I","R"),"R")</f>
        <v>R</v>
      </c>
      <c r="J125" s="109"/>
      <c r="K125" s="110">
        <v>0</v>
      </c>
      <c r="L125" s="59"/>
      <c r="M125" s="57"/>
      <c r="N125" s="57"/>
      <c r="O125" s="99"/>
      <c r="P125" s="59"/>
      <c r="Q125" s="59"/>
      <c r="R125" s="59"/>
      <c r="S125" s="59"/>
      <c r="T125" s="125" t="s">
        <v>185</v>
      </c>
      <c r="U125" s="126" t="s">
        <v>185</v>
      </c>
      <c r="V125" s="111">
        <v>1.0416666666666666E-2</v>
      </c>
      <c r="W125" s="112"/>
      <c r="X125" s="113">
        <f>IF(K125=0,0,IF(K125=1,W125+$Y$13,IF(K125=2,W125+$Y$14,IF(K125=3,W125+$Y$15,IF(K125=4,W125+$Y$16,0)))))</f>
        <v>0</v>
      </c>
      <c r="Y125" s="63"/>
      <c r="Z125" s="63"/>
      <c r="AA125" s="63"/>
      <c r="AB125" s="63"/>
      <c r="AC125" s="63"/>
      <c r="AD125" s="63"/>
      <c r="AE125" s="63"/>
    </row>
    <row r="126" spans="2:31" s="3" customFormat="1" x14ac:dyDescent="0.25">
      <c r="B126" s="36"/>
      <c r="C126" s="24"/>
      <c r="D126" s="24"/>
      <c r="E126" s="45"/>
      <c r="F126" s="40"/>
      <c r="G126" s="36"/>
      <c r="H126" s="25"/>
      <c r="I126" s="27"/>
      <c r="J126" s="26"/>
      <c r="K126" s="27"/>
      <c r="L126" s="34"/>
      <c r="M126" s="8"/>
      <c r="N126" s="8"/>
      <c r="O126" s="10"/>
      <c r="P126" s="34"/>
      <c r="Q126" s="34"/>
      <c r="R126" s="34"/>
      <c r="S126" s="34"/>
      <c r="T126" s="13"/>
      <c r="U126" s="50"/>
      <c r="V126" s="30"/>
      <c r="W126" s="13"/>
      <c r="X126" s="14"/>
      <c r="Y126" s="33"/>
      <c r="Z126" s="33"/>
      <c r="AA126" s="33"/>
      <c r="AB126" s="33"/>
      <c r="AC126" s="33"/>
      <c r="AD126" s="33"/>
      <c r="AE126" s="33"/>
    </row>
    <row r="127" spans="2:31" x14ac:dyDescent="0.25">
      <c r="B127" s="36"/>
      <c r="C127" s="24"/>
      <c r="D127" s="24"/>
      <c r="E127" s="45"/>
      <c r="F127" s="40"/>
      <c r="G127" s="36"/>
      <c r="H127" s="26"/>
      <c r="I127" s="25"/>
      <c r="J127" s="27"/>
      <c r="K127" s="27"/>
      <c r="L127" s="34"/>
      <c r="M127" s="8"/>
      <c r="N127" s="8"/>
      <c r="O127" s="10"/>
      <c r="T127" s="13"/>
      <c r="U127" s="50"/>
      <c r="V127" s="30"/>
      <c r="W127" s="13"/>
      <c r="X127" s="14"/>
      <c r="Y127" s="6"/>
      <c r="Z127" s="6"/>
      <c r="AA127" s="6"/>
      <c r="AB127" s="6"/>
      <c r="AC127" s="6"/>
      <c r="AD127" s="6"/>
    </row>
  </sheetData>
  <mergeCells count="36">
    <mergeCell ref="U104:U105"/>
    <mergeCell ref="U102:U103"/>
    <mergeCell ref="U79:U80"/>
    <mergeCell ref="U58:U59"/>
    <mergeCell ref="U45:U49"/>
    <mergeCell ref="U87:U91"/>
    <mergeCell ref="U50:U51"/>
    <mergeCell ref="Y121:AE122"/>
    <mergeCell ref="C11:C12"/>
    <mergeCell ref="J11:J12"/>
    <mergeCell ref="K11:K12"/>
    <mergeCell ref="Y11:Y12"/>
    <mergeCell ref="F11:F12"/>
    <mergeCell ref="U18:U34"/>
    <mergeCell ref="U61:U64"/>
    <mergeCell ref="U52:U55"/>
    <mergeCell ref="U42:U43"/>
    <mergeCell ref="U74:U77"/>
    <mergeCell ref="U96:U99"/>
    <mergeCell ref="U38:U39"/>
    <mergeCell ref="U40:U41"/>
    <mergeCell ref="U81:U82"/>
    <mergeCell ref="B10:E10"/>
    <mergeCell ref="G11:G12"/>
    <mergeCell ref="V11:V12"/>
    <mergeCell ref="W11:X11"/>
    <mergeCell ref="O11:Q11"/>
    <mergeCell ref="L11:M11"/>
    <mergeCell ref="T11:U11"/>
    <mergeCell ref="B11:B12"/>
    <mergeCell ref="R11:S11"/>
    <mergeCell ref="L10:S10"/>
    <mergeCell ref="T10:Y10"/>
    <mergeCell ref="F10:K10"/>
    <mergeCell ref="D11:D12"/>
    <mergeCell ref="E11:E12"/>
  </mergeCells>
  <phoneticPr fontId="14" type="noConversion"/>
  <pageMargins left="0.7" right="0.7" top="0.75" bottom="0.75" header="0.3" footer="0.3"/>
  <pageSetup paperSize="9" scale="4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Aktivitas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cp:lastPrinted>2021-03-29T11:37:07Z</cp:lastPrinted>
  <dcterms:created xsi:type="dcterms:W3CDTF">2021-03-29T09:53:50Z</dcterms:created>
  <dcterms:modified xsi:type="dcterms:W3CDTF">2021-10-29T09:35:35Z</dcterms:modified>
</cp:coreProperties>
</file>