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Tabel Flow ABM 13 20 Aug\Tabel Flow ABM 14 - Rumah 01\Rumah 01\21OKT21_RUMAH 1\Proses Perjalanan ke Tujuan\"/>
    </mc:Choice>
  </mc:AlternateContent>
  <xr:revisionPtr revIDLastSave="0" documentId="13_ncr:1_{1FBABD88-5916-4B80-8745-9F504C441DD2}" xr6:coauthVersionLast="47" xr6:coauthVersionMax="47" xr10:uidLastSave="{00000000-0000-0000-0000-000000000000}"/>
  <bookViews>
    <workbookView xWindow="-180" yWindow="1260" windowWidth="5610" windowHeight="6000" xr2:uid="{00000000-000D-0000-FFFF-FFFF00000000}"/>
  </bookViews>
  <sheets>
    <sheet name="Prasyarat 3-Agen di depan ruang" sheetId="1" r:id="rId1"/>
    <sheet name="Aktivitas Pendukung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0" i="1" l="1"/>
  <c r="J197" i="1"/>
  <c r="J198" i="1"/>
  <c r="K198" i="1"/>
  <c r="K197" i="1"/>
  <c r="J196" i="1"/>
  <c r="J145" i="1"/>
  <c r="K145" i="1"/>
  <c r="J147" i="1"/>
  <c r="K147" i="1"/>
  <c r="K146" i="1"/>
  <c r="J146" i="1"/>
  <c r="K114" i="1"/>
  <c r="J114" i="1"/>
  <c r="J138" i="1"/>
  <c r="J136" i="1"/>
  <c r="K136" i="1"/>
  <c r="K138" i="1"/>
  <c r="K137" i="1"/>
  <c r="J137" i="1"/>
  <c r="K135" i="1"/>
  <c r="J135" i="1"/>
  <c r="K139" i="1"/>
  <c r="J139" i="1"/>
  <c r="K120" i="1"/>
  <c r="K119" i="1"/>
  <c r="J119" i="1"/>
  <c r="K118" i="1"/>
  <c r="J118" i="1"/>
  <c r="K110" i="1"/>
  <c r="J110" i="1"/>
  <c r="K196" i="1"/>
  <c r="K195" i="1"/>
  <c r="J195" i="1"/>
  <c r="J148" i="1"/>
  <c r="K148" i="1"/>
  <c r="J149" i="1"/>
  <c r="K149" i="1"/>
  <c r="J123" i="1"/>
  <c r="K123" i="1" l="1"/>
  <c r="K122" i="1"/>
  <c r="J122" i="1"/>
  <c r="K121" i="1"/>
  <c r="J121" i="1"/>
  <c r="K156" i="1"/>
  <c r="J156" i="1"/>
  <c r="K153" i="1"/>
  <c r="J153" i="1"/>
  <c r="K163" i="1"/>
  <c r="J163" i="1"/>
  <c r="K155" i="1"/>
  <c r="J155" i="1"/>
  <c r="K154" i="1"/>
  <c r="J154" i="1"/>
  <c r="K152" i="1"/>
  <c r="J152" i="1"/>
  <c r="K151" i="1"/>
  <c r="J151" i="1"/>
  <c r="K150" i="1"/>
  <c r="J150" i="1"/>
  <c r="K162" i="1"/>
  <c r="J162" i="1"/>
  <c r="K161" i="1"/>
  <c r="J161" i="1"/>
  <c r="K160" i="1"/>
  <c r="J160" i="1"/>
  <c r="K159" i="1"/>
  <c r="J159" i="1"/>
  <c r="K158" i="1"/>
  <c r="J158" i="1"/>
  <c r="K157" i="1"/>
  <c r="J157" i="1"/>
  <c r="K11" i="1"/>
  <c r="J11" i="1"/>
  <c r="K10" i="1"/>
  <c r="J10" i="1"/>
  <c r="K9" i="1"/>
  <c r="J9" i="1"/>
  <c r="K42" i="1"/>
  <c r="J42" i="1"/>
  <c r="K41" i="1"/>
  <c r="J41" i="1"/>
  <c r="K40" i="1"/>
  <c r="J40" i="1"/>
  <c r="K39" i="1"/>
  <c r="J39" i="1"/>
  <c r="K38" i="1"/>
  <c r="J38" i="1"/>
  <c r="K37" i="1"/>
  <c r="J37" i="1"/>
  <c r="K36" i="1"/>
  <c r="J36" i="1"/>
  <c r="K35" i="1"/>
  <c r="J35" i="1"/>
  <c r="K262" i="1"/>
  <c r="J261" i="1"/>
  <c r="J260" i="1"/>
  <c r="J262" i="1"/>
  <c r="K261" i="1"/>
  <c r="K260" i="1"/>
  <c r="K257" i="1"/>
  <c r="K258" i="1"/>
  <c r="J258" i="1"/>
  <c r="K256" i="1"/>
  <c r="J255" i="1"/>
  <c r="K254" i="1"/>
  <c r="J254" i="1"/>
  <c r="K253" i="1"/>
  <c r="J253" i="1"/>
  <c r="K252" i="1"/>
  <c r="J252" i="1"/>
  <c r="K251" i="1"/>
  <c r="J251" i="1"/>
  <c r="K250" i="1"/>
  <c r="J250" i="1"/>
  <c r="K249" i="1"/>
  <c r="J249" i="1"/>
  <c r="K248" i="1"/>
  <c r="J248" i="1"/>
  <c r="K247" i="1"/>
  <c r="J247" i="1"/>
  <c r="K246" i="1"/>
  <c r="J246" i="1"/>
  <c r="J188" i="1"/>
  <c r="J187" i="1"/>
  <c r="J117" i="1"/>
  <c r="J144" i="1"/>
  <c r="J127" i="1"/>
  <c r="K79" i="1"/>
  <c r="J80" i="1"/>
  <c r="J79" i="1"/>
  <c r="K80" i="1"/>
  <c r="J199" i="1"/>
  <c r="J200" i="1"/>
  <c r="K200" i="1"/>
  <c r="K199" i="1"/>
  <c r="J52" i="1"/>
  <c r="J51" i="1"/>
  <c r="J50" i="1"/>
  <c r="K52" i="1"/>
  <c r="K51" i="1"/>
  <c r="K50" i="1"/>
  <c r="K49" i="1"/>
  <c r="J49" i="1"/>
  <c r="K48" i="1"/>
  <c r="J48" i="1"/>
  <c r="K47" i="1"/>
  <c r="J47" i="1"/>
  <c r="K46" i="1"/>
  <c r="J46" i="1"/>
  <c r="K21" i="1" l="1"/>
  <c r="J21" i="1"/>
  <c r="K223" i="1"/>
  <c r="J223" i="1"/>
  <c r="K233" i="1"/>
  <c r="K231" i="1"/>
  <c r="K229" i="1"/>
  <c r="K206" i="1"/>
  <c r="K202" i="1"/>
  <c r="K186" i="1"/>
  <c r="K181" i="1"/>
  <c r="K177" i="1"/>
  <c r="K171" i="1"/>
  <c r="K167" i="1"/>
  <c r="K165" i="1"/>
  <c r="K131" i="1"/>
  <c r="K129" i="1"/>
  <c r="K126" i="1"/>
  <c r="K111" i="1"/>
  <c r="K105" i="1"/>
  <c r="K99" i="1"/>
  <c r="K90" i="1"/>
  <c r="K81" i="1"/>
  <c r="K77" i="1"/>
  <c r="K68" i="1"/>
  <c r="K65" i="1"/>
  <c r="K55" i="1"/>
  <c r="K44" i="1"/>
  <c r="K18" i="1"/>
  <c r="K24" i="1"/>
  <c r="K27" i="1"/>
  <c r="K30" i="1"/>
  <c r="K33" i="1"/>
  <c r="J233" i="1"/>
  <c r="K232" i="1"/>
  <c r="J232" i="1"/>
  <c r="J231" i="1"/>
  <c r="J229" i="1"/>
  <c r="J177" i="1"/>
  <c r="J22" i="1"/>
  <c r="J263" i="1"/>
  <c r="K259" i="1"/>
  <c r="J244" i="1"/>
  <c r="J243" i="1"/>
  <c r="K237" i="1"/>
  <c r="J237" i="1"/>
  <c r="K228" i="1"/>
  <c r="J228" i="1"/>
  <c r="K230" i="1"/>
  <c r="J230" i="1"/>
  <c r="K227" i="1"/>
  <c r="K215" i="1"/>
  <c r="J206" i="1"/>
  <c r="K194" i="1"/>
  <c r="K193" i="1"/>
  <c r="J183" i="1"/>
  <c r="J166" i="1"/>
  <c r="J164" i="1"/>
  <c r="J85" i="1"/>
  <c r="J82" i="1"/>
  <c r="J60" i="1"/>
  <c r="J57" i="1"/>
  <c r="J17" i="1"/>
  <c r="J234" i="1"/>
  <c r="K222" i="1"/>
  <c r="J207" i="1"/>
  <c r="K245" i="1"/>
  <c r="J245" i="1"/>
  <c r="K239" i="1"/>
  <c r="J103" i="1"/>
  <c r="K103" i="1"/>
  <c r="J191" i="1"/>
  <c r="K191" i="1"/>
  <c r="K208" i="1"/>
  <c r="J208" i="1"/>
  <c r="K236" i="1"/>
  <c r="J236" i="1"/>
  <c r="J133" i="1"/>
  <c r="J168" i="1"/>
  <c r="J53" i="1"/>
  <c r="K263" i="1"/>
  <c r="J259" i="1"/>
  <c r="K255" i="1"/>
  <c r="K243" i="1"/>
  <c r="K241" i="1"/>
  <c r="J241" i="1"/>
  <c r="K234" i="1"/>
  <c r="J227" i="1"/>
  <c r="J225" i="1"/>
  <c r="K225" i="1"/>
  <c r="K224" i="1"/>
  <c r="K219" i="1"/>
  <c r="K216" i="1"/>
  <c r="K212" i="1"/>
  <c r="K209" i="1"/>
  <c r="K205" i="1"/>
  <c r="J204" i="1"/>
  <c r="K201" i="1"/>
  <c r="K189" i="1"/>
  <c r="K187" i="1"/>
  <c r="K185" i="1"/>
  <c r="K180" i="1"/>
  <c r="K176" i="1"/>
  <c r="K172" i="1"/>
  <c r="K170" i="1"/>
  <c r="K166" i="1"/>
  <c r="K164" i="1"/>
  <c r="K142" i="1"/>
  <c r="K130" i="1"/>
  <c r="K127" i="1"/>
  <c r="K124" i="1"/>
  <c r="K115" i="1"/>
  <c r="J112" i="1"/>
  <c r="K112" i="1"/>
  <c r="K104" i="1"/>
  <c r="K101" i="1"/>
  <c r="K98" i="1"/>
  <c r="K96" i="1"/>
  <c r="K94" i="1"/>
  <c r="K92" i="1"/>
  <c r="K89" i="1"/>
  <c r="K87" i="1"/>
  <c r="K85" i="1"/>
  <c r="K82" i="1"/>
  <c r="K76" i="1"/>
  <c r="K74" i="1"/>
  <c r="K72" i="1"/>
  <c r="K70" i="1"/>
  <c r="K67" i="1"/>
  <c r="K64" i="1"/>
  <c r="K62" i="1"/>
  <c r="K60" i="1"/>
  <c r="K57" i="1"/>
  <c r="K43" i="1"/>
  <c r="K32" i="1"/>
  <c r="K29" i="1"/>
  <c r="K26" i="1"/>
  <c r="K23" i="1"/>
  <c r="K22" i="1"/>
  <c r="K15" i="1"/>
  <c r="K12" i="1"/>
  <c r="K6" i="1"/>
  <c r="K3" i="1"/>
  <c r="J62" i="1"/>
  <c r="J3" i="1"/>
  <c r="J4" i="1"/>
  <c r="K4" i="1"/>
  <c r="J5" i="1"/>
  <c r="K5" i="1"/>
  <c r="J6" i="1"/>
  <c r="J7" i="1"/>
  <c r="K7" i="1"/>
  <c r="J8" i="1"/>
  <c r="K8" i="1"/>
  <c r="J12" i="1"/>
  <c r="J13" i="1"/>
  <c r="K13" i="1"/>
  <c r="J14" i="1"/>
  <c r="K14" i="1"/>
  <c r="J15" i="1"/>
  <c r="J16" i="1"/>
  <c r="K16" i="1"/>
  <c r="K17" i="1"/>
  <c r="J18" i="1"/>
  <c r="J19" i="1"/>
  <c r="K19" i="1"/>
  <c r="J20" i="1"/>
  <c r="K20" i="1"/>
  <c r="J23" i="1"/>
  <c r="J24" i="1"/>
  <c r="J25" i="1"/>
  <c r="K25" i="1"/>
  <c r="J26" i="1"/>
  <c r="J27" i="1"/>
  <c r="J28" i="1"/>
  <c r="K28" i="1"/>
  <c r="J29" i="1"/>
  <c r="J30" i="1"/>
  <c r="J31" i="1"/>
  <c r="K31" i="1"/>
  <c r="J32" i="1"/>
  <c r="J33" i="1"/>
  <c r="J34" i="1"/>
  <c r="K34" i="1"/>
  <c r="J43" i="1"/>
  <c r="J44" i="1"/>
  <c r="J45" i="1"/>
  <c r="K45" i="1"/>
  <c r="K53" i="1"/>
  <c r="J54" i="1"/>
  <c r="K54" i="1"/>
  <c r="J55" i="1"/>
  <c r="J56" i="1"/>
  <c r="K56" i="1"/>
  <c r="J58" i="1"/>
  <c r="K58" i="1"/>
  <c r="J59" i="1"/>
  <c r="K59" i="1"/>
  <c r="J61" i="1"/>
  <c r="K61" i="1"/>
  <c r="J63" i="1"/>
  <c r="K63" i="1"/>
  <c r="J64" i="1"/>
  <c r="J65" i="1"/>
  <c r="J66" i="1"/>
  <c r="K66" i="1"/>
  <c r="J67" i="1"/>
  <c r="J68" i="1"/>
  <c r="J69" i="1"/>
  <c r="K69" i="1"/>
  <c r="J70" i="1"/>
  <c r="J71" i="1"/>
  <c r="K71" i="1"/>
  <c r="J72" i="1"/>
  <c r="J73" i="1"/>
  <c r="K73" i="1"/>
  <c r="J74" i="1"/>
  <c r="J75" i="1"/>
  <c r="K75" i="1"/>
  <c r="J76" i="1"/>
  <c r="J77" i="1"/>
  <c r="J78" i="1"/>
  <c r="K78" i="1"/>
  <c r="J81" i="1"/>
  <c r="J83" i="1"/>
  <c r="K83" i="1"/>
  <c r="J84" i="1"/>
  <c r="K84" i="1"/>
  <c r="J86" i="1"/>
  <c r="K86" i="1"/>
  <c r="J87" i="1"/>
  <c r="J88" i="1"/>
  <c r="K88" i="1"/>
  <c r="J89" i="1"/>
  <c r="J90" i="1"/>
  <c r="J91" i="1"/>
  <c r="K91" i="1"/>
  <c r="J92" i="1"/>
  <c r="J93" i="1"/>
  <c r="K93" i="1"/>
  <c r="J94" i="1"/>
  <c r="J95" i="1"/>
  <c r="K95" i="1"/>
  <c r="J96" i="1"/>
  <c r="J97" i="1"/>
  <c r="K97" i="1"/>
  <c r="J98" i="1"/>
  <c r="J99" i="1"/>
  <c r="J100" i="1"/>
  <c r="K100" i="1"/>
  <c r="J101" i="1"/>
  <c r="J102" i="1"/>
  <c r="K102" i="1"/>
  <c r="J104" i="1"/>
  <c r="J105" i="1"/>
  <c r="J106" i="1"/>
  <c r="K106" i="1"/>
  <c r="J107" i="1"/>
  <c r="K107" i="1"/>
  <c r="J108" i="1"/>
  <c r="K108" i="1"/>
  <c r="J109" i="1"/>
  <c r="K109" i="1"/>
  <c r="J111" i="1"/>
  <c r="J113" i="1"/>
  <c r="K113" i="1"/>
  <c r="J115" i="1"/>
  <c r="J116" i="1"/>
  <c r="K116" i="1"/>
  <c r="K117" i="1"/>
  <c r="J124" i="1"/>
  <c r="J125" i="1"/>
  <c r="K125" i="1"/>
  <c r="J126" i="1"/>
  <c r="J128" i="1"/>
  <c r="K128" i="1"/>
  <c r="J129" i="1"/>
  <c r="J130" i="1"/>
  <c r="J131" i="1"/>
  <c r="J132" i="1"/>
  <c r="K132" i="1"/>
  <c r="K133" i="1"/>
  <c r="J134" i="1"/>
  <c r="K134" i="1"/>
  <c r="J142" i="1"/>
  <c r="J143" i="1"/>
  <c r="K143" i="1"/>
  <c r="K144" i="1"/>
  <c r="J165" i="1"/>
  <c r="J167" i="1"/>
  <c r="K168" i="1"/>
  <c r="J169" i="1"/>
  <c r="K169" i="1"/>
  <c r="J170" i="1"/>
  <c r="J171" i="1"/>
  <c r="J172" i="1"/>
  <c r="J173" i="1"/>
  <c r="K173" i="1"/>
  <c r="J174" i="1"/>
  <c r="K174" i="1"/>
  <c r="J175" i="1"/>
  <c r="K175" i="1"/>
  <c r="J176" i="1"/>
  <c r="J178" i="1"/>
  <c r="K178" i="1"/>
  <c r="J179" i="1"/>
  <c r="K179" i="1"/>
  <c r="J180" i="1"/>
  <c r="J181" i="1"/>
  <c r="J182" i="1"/>
  <c r="K182" i="1"/>
  <c r="J184" i="1"/>
  <c r="K184" i="1"/>
  <c r="K183" i="1"/>
  <c r="J185" i="1"/>
  <c r="J186" i="1"/>
  <c r="K188" i="1"/>
  <c r="J189" i="1"/>
  <c r="J190" i="1"/>
  <c r="K190" i="1"/>
  <c r="J193" i="1"/>
  <c r="J194" i="1"/>
  <c r="J192" i="1"/>
  <c r="K192" i="1"/>
  <c r="J201" i="1"/>
  <c r="J202" i="1"/>
  <c r="J203" i="1"/>
  <c r="K203" i="1"/>
  <c r="K204" i="1"/>
  <c r="J205" i="1"/>
  <c r="K207" i="1"/>
  <c r="J209" i="1"/>
  <c r="J210" i="1"/>
  <c r="K210" i="1"/>
  <c r="J211" i="1"/>
  <c r="K211" i="1"/>
  <c r="J212" i="1"/>
  <c r="J213" i="1"/>
  <c r="K213" i="1"/>
  <c r="J214" i="1"/>
  <c r="K214" i="1"/>
  <c r="J215" i="1"/>
  <c r="J216" i="1"/>
  <c r="J217" i="1"/>
  <c r="K217" i="1"/>
  <c r="J218" i="1"/>
  <c r="K218" i="1"/>
  <c r="J219" i="1"/>
  <c r="J220" i="1"/>
  <c r="K220" i="1"/>
  <c r="J221" i="1"/>
  <c r="K221" i="1"/>
  <c r="J222" i="1"/>
  <c r="J224" i="1"/>
  <c r="J226" i="1"/>
  <c r="K226" i="1"/>
  <c r="J235" i="1"/>
  <c r="K235" i="1"/>
  <c r="J238" i="1"/>
  <c r="K238" i="1"/>
  <c r="J239" i="1"/>
  <c r="J240" i="1"/>
  <c r="K240" i="1"/>
  <c r="J242" i="1"/>
  <c r="K242" i="1"/>
  <c r="K244" i="1"/>
  <c r="J256" i="1"/>
  <c r="J257" i="1"/>
  <c r="J264" i="1"/>
  <c r="K264" i="1"/>
  <c r="J265" i="1"/>
  <c r="K265" i="1"/>
</calcChain>
</file>

<file path=xl/sharedStrings.xml><?xml version="1.0" encoding="utf-8"?>
<sst xmlns="http://schemas.openxmlformats.org/spreadsheetml/2006/main" count="1463" uniqueCount="446">
  <si>
    <t>Kondisi Terkini</t>
  </si>
  <si>
    <t>Batas</t>
  </si>
  <si>
    <t>APST</t>
  </si>
  <si>
    <t>Objek</t>
  </si>
  <si>
    <t>Kode</t>
  </si>
  <si>
    <t>Pintu</t>
  </si>
  <si>
    <t>Terbuka</t>
  </si>
  <si>
    <t>Kursi</t>
  </si>
  <si>
    <t>Kosong</t>
  </si>
  <si>
    <t>Terisi</t>
  </si>
  <si>
    <t>Aktivitas Utama</t>
  </si>
  <si>
    <t>Nama Ruang</t>
  </si>
  <si>
    <t>Prasyarat</t>
  </si>
  <si>
    <t>Keterangan</t>
  </si>
  <si>
    <t>Cek cahaya</t>
  </si>
  <si>
    <t>Ada</t>
  </si>
  <si>
    <t>Tidak Ada</t>
  </si>
  <si>
    <t>RDP01</t>
  </si>
  <si>
    <t>RHD01</t>
  </si>
  <si>
    <t>Mati</t>
  </si>
  <si>
    <t>Cek sumber daya</t>
  </si>
  <si>
    <t>Lampu</t>
  </si>
  <si>
    <t xml:space="preserve">Tujuan IF terpenuhi </t>
  </si>
  <si>
    <t xml:space="preserve">Tujuan IF tidak terpenuhi </t>
  </si>
  <si>
    <t>RKG01</t>
  </si>
  <si>
    <t>Sofa</t>
  </si>
  <si>
    <t>Makan</t>
  </si>
  <si>
    <t>Minum</t>
  </si>
  <si>
    <t>Cek device</t>
  </si>
  <si>
    <t>Tidur</t>
  </si>
  <si>
    <t>RTU01</t>
  </si>
  <si>
    <t>Tempat tidur</t>
  </si>
  <si>
    <t>BAK</t>
  </si>
  <si>
    <t>Terkunci</t>
  </si>
  <si>
    <t>BAB</t>
  </si>
  <si>
    <t>Mandi</t>
  </si>
  <si>
    <t>Menyapu Ruang Keluarga</t>
  </si>
  <si>
    <t>Menyapu Ruang Tamu</t>
  </si>
  <si>
    <t>RTM01</t>
  </si>
  <si>
    <t>Menyapu Teras</t>
  </si>
  <si>
    <t>RTS01</t>
  </si>
  <si>
    <t>Mengepel Ruang Keluarga</t>
  </si>
  <si>
    <t>Mengepel Ruang Tamu</t>
  </si>
  <si>
    <t>Mengepel Teras</t>
  </si>
  <si>
    <t>Menyapu Ruang Tidur Utama 1</t>
  </si>
  <si>
    <t>Menyapu Ruang Tidur Utama 2</t>
  </si>
  <si>
    <t>RTU02</t>
  </si>
  <si>
    <t>Mengepel Ruang Tidur Utama 1</t>
  </si>
  <si>
    <t>Mengepel Ruang Tidur Utama 2</t>
  </si>
  <si>
    <t>Hidup</t>
  </si>
  <si>
    <t>Gas</t>
  </si>
  <si>
    <t>Belanja</t>
  </si>
  <si>
    <t>Mesin cuci</t>
  </si>
  <si>
    <t>Menyetrika pakaian</t>
  </si>
  <si>
    <t>Setrika</t>
  </si>
  <si>
    <t>Membaca</t>
  </si>
  <si>
    <t>Bersantai</t>
  </si>
  <si>
    <t>Cek agen</t>
  </si>
  <si>
    <t>Makanan</t>
  </si>
  <si>
    <t>Air minum</t>
  </si>
  <si>
    <t>Jumlah &amp; status</t>
  </si>
  <si>
    <t>Air</t>
  </si>
  <si>
    <t>Kompor</t>
  </si>
  <si>
    <t>TV</t>
  </si>
  <si>
    <t>Kipas Angin</t>
  </si>
  <si>
    <t>Asumsi alat kebersihan selalu tersedia</t>
  </si>
  <si>
    <t>batal = cek aktivitas urut 2</t>
  </si>
  <si>
    <t>Jumlah &amp; Status Agen</t>
  </si>
  <si>
    <t>Rumus</t>
  </si>
  <si>
    <t>Asumsi kondisi peralatan listrik baik, dan tidak ada mati listrik, sehingga tidak ada batal karena listrik</t>
  </si>
  <si>
    <t xml:space="preserve">Cek agen </t>
  </si>
  <si>
    <t>IF Kondisi terkini&lt;Batas (0.5),"RTU01","Batal"</t>
  </si>
  <si>
    <t>IF Kondisi terkini (Tempat tidur)=Batas (Kosong),"Tempat tidur","Batal"</t>
  </si>
  <si>
    <t>IF Kondisi terkini (Pintu)=Batas (Terbuka),"Bak mandi","Batal"</t>
  </si>
  <si>
    <t>IF Kondisi terkini (Pintu)=Batas (Terbuka),"RTU01","Batal"</t>
  </si>
  <si>
    <t>IF Kondisi terkini&lt;=Batas (0),"Pintu","Batal"</t>
  </si>
  <si>
    <t>IF Kondisi terkini&lt;Batas (0.2),"RTU01","Batal"</t>
  </si>
  <si>
    <t>IF Kondisi terkini (Pintu)=Batas (Terbuka),"RTU02","Batal"</t>
  </si>
  <si>
    <t>***Mematikan lampu hanya jika di ruang tidak ada agen lain</t>
  </si>
  <si>
    <t>IF Kondisi terkini&lt;Batas (0.5),"Tempat sampah","Batal"</t>
  </si>
  <si>
    <t>IF Kondisi terkini (Pintu)=Batas (Terbuka),"RHD01","Batal"</t>
  </si>
  <si>
    <t>IF Kondisi terkini&lt;=Batas (1),"Kran air","Batal"</t>
  </si>
  <si>
    <t>IF Kondisi terkini=Batas (Ada),"Kompor","Batal"</t>
  </si>
  <si>
    <t>IF Kondisi terkini&lt;=Batas (2),"Bak cuci piring","Batal"</t>
  </si>
  <si>
    <t>B3</t>
  </si>
  <si>
    <t>IF Kondisi terkini (Pintu)=Batas (Terbuka),"Pintu","Batal"</t>
  </si>
  <si>
    <t>IF Kondisi terkini (Sofa)=Batas (Kosong),"Sofa","RTM01"</t>
  </si>
  <si>
    <t>IF Kondisi terkini&lt;=Batas (0.6),"Sofa","RTM01"</t>
  </si>
  <si>
    <t>IF Kondisi terkini&lt;=Batas (0.4),"Sofa","Batal"</t>
  </si>
  <si>
    <t>IF Kondisi terkini (Sofa)=Batas (Kosong),"Sofa","Batal"</t>
  </si>
  <si>
    <t>IF Kondisi terkini (Sofa)=Batas (Kosong),"Sofa","RTU01"</t>
  </si>
  <si>
    <t>IF Kondisi terkini&lt;=Batas (1),"Sofa","RTU01"</t>
  </si>
  <si>
    <t>IF Kondisi terkini&lt;=Batas (0.4),"Tempat tidur","Batal"</t>
  </si>
  <si>
    <t>Pergi memasukan laundry</t>
  </si>
  <si>
    <t>Pergi mengambil laundry</t>
  </si>
  <si>
    <t>Agen berada di RTS01, cek lampu teras</t>
  </si>
  <si>
    <t>D2</t>
  </si>
  <si>
    <t>Asumsi alat kebersihan selalu tersedia atau dalam agen mengambil alat kebersihan di ruang lain, dan selama aktivitas bersih-bersih, peralatan selalu ada pada agen</t>
  </si>
  <si>
    <t>Bahan makanan</t>
  </si>
  <si>
    <t>Menghidupkan lampu garasi di sore hari</t>
  </si>
  <si>
    <t>Mematikan lampu garasi di pagi hari</t>
  </si>
  <si>
    <t>A4</t>
  </si>
  <si>
    <t>A8</t>
  </si>
  <si>
    <t>A10</t>
  </si>
  <si>
    <t>A12</t>
  </si>
  <si>
    <t>A15</t>
  </si>
  <si>
    <t>A16</t>
  </si>
  <si>
    <t>A18</t>
  </si>
  <si>
    <t>A19</t>
  </si>
  <si>
    <t>A20</t>
  </si>
  <si>
    <t>A21</t>
  </si>
  <si>
    <t>A25</t>
  </si>
  <si>
    <t>A36</t>
  </si>
  <si>
    <t>A43</t>
  </si>
  <si>
    <t>A44</t>
  </si>
  <si>
    <t>A65</t>
  </si>
  <si>
    <t>A70</t>
  </si>
  <si>
    <t>A72</t>
  </si>
  <si>
    <t>A74</t>
  </si>
  <si>
    <t>B2</t>
  </si>
  <si>
    <t>B4</t>
  </si>
  <si>
    <t>B5</t>
  </si>
  <si>
    <t>B6</t>
  </si>
  <si>
    <t>B7</t>
  </si>
  <si>
    <t>Mencuci baju konvensional</t>
  </si>
  <si>
    <t>Mencuci dengan mesin cuci</t>
  </si>
  <si>
    <t>Menjemur pakaian</t>
  </si>
  <si>
    <t>No</t>
  </si>
  <si>
    <t>L1</t>
  </si>
  <si>
    <t>A3</t>
  </si>
  <si>
    <t>L2</t>
  </si>
  <si>
    <t>Menghidupkan lampu</t>
  </si>
  <si>
    <t>RDP02</t>
  </si>
  <si>
    <t>RBK01</t>
  </si>
  <si>
    <t>IF Kondisi terkini&lt;=Batas (2),"RBK01","Batal"</t>
  </si>
  <si>
    <t>RKM02</t>
  </si>
  <si>
    <t>IF Kondisi terkini (Pintu)=Batas (Terbuka),"Bak mandi","RKM03"</t>
  </si>
  <si>
    <t>RKM03</t>
  </si>
  <si>
    <t>Menyapu Ruang Kerja</t>
  </si>
  <si>
    <t>Menyapu Ruang Belakang</t>
  </si>
  <si>
    <t>Menyapu Dapur Kotor</t>
  </si>
  <si>
    <t>Menyapu Dapur Bersih</t>
  </si>
  <si>
    <t>Mengepel Ruang Kerja</t>
  </si>
  <si>
    <t>Mengepel Dapur Kotor</t>
  </si>
  <si>
    <t>Mengepel Dapur Bersih</t>
  </si>
  <si>
    <t>Memasak makan dengan rice cooker</t>
  </si>
  <si>
    <t>Membangunkan anak di pagi hari</t>
  </si>
  <si>
    <t>Membuat susu anak</t>
  </si>
  <si>
    <t>Membuang Sampah</t>
  </si>
  <si>
    <t>Membakar Sampah</t>
  </si>
  <si>
    <t>Membuat minuman herbal</t>
  </si>
  <si>
    <t>Menjahit</t>
  </si>
  <si>
    <t>Pergi jalan ke luar rumah di akhir pekan</t>
  </si>
  <si>
    <t>Mematikan rice cooker</t>
  </si>
  <si>
    <t>A5</t>
  </si>
  <si>
    <t>A6</t>
  </si>
  <si>
    <t>A7</t>
  </si>
  <si>
    <t>A9</t>
  </si>
  <si>
    <t>A11</t>
  </si>
  <si>
    <t>A13</t>
  </si>
  <si>
    <t>A14</t>
  </si>
  <si>
    <t>RKJ01</t>
  </si>
  <si>
    <t>A17</t>
  </si>
  <si>
    <t>Memasak makan pagi/ siang/ malam dengan kompor gas</t>
  </si>
  <si>
    <t>A24/A49/A63</t>
  </si>
  <si>
    <t>A27</t>
  </si>
  <si>
    <t>A28</t>
  </si>
  <si>
    <t>Memasak air untuk mandi pagi/ sore</t>
  </si>
  <si>
    <t>A29/A58</t>
  </si>
  <si>
    <t>Memandikan anak pagi/ sore</t>
  </si>
  <si>
    <t>Menyuapi anak makan pagi/siang/malam</t>
  </si>
  <si>
    <t>Menyiram tanaman pagi/sore</t>
  </si>
  <si>
    <t>A34/A55</t>
  </si>
  <si>
    <t>A37/A38/A39/A40</t>
  </si>
  <si>
    <t>A41</t>
  </si>
  <si>
    <t>A42</t>
  </si>
  <si>
    <t>Menonton TV siang/malam</t>
  </si>
  <si>
    <t>A46/A66</t>
  </si>
  <si>
    <t>A57</t>
  </si>
  <si>
    <t>Mencuci piring dan alat masak pagi/siang/malam</t>
  </si>
  <si>
    <t>A76</t>
  </si>
  <si>
    <t>A77</t>
  </si>
  <si>
    <t>A61</t>
  </si>
  <si>
    <t>A33</t>
  </si>
  <si>
    <t>A79</t>
  </si>
  <si>
    <t>Menerima tamu</t>
  </si>
  <si>
    <t>IF Kondisi terkini=Batas (Kosong),"Sofa","Batal"</t>
  </si>
  <si>
    <t>IF Kondisi terkini&lt;=Batas (1),"RTM01","Batal"</t>
  </si>
  <si>
    <t>A78</t>
  </si>
  <si>
    <t>Mengoperasikan gadget</t>
  </si>
  <si>
    <t>A71</t>
  </si>
  <si>
    <t>Menyiapkan kasur &amp; karpet tidur</t>
  </si>
  <si>
    <t>Menggunakan printer</t>
  </si>
  <si>
    <t>Rice cooker</t>
  </si>
  <si>
    <t>IF Kondisi terkini&gt;Batas,"Printer","Batal")</t>
  </si>
  <si>
    <t>Printer</t>
  </si>
  <si>
    <t>A69</t>
  </si>
  <si>
    <t>Bekerja menggunakan komputer</t>
  </si>
  <si>
    <t>Komputer</t>
  </si>
  <si>
    <t>Bekerja di luar rumah</t>
  </si>
  <si>
    <t>RGS01</t>
  </si>
  <si>
    <t>IF Kondisi terkini (Pintu)&gt;Batas (Terbuka),"RGS01","Batal"</t>
  </si>
  <si>
    <t>IF Kondisi terkini (Sofa random)&lt;Batas (Kosong),"Sofa (random)","Batal"</t>
  </si>
  <si>
    <t>IF Kondisi terkini&lt;Batas (1),"RKG01","Batal"</t>
  </si>
  <si>
    <t>IF Kondisi terkini&lt;Batas (1),"RDP02","Batal"</t>
  </si>
  <si>
    <t>IF Kondisi terkini (makanan)=Batas (Ada),"RKG01","RDP02"</t>
  </si>
  <si>
    <t>IF Kondisi terkini (makanan)=Batas (Ada),"RKG01","Batal"</t>
  </si>
  <si>
    <t>IF Kondisi terkini&lt;Batas (1),RDP02","Batal"</t>
  </si>
  <si>
    <t>Kembali ke RKG01 untuk cek device (ii), tetapi sampai di ruang cek mulai dari (i), batal = cek aktivitas urut 2</t>
  </si>
  <si>
    <t>IF Kondisi terkini&lt;Batas (1),"RTM01","Batal"</t>
  </si>
  <si>
    <t>IF Kondisi terkini&lt;Batas (0.8),"RTS01","Batal"</t>
  </si>
  <si>
    <t>IF Kondisi terkini&lt;Batas (0.8),"RTM01","Batal"</t>
  </si>
  <si>
    <t>IF Kondisi terkini&lt;Batas (0.8),"RKG01","Batal"</t>
  </si>
  <si>
    <t>IF Kondisi terkini&lt;Batas (0.8),"RDP01","Batal"</t>
  </si>
  <si>
    <t>IF Kondisi terkini&lt;Batas (1),"RTS01","Batal"</t>
  </si>
  <si>
    <t>IF Kondisi terkini&lt;Batas (1),"RDP01","Batal"</t>
  </si>
  <si>
    <t>IF Kondisi terkini&lt;Batas (0.5),"RTU02","Batal"</t>
  </si>
  <si>
    <t>IF Kondisi terkini&lt;Batas (1),"RBK01","Batal"</t>
  </si>
  <si>
    <t>IF Kondisi terkini&lt;Batas (1),"RKJ01","Batal"</t>
  </si>
  <si>
    <t>IF Kondisi terkini&lt;Batas (0.8),"RKJ01","Batal"</t>
  </si>
  <si>
    <t>IF Kondisi terkini&lt;Batas (0.8),"RDP02","Batal"</t>
  </si>
  <si>
    <t>IF Kondisi terkini&lt;Batas (2),"RDP02","Batal"</t>
  </si>
  <si>
    <t>Off</t>
  </si>
  <si>
    <t>E1</t>
  </si>
  <si>
    <t>E2</t>
  </si>
  <si>
    <t>IF Kondisi terkini&lt;=Batas (2),"RDP01","Batal"</t>
  </si>
  <si>
    <t>IF Kondisi terkini&gt;=Batas(5),"RDP01","Batal"</t>
  </si>
  <si>
    <t>IF Kondisi terkini&lt;Batas (25),"RTU01","E1"</t>
  </si>
  <si>
    <t>D1</t>
  </si>
  <si>
    <t>Menghidupkan objek dinamis</t>
  </si>
  <si>
    <t>Mematikan objek dinamis</t>
  </si>
  <si>
    <t>IF Kondisi terkini=Batas (Off),"D1","Batal"</t>
  </si>
  <si>
    <t>IF Kondisi terkini&lt;Batas (24),"E2","0"</t>
  </si>
  <si>
    <t>IF Kondisi terkini&lt;=Batas (2),"RDP02","Batal"</t>
  </si>
  <si>
    <t>Cek Iklim ruang</t>
  </si>
  <si>
    <t>A75</t>
  </si>
  <si>
    <t>Berdandan setelah mandi</t>
  </si>
  <si>
    <t>A22/ A47/ A60</t>
  </si>
  <si>
    <t>Mengangkat jemuran</t>
  </si>
  <si>
    <t>A56</t>
  </si>
  <si>
    <t>A23/ A48/ A62</t>
  </si>
  <si>
    <t>Pergi membeli makan pagi/ siang/ malam ke luar rumah</t>
  </si>
  <si>
    <t>IF Kondisi terkini&gt;=Batas (90),"Bak mandi","D1"</t>
  </si>
  <si>
    <t>IF Kondisi terkini&gt;=Batas (15),"Kloset","D1"</t>
  </si>
  <si>
    <t>IF Kondisi terkini (kran air)=Batas (Mati),"D1","Batal"</t>
  </si>
  <si>
    <t>IF Kondisi terkini (Air)=Batas (160),"D1","Batal"</t>
  </si>
  <si>
    <t>IF Kondisi terkini (Mesin cuci)=Batas (Mati),"E1","Batal"</t>
  </si>
  <si>
    <t>IF Kondisi terkini (Air)=Batas (250),"D1","Batal"</t>
  </si>
  <si>
    <t>Bermain dengan anak pagi/ siang/ malam</t>
  </si>
  <si>
    <t>IF Kondisi terkini (2)&lt;=Batas,"RGS01",0)</t>
  </si>
  <si>
    <t>IF Kondisi terkini (Air)=Batas (15),"D1","Batal"</t>
  </si>
  <si>
    <t>Cek air di ruang. Jika air tidak cukup, maka membuka kran dan menunggu di ruang atau jika waktu tunggu &gt;= 15 menit, melakukan aktivitas 2</t>
  </si>
  <si>
    <t>Cek air di tandon. Jika air tidak cukup, maka batal.</t>
  </si>
  <si>
    <t>Cek air di ruang. Jika air tidak cukup, maka batal.</t>
  </si>
  <si>
    <t>Menghidupkan peralatan listrik, selain lampu</t>
  </si>
  <si>
    <t>Mematikan peralatan listrik, selain lampu</t>
  </si>
  <si>
    <t>IF Kondisi terkini&gt;=Batas (150),"RDP02","L1"</t>
  </si>
  <si>
    <t>IF Kondisi terkini (Komputer)=Batas (Hidup),"Komputer","E1"</t>
  </si>
  <si>
    <t>IF Kondisi terkini (Setrika)=Batas (Mati),"Setrika","E1"</t>
  </si>
  <si>
    <t>IF Kondisi terkini (TV)=Batas (Mati),"Sofa/ Kursi","E1"</t>
  </si>
  <si>
    <t>IF Kondisi terkini (Rice cooker)=Batas (Mati),"RDP02","E1"</t>
  </si>
  <si>
    <t>IF Kondisi terkini (Printer)=Batas (Hidup),"Printer","E1"</t>
  </si>
  <si>
    <t>IF Kondisi terkini&lt;=Batas (24),"Tempat tidur","E1"</t>
  </si>
  <si>
    <t>L2 ; D2</t>
  </si>
  <si>
    <t>L2 ; E2</t>
  </si>
  <si>
    <t>IF Kondisi terkini&gt;=Batas (150),"RKG01","L1"</t>
  </si>
  <si>
    <t>IF Kondisi terkini&gt;=Batas (150),"RTM01","L1"</t>
  </si>
  <si>
    <t>IF Kondisi terkini&gt;=Batas (150),"Pintu","L1"</t>
  </si>
  <si>
    <t>IF Kondisi terkini&gt;Batas (60),"L2","Batal"</t>
  </si>
  <si>
    <t>IF Kondisi terkini&gt;=Batas (150),"RTU01","L1"</t>
  </si>
  <si>
    <t>IF Kondisi terkini&gt;=Batas (150),"RTU02","L1"</t>
  </si>
  <si>
    <t>IF Kondisi terkini&gt;=Batas (150),"RKJ01","L1"</t>
  </si>
  <si>
    <t>IF Kondisi terkini&gt;=Batas (150),"RDP01","L1"</t>
  </si>
  <si>
    <t>IF Kondisi terkini&gt;=Batas (150),"L2","L1"</t>
  </si>
  <si>
    <t>IF Kondisi terkini&gt;=Batas (100),"RDP01","L1"</t>
  </si>
  <si>
    <t>IF Kondisi terkini&gt;=Batas (150),"RGS01","L1"</t>
  </si>
  <si>
    <t>IF Kondisi terkini&lt;Batas (60),"L1","Batal"</t>
  </si>
  <si>
    <t>IF Kondisi terkini&lt;=Batas (25),"Sofa","E1"</t>
  </si>
  <si>
    <t>IF Kondisi terkini&gt;Batas,"Kursi","Batal"</t>
  </si>
  <si>
    <t>IF Kondisi terkini=Batas (Ada),"RDP02","Batal"</t>
  </si>
  <si>
    <t>IF Kondisi terkini=Batas (100),"RTS01","Batal"</t>
  </si>
  <si>
    <t>IF Kondisi terkini&lt;=Batas (1),"Sofa/ Kursi","Batal"</t>
  </si>
  <si>
    <t>IF Kondisi terkini&lt;=Batas (25),"Sofa/ Kursi","E1"</t>
  </si>
  <si>
    <t>IF Kondisi terkini (Kursi)=Batas (Kosong),"Kursi","Batal"</t>
  </si>
  <si>
    <t>IF Kondisi terkini (Sofa)=Batas (Kosong),"Sofa","Kursi"</t>
  </si>
  <si>
    <t>IF Kondisi terkini&lt;=Batas (1),"RGD01","Batal"</t>
  </si>
  <si>
    <t>IF Kondisi terkini&lt;=Batas (150),"RKJ01","L1"</t>
  </si>
  <si>
    <t>IF Kondisi terkini&lt;=Batas (150),"RDP02","L1"</t>
  </si>
  <si>
    <t>IF Kondisi terkini (2)&lt;=Batas,"Rice cooker","Batal")</t>
  </si>
  <si>
    <t>IF Kondisi terkini (Makanan)=Batas (Hidup),"Rice cooker","E2"</t>
  </si>
  <si>
    <t>IF Kondisi terkini&lt;=Batas (1),"Sofa","RKG01"</t>
  </si>
  <si>
    <t>Menutup pintu</t>
  </si>
  <si>
    <t>R1</t>
  </si>
  <si>
    <t>R2</t>
  </si>
  <si>
    <t>Membuka pintu</t>
  </si>
  <si>
    <r>
      <t xml:space="preserve">Mematikan lampu </t>
    </r>
    <r>
      <rPr>
        <sz val="11"/>
        <color rgb="FFFF0000"/>
        <rFont val="Calibri"/>
        <family val="2"/>
        <scheme val="minor"/>
      </rPr>
      <t>(hanya jika di ruang tidak ada agen lain)</t>
    </r>
  </si>
  <si>
    <t>IF Kondisi terkini&lt;=Batas (50),"Tempat tidur","L2"</t>
  </si>
  <si>
    <t>L2 ; D2 ; R2</t>
  </si>
  <si>
    <t>L2 ; R2</t>
  </si>
  <si>
    <t>L2 ; E2 ; R2</t>
  </si>
  <si>
    <t>L2 ; E2 ;R2</t>
  </si>
  <si>
    <t>IF Kondisi terkini (Pintu)=Batas (Terbuka),"RDP01","R1"</t>
  </si>
  <si>
    <t>IF Kondisi terkini (Pintu)=Batas (Terbuka),"RTS01","R1"</t>
  </si>
  <si>
    <t>IF Kondisi terkini (Pintu)=Batas (Terbuka),"RBK01","R1"</t>
  </si>
  <si>
    <t>IF Kondisi terkini&gt;=Batas (150),"RDP01","R1"</t>
  </si>
  <si>
    <t>IF Kondisi terkini (Pintu)=Batas (Terbuka),"RTU01","R1"</t>
  </si>
  <si>
    <t>IF Kondisi terkini (Pintu)=Batas (Terbuka),"RHD01","R1"</t>
  </si>
  <si>
    <t>IF Kondisi terkini (Pintu)=Batas (Terbuka),"RGS01","R1"</t>
  </si>
  <si>
    <t>IF Kondisi terkini (Pintu)=Batas (Terbuka),"RGD01","R1"</t>
  </si>
  <si>
    <t>IF Kondisi terkini (Tempat tidur)&lt;Batas (3),"Tempat tidur","Batal"</t>
  </si>
  <si>
    <t>IF Kondisi terkini&gt;=Batas (10),"Kloset","D1"</t>
  </si>
  <si>
    <t>RKM01/ RKM02/ RKM03/ RKM04</t>
  </si>
  <si>
    <t>Membersihkan KM Dalam/ KM Tengah/ KM Belakang/ KM Lt. 2</t>
  </si>
  <si>
    <t>A1</t>
  </si>
  <si>
    <t>Membereskan kasur &amp; karpet tidur di pagi hari</t>
  </si>
  <si>
    <t>A2</t>
  </si>
  <si>
    <t>Mengisi ulang daya gadget</t>
  </si>
  <si>
    <t>IF Kondisi terkini&lt;Batas (0.2),"RKG01","Batal"</t>
  </si>
  <si>
    <t>IF Kondisi terkini&lt;Batas (0.2),"RDP02","Batal"</t>
  </si>
  <si>
    <t>IF Kondisi terkini&lt;Batas (1),"RTU01","Batal"</t>
  </si>
  <si>
    <t>A54</t>
  </si>
  <si>
    <t>Pergi jalan ke luar rumah di siang hari</t>
  </si>
  <si>
    <t>IF Kondisi terkini&gt;=Batas (150),"RHD01","L1"</t>
  </si>
  <si>
    <t>A80</t>
  </si>
  <si>
    <t>Menyapu Halaman Depan</t>
  </si>
  <si>
    <t>IF Kondisi terkini&lt;Batas (1),"RHD01","Batal"</t>
  </si>
  <si>
    <t>IF Kondisi terkini&gt;=Batas (100),"RHD01","Batal"</t>
  </si>
  <si>
    <t>RKM04</t>
  </si>
  <si>
    <t>IF Kondisi terkini&lt;=Batas (200),"RDP02","Batal"</t>
  </si>
  <si>
    <t>IF Kondisi terkini&lt;=Batas (1),"RKJ01","Batal"</t>
  </si>
  <si>
    <t>A73</t>
  </si>
  <si>
    <t>Membereskan mainan anak</t>
  </si>
  <si>
    <t>IF Kondisi terkini&lt;=Batas (1),"Sofa","RKJ01"</t>
  </si>
  <si>
    <t>IF Kondisi terkini (Sofa)=Batas (Kosong),"Kursi","Batal"</t>
  </si>
  <si>
    <t>IF Kondisi terkini&gt;=Batas (150),"RTS01","L1"</t>
  </si>
  <si>
    <t>IF Kondisi terkini&lt;=Batas (1),"RTS01","Batal"</t>
  </si>
  <si>
    <t>IF Kondisi terkini=Batas (Kosong),"Sofa","RTM01"</t>
  </si>
  <si>
    <t>Data Kondisi Ruang</t>
  </si>
  <si>
    <t>Membawa agen lain  ke ruang lain</t>
  </si>
  <si>
    <t>Agen 2</t>
  </si>
  <si>
    <t>Cek Fisiologis Agen lain</t>
  </si>
  <si>
    <t>Cek Lokasi Agen Lain</t>
  </si>
  <si>
    <t>Tingkat Lapar Agen 2</t>
  </si>
  <si>
    <t>B1</t>
  </si>
  <si>
    <t>Pergi ke lokasi Agen lain</t>
  </si>
  <si>
    <t>IF Kondisi Terkini=Batas (Ada),"B1","Batal"</t>
  </si>
  <si>
    <t>IF Kondisi Terkini=Batas (8),"A1","Batal"</t>
  </si>
  <si>
    <t>Ada di rumah</t>
  </si>
  <si>
    <t>Jika B1, Agen 1 pergi ke lokasi Agen 2 dan aktivitas "Menyuapi Anak" berjalan</t>
  </si>
  <si>
    <t>Jika A1, melanjutkan ke Tahap 2: Cek Kondisi Ruang, Agen 2 mengikuti Agen 1 cek device di ruang untuk makan</t>
  </si>
  <si>
    <t>Sofa: Jumlah kosong</t>
  </si>
  <si>
    <t>IF Kondisi terkini (Sofa: Jumlah kosong)&lt;Batas (2),"Sofa (random)","Batal"</t>
  </si>
  <si>
    <t>Jika syarat terpenuhi, maka Agen 1 melakukan Tahap 3, Agen 2 melakukan aktivitas pendukung: Menunggu Agen 1. jika batal = cek aktivitas urut 2; Batas Sofa Kosong = 2, jika device kosong di ruang tidak memenuhi, maka pindah ke ruang alternatif</t>
  </si>
  <si>
    <t>Jika syarat terpenuhi, maka Agen 1 melakukan Tahap 3, Agen 2 melakukan aktivitas pendukung: Menunggu Agen 1. jika batal = cek aktivitas urut 2</t>
  </si>
  <si>
    <t>Tempat Sampah</t>
  </si>
  <si>
    <t>Mencari Agen 2</t>
  </si>
  <si>
    <t>Mengambil sampah</t>
  </si>
  <si>
    <t>Menyiapkan air mandi</t>
  </si>
  <si>
    <t>Mencari Agen 3</t>
  </si>
  <si>
    <t>Membawa Agen 2</t>
  </si>
  <si>
    <t>Mengambil makan untuk Agen 2</t>
  </si>
  <si>
    <t>Cek Aktivitas Agen</t>
  </si>
  <si>
    <t>Aktivitas Agen Lain</t>
  </si>
  <si>
    <t>Diinterupsi</t>
  </si>
  <si>
    <t>Mengambil makan</t>
  </si>
  <si>
    <t>Agen 3</t>
  </si>
  <si>
    <t>IF Kondisi terkini (Pintu)=Batas (Terbuka),"Bak Mandi","Batal"</t>
  </si>
  <si>
    <t>IF Kondisi terkini (Pintu)=Batas (Terbuka),"RKM02","R1"</t>
  </si>
  <si>
    <t>RKM02/ RKM04</t>
  </si>
  <si>
    <t>Agen 1 dan Agen 2 pergi ke RKM02/ RKM04 yang tersedia ketika Menyiapkan air mandi; cek syarat ruang sudah dilakukan saat Menyiapkan Air Mandi; waktu berjalan</t>
  </si>
  <si>
    <t>Agen 1 melakukan aktivitas Memandikan Anak dan Agen 2 melakukan aktivitas Mandi; cek syarat ruang sudah dilakukan saat Menyiapkan Air Mandi; waktu berjalan, tingkat kotor Agen 2 menurun</t>
  </si>
  <si>
    <t>Untuk set aktivitas Memandikan Anak, tidak perlu cek aktivitas Agen 2, karena tingkat kotor Agen 2 minimal 8, menjadi urgensi agar Agen 1 memilih set aktivitas Memandikan Anak.</t>
  </si>
  <si>
    <t xml:space="preserve"> Aktivitas fisiologis: Tidur Agen 2 bisa diinterupsi oleh Agen lain, karena aktivitas Membangunkan Anak</t>
  </si>
  <si>
    <t>Tingkat Kantuk Agen 2</t>
  </si>
  <si>
    <t>I1</t>
  </si>
  <si>
    <t>Menginterupsi aktivitas Agen lain</t>
  </si>
  <si>
    <t>IF Kondisi Terkini&lt;=Batas (8),"I1","Batal"</t>
  </si>
  <si>
    <t>Jika I1, maka Agen 1 bisa menginterupsi Tidur Agen 2, maka Tidur Agen 2 bisa  melakukan Bangun Tidur</t>
  </si>
  <si>
    <t xml:space="preserve">Menginterupsi Tidur Agen 2 </t>
  </si>
  <si>
    <t>Tingkat Haus Agen 2</t>
  </si>
  <si>
    <t>Menginterupsi Aktivitas Agen 3</t>
  </si>
  <si>
    <t>IF Kondisi Terkini=Batas (6),"I1","Batal"</t>
  </si>
  <si>
    <t>Jika I1, Agen 1 bisa menginterupsi aktivitas Agen 3 dan Agen 3 bisa melakukan aktivitas Minum</t>
  </si>
  <si>
    <t>IF Kondisi Terkini=Batas (Diinterupsi),"I1","Batal"</t>
  </si>
  <si>
    <t>IF Kondisi Terkini=Batas (Ada di Rumah),"B1","Batal"</t>
  </si>
  <si>
    <t>Jika I1, melanjutkan ke Bermain dengan Anak</t>
  </si>
  <si>
    <t>Sofa/ Kursi/ Tempat tidur</t>
  </si>
  <si>
    <t>IF Kondisi terkini=Batas (Kosong),"Sofa/ Kursi/ Tempat tidur","Batal"</t>
  </si>
  <si>
    <t>IF Kondisi terkini&lt;=Batas (25),"Sofa/ Kursi/ Tempat tidur","E1"</t>
  </si>
  <si>
    <t>Menginterupsi Aktivitas Agen 2</t>
  </si>
  <si>
    <t>Jika I1, Agen 2 bisa minum, Agen 1 menunggu Agen 2</t>
  </si>
  <si>
    <t>A119</t>
  </si>
  <si>
    <t>Jenis</t>
  </si>
  <si>
    <t>PA-I</t>
  </si>
  <si>
    <t>PR-D;A119</t>
  </si>
  <si>
    <t>DLA</t>
  </si>
  <si>
    <t>PR-D;DLA;B7</t>
  </si>
  <si>
    <t>PA-I;A</t>
  </si>
  <si>
    <t>PR;A55</t>
  </si>
  <si>
    <t>PA-O</t>
  </si>
  <si>
    <t>PR;A5</t>
  </si>
  <si>
    <t>PR;A6</t>
  </si>
  <si>
    <t>PR;A7</t>
  </si>
  <si>
    <t>PR;A9</t>
  </si>
  <si>
    <t>PR;A10</t>
  </si>
  <si>
    <t>PR;A11</t>
  </si>
  <si>
    <t>PR;A12</t>
  </si>
  <si>
    <t>PR;A13</t>
  </si>
  <si>
    <t>PR-D;A116</t>
  </si>
  <si>
    <t>A116</t>
  </si>
  <si>
    <t>PR-D;A26</t>
  </si>
  <si>
    <t>A115</t>
  </si>
  <si>
    <t>PR-D;A115</t>
  </si>
  <si>
    <t>PR-D;A27</t>
  </si>
  <si>
    <t>A120</t>
  </si>
  <si>
    <t>A117</t>
  </si>
  <si>
    <t>A30</t>
  </si>
  <si>
    <t>PR-D;A120</t>
  </si>
  <si>
    <t>PR-D;A29/A58</t>
  </si>
  <si>
    <t>PR-D;A31</t>
  </si>
  <si>
    <t>A121</t>
  </si>
  <si>
    <t>PR-D;A117</t>
  </si>
  <si>
    <t>A118</t>
  </si>
  <si>
    <t>PR-D;A118</t>
  </si>
  <si>
    <t>A32/A50/A64</t>
  </si>
  <si>
    <t>Peluang APST</t>
  </si>
  <si>
    <t>A31</t>
  </si>
  <si>
    <t>PR;A23/A24/A48/A49/A62/A63</t>
  </si>
  <si>
    <t>A35/ A52/ A67</t>
  </si>
  <si>
    <t>PR-D;A35/A52/A67</t>
  </si>
  <si>
    <t>UA-I</t>
  </si>
  <si>
    <t>PR;A22/A47/A60</t>
  </si>
  <si>
    <t>PR-D;A69</t>
  </si>
  <si>
    <t>PR;A22/A47;E;A24//A49/A63</t>
  </si>
  <si>
    <t>PA-O;E;A41/A42</t>
  </si>
  <si>
    <t>A45</t>
  </si>
  <si>
    <t>PR;A32/A50/A64</t>
  </si>
  <si>
    <t>PR;A56</t>
  </si>
  <si>
    <t>PR;A43</t>
  </si>
  <si>
    <t>PR-D;A41;A42</t>
  </si>
  <si>
    <t>PA-I;E;A41</t>
  </si>
  <si>
    <t>PA-I;E;A42</t>
  </si>
  <si>
    <t>PR;A29/A58</t>
  </si>
  <si>
    <t>A26/ A53/ A68</t>
  </si>
  <si>
    <t>PR-D;A25;PA-I</t>
  </si>
  <si>
    <t>PR;A22/ A47/ A60;E;A23/ A48/ A62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</si>
</sst>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i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0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15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4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17" xfId="0" applyFont="1" applyFill="1" applyBorder="1" applyAlignment="1">
      <alignment horizontal="left" vertical="center" wrapText="1"/>
    </xf>
    <xf numFmtId="0" fontId="4" fillId="0" borderId="14" xfId="0" applyFont="1" applyFill="1" applyBorder="1" applyAlignment="1">
      <alignment horizontal="left" vertical="center" wrapText="1"/>
    </xf>
    <xf numFmtId="0" fontId="4" fillId="0" borderId="18" xfId="0" applyFont="1" applyFill="1" applyBorder="1" applyAlignment="1">
      <alignment horizontal="left" vertical="center" wrapText="1"/>
    </xf>
    <xf numFmtId="0" fontId="4" fillId="0" borderId="13" xfId="0" applyFont="1" applyFill="1" applyBorder="1" applyAlignment="1">
      <alignment horizontal="left" vertical="center" wrapText="1"/>
    </xf>
    <xf numFmtId="0" fontId="4" fillId="0" borderId="15" xfId="0" applyFont="1" applyFill="1" applyBorder="1" applyAlignment="1">
      <alignment horizontal="left" vertical="center" wrapText="1"/>
    </xf>
    <xf numFmtId="0" fontId="0" fillId="0" borderId="0" xfId="0" applyFill="1" applyAlignment="1">
      <alignment wrapText="1"/>
    </xf>
    <xf numFmtId="0" fontId="2" fillId="0" borderId="23" xfId="0" applyFont="1" applyFill="1" applyBorder="1" applyAlignment="1">
      <alignment horizontal="center" vertical="center" wrapText="1"/>
    </xf>
    <xf numFmtId="0" fontId="0" fillId="0" borderId="16" xfId="0" applyFill="1" applyBorder="1" applyAlignment="1">
      <alignment vertical="center" wrapText="1"/>
    </xf>
    <xf numFmtId="0" fontId="0" fillId="0" borderId="17" xfId="0" applyFill="1" applyBorder="1" applyAlignment="1">
      <alignment vertical="center" wrapText="1"/>
    </xf>
    <xf numFmtId="0" fontId="0" fillId="0" borderId="10" xfId="0" applyFill="1" applyBorder="1" applyAlignment="1">
      <alignment vertical="center" wrapText="1"/>
    </xf>
    <xf numFmtId="0" fontId="0" fillId="0" borderId="2" xfId="0" applyFill="1" applyBorder="1" applyAlignment="1">
      <alignment horizontal="left" vertical="center" wrapText="1"/>
    </xf>
    <xf numFmtId="0" fontId="0" fillId="0" borderId="18" xfId="0" applyFill="1" applyBorder="1" applyAlignment="1">
      <alignment horizontal="left" vertical="center" wrapText="1"/>
    </xf>
    <xf numFmtId="0" fontId="0" fillId="0" borderId="8" xfId="0" applyFill="1" applyBorder="1" applyAlignment="1">
      <alignment horizontal="left" vertical="center" wrapText="1"/>
    </xf>
    <xf numFmtId="0" fontId="0" fillId="0" borderId="17" xfId="0" applyFill="1" applyBorder="1" applyAlignment="1">
      <alignment horizontal="left" vertical="center" wrapText="1"/>
    </xf>
    <xf numFmtId="0" fontId="0" fillId="0" borderId="24" xfId="0" applyFill="1" applyBorder="1" applyAlignment="1">
      <alignment horizontal="left" vertical="center" wrapText="1"/>
    </xf>
    <xf numFmtId="0" fontId="0" fillId="0" borderId="5" xfId="0" applyFill="1" applyBorder="1" applyAlignment="1">
      <alignment horizontal="left" vertical="center" wrapText="1"/>
    </xf>
    <xf numFmtId="0" fontId="0" fillId="0" borderId="11" xfId="0" applyFill="1" applyBorder="1" applyAlignment="1">
      <alignment horizontal="left" vertical="center" wrapText="1"/>
    </xf>
    <xf numFmtId="0" fontId="0" fillId="0" borderId="16" xfId="0" applyFill="1" applyBorder="1" applyAlignment="1">
      <alignment horizontal="left" vertical="center" wrapText="1"/>
    </xf>
    <xf numFmtId="0" fontId="0" fillId="0" borderId="18" xfId="0" applyFill="1" applyBorder="1" applyAlignment="1">
      <alignment vertical="center" wrapText="1"/>
    </xf>
    <xf numFmtId="0" fontId="0" fillId="0" borderId="19" xfId="0" applyFill="1" applyBorder="1" applyAlignment="1">
      <alignment horizontal="left" vertical="center" wrapText="1"/>
    </xf>
    <xf numFmtId="0" fontId="0" fillId="0" borderId="15" xfId="0" applyFill="1" applyBorder="1" applyAlignment="1">
      <alignment horizontal="left" vertical="center" wrapText="1"/>
    </xf>
    <xf numFmtId="0" fontId="0" fillId="0" borderId="25" xfId="0" applyFill="1" applyBorder="1" applyAlignment="1">
      <alignment horizontal="left" vertical="center" wrapText="1"/>
    </xf>
    <xf numFmtId="0" fontId="0" fillId="0" borderId="11" xfId="0" applyFill="1" applyBorder="1" applyAlignment="1">
      <alignment vertical="center" wrapText="1"/>
    </xf>
    <xf numFmtId="0" fontId="4" fillId="0" borderId="11" xfId="0" applyFont="1" applyFill="1" applyBorder="1" applyAlignment="1">
      <alignment horizontal="left" vertical="center" wrapText="1"/>
    </xf>
    <xf numFmtId="0" fontId="2" fillId="0" borderId="27" xfId="0" applyFont="1" applyFill="1" applyBorder="1" applyAlignment="1">
      <alignment horizontal="center" vertical="center" wrapText="1"/>
    </xf>
    <xf numFmtId="0" fontId="2" fillId="0" borderId="22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20" xfId="0" applyFill="1" applyBorder="1" applyAlignment="1">
      <alignment horizontal="left" vertical="center" wrapText="1"/>
    </xf>
    <xf numFmtId="0" fontId="5" fillId="0" borderId="18" xfId="0" applyFont="1" applyFill="1" applyBorder="1" applyAlignment="1">
      <alignment horizontal="left" vertical="center" wrapText="1"/>
    </xf>
    <xf numFmtId="0" fontId="0" fillId="0" borderId="26" xfId="0" applyFill="1" applyBorder="1" applyAlignment="1">
      <alignment horizontal="left" vertical="center" wrapText="1"/>
    </xf>
    <xf numFmtId="0" fontId="0" fillId="0" borderId="9" xfId="0" applyFill="1" applyBorder="1" applyAlignment="1">
      <alignment horizontal="left" vertical="center" wrapText="1"/>
    </xf>
    <xf numFmtId="0" fontId="5" fillId="0" borderId="17" xfId="0" applyFont="1" applyFill="1" applyBorder="1" applyAlignment="1">
      <alignment horizontal="left" vertical="center" wrapText="1"/>
    </xf>
    <xf numFmtId="0" fontId="5" fillId="0" borderId="17" xfId="0" applyFont="1" applyFill="1" applyBorder="1" applyAlignment="1">
      <alignment vertical="center" wrapText="1"/>
    </xf>
    <xf numFmtId="0" fontId="4" fillId="0" borderId="17" xfId="0" applyFont="1" applyFill="1" applyBorder="1" applyAlignment="1">
      <alignment vertical="center" wrapText="1"/>
    </xf>
    <xf numFmtId="0" fontId="0" fillId="0" borderId="4" xfId="0" applyFill="1" applyBorder="1" applyAlignment="1">
      <alignment horizontal="left" vertical="center" wrapText="1"/>
    </xf>
    <xf numFmtId="0" fontId="0" fillId="0" borderId="21" xfId="0" applyFill="1" applyBorder="1" applyAlignment="1">
      <alignment horizontal="left" vertical="center" wrapText="1"/>
    </xf>
    <xf numFmtId="0" fontId="5" fillId="0" borderId="11" xfId="0" applyFont="1" applyFill="1" applyBorder="1" applyAlignment="1">
      <alignment horizontal="left" vertical="center" wrapText="1"/>
    </xf>
    <xf numFmtId="0" fontId="0" fillId="0" borderId="28" xfId="0" applyFill="1" applyBorder="1" applyAlignment="1">
      <alignment horizontal="left" vertical="center" wrapText="1"/>
    </xf>
    <xf numFmtId="0" fontId="0" fillId="0" borderId="7" xfId="0" applyFill="1" applyBorder="1" applyAlignment="1">
      <alignment horizontal="left" vertical="center" wrapText="1"/>
    </xf>
    <xf numFmtId="0" fontId="5" fillId="0" borderId="16" xfId="0" applyFont="1" applyFill="1" applyBorder="1" applyAlignment="1">
      <alignment horizontal="left" vertical="center" wrapText="1"/>
    </xf>
    <xf numFmtId="0" fontId="4" fillId="0" borderId="16" xfId="0" applyFont="1" applyFill="1" applyBorder="1" applyAlignment="1">
      <alignment horizontal="left" vertical="center" wrapText="1"/>
    </xf>
    <xf numFmtId="0" fontId="4" fillId="0" borderId="11" xfId="0" applyFont="1" applyFill="1" applyBorder="1" applyAlignment="1">
      <alignment vertical="center" wrapText="1"/>
    </xf>
    <xf numFmtId="0" fontId="4" fillId="0" borderId="18" xfId="0" applyFont="1" applyFill="1" applyBorder="1" applyAlignment="1">
      <alignment vertical="center" wrapText="1"/>
    </xf>
    <xf numFmtId="0" fontId="4" fillId="0" borderId="16" xfId="0" applyFont="1" applyFill="1" applyBorder="1" applyAlignment="1">
      <alignment vertical="center" wrapText="1"/>
    </xf>
    <xf numFmtId="0" fontId="0" fillId="0" borderId="13" xfId="0" applyFill="1" applyBorder="1" applyAlignment="1">
      <alignment horizontal="center" vertical="center" wrapText="1"/>
    </xf>
    <xf numFmtId="0" fontId="5" fillId="0" borderId="18" xfId="0" applyFont="1" applyFill="1" applyBorder="1" applyAlignment="1">
      <alignment vertical="center" wrapText="1"/>
    </xf>
    <xf numFmtId="0" fontId="7" fillId="0" borderId="16" xfId="0" applyFont="1" applyFill="1" applyBorder="1" applyAlignment="1">
      <alignment vertical="center" wrapText="1"/>
    </xf>
    <xf numFmtId="0" fontId="4" fillId="0" borderId="15" xfId="0" applyFont="1" applyFill="1" applyBorder="1" applyAlignment="1">
      <alignment vertical="center" wrapText="1"/>
    </xf>
    <xf numFmtId="0" fontId="4" fillId="0" borderId="14" xfId="0" applyFont="1" applyFill="1" applyBorder="1" applyAlignment="1">
      <alignment vertical="center" wrapText="1"/>
    </xf>
    <xf numFmtId="0" fontId="0" fillId="0" borderId="10" xfId="0" applyFill="1" applyBorder="1" applyAlignment="1">
      <alignment horizontal="left" vertical="center" wrapText="1"/>
    </xf>
    <xf numFmtId="0" fontId="0" fillId="0" borderId="30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5" fillId="0" borderId="10" xfId="0" applyFont="1" applyFill="1" applyBorder="1" applyAlignment="1">
      <alignment horizontal="left" vertical="center" wrapText="1"/>
    </xf>
    <xf numFmtId="0" fontId="5" fillId="0" borderId="11" xfId="0" applyFont="1" applyFill="1" applyBorder="1" applyAlignment="1">
      <alignment vertical="center" wrapText="1"/>
    </xf>
    <xf numFmtId="0" fontId="0" fillId="0" borderId="29" xfId="0" applyFill="1" applyBorder="1" applyAlignment="1">
      <alignment horizontal="left" vertical="center" wrapText="1"/>
    </xf>
    <xf numFmtId="0" fontId="0" fillId="0" borderId="6" xfId="0" applyFill="1" applyBorder="1" applyAlignment="1">
      <alignment horizontal="left" vertical="center" wrapText="1"/>
    </xf>
    <xf numFmtId="0" fontId="5" fillId="0" borderId="15" xfId="0" applyFont="1" applyFill="1" applyBorder="1" applyAlignment="1">
      <alignment horizontal="left" vertical="center" wrapText="1"/>
    </xf>
    <xf numFmtId="0" fontId="4" fillId="0" borderId="13" xfId="0" applyFont="1" applyFill="1" applyBorder="1" applyAlignment="1">
      <alignment vertical="center" wrapText="1"/>
    </xf>
    <xf numFmtId="0" fontId="0" fillId="0" borderId="33" xfId="0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0" fillId="0" borderId="13" xfId="1" applyFont="1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0" fillId="0" borderId="18" xfId="1" applyFont="1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 wrapText="1"/>
    </xf>
    <xf numFmtId="0" fontId="0" fillId="0" borderId="11" xfId="1" applyFont="1" applyFill="1" applyBorder="1" applyAlignment="1">
      <alignment horizontal="center" vertical="center" wrapText="1"/>
    </xf>
    <xf numFmtId="0" fontId="4" fillId="0" borderId="18" xfId="0" applyFont="1" applyFill="1" applyBorder="1" applyAlignment="1">
      <alignment horizontal="left" vertical="center" wrapText="1"/>
    </xf>
    <xf numFmtId="0" fontId="4" fillId="0" borderId="17" xfId="0" applyFont="1" applyFill="1" applyBorder="1" applyAlignment="1">
      <alignment horizontal="left" vertical="center" wrapText="1"/>
    </xf>
    <xf numFmtId="0" fontId="4" fillId="0" borderId="16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14" xfId="0" applyFill="1" applyBorder="1" applyAlignment="1">
      <alignment horizontal="left" vertical="center" wrapText="1"/>
    </xf>
    <xf numFmtId="0" fontId="0" fillId="0" borderId="35" xfId="0" applyFill="1" applyBorder="1" applyAlignment="1">
      <alignment horizontal="left" vertical="center" wrapText="1"/>
    </xf>
    <xf numFmtId="0" fontId="0" fillId="0" borderId="36" xfId="0" applyFill="1" applyBorder="1" applyAlignment="1">
      <alignment horizontal="left" vertical="center" wrapText="1"/>
    </xf>
    <xf numFmtId="0" fontId="5" fillId="0" borderId="14" xfId="0" applyFont="1" applyFill="1" applyBorder="1" applyAlignment="1">
      <alignment horizontal="left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0" borderId="14" xfId="1" applyFont="1" applyFill="1" applyBorder="1" applyAlignment="1">
      <alignment vertical="center" wrapText="1"/>
    </xf>
    <xf numFmtId="0" fontId="0" fillId="0" borderId="13" xfId="0" applyFill="1" applyBorder="1" applyAlignment="1">
      <alignment horizontal="left" vertical="center" wrapText="1"/>
    </xf>
    <xf numFmtId="0" fontId="0" fillId="0" borderId="37" xfId="0" applyFill="1" applyBorder="1" applyAlignment="1">
      <alignment horizontal="left" vertical="center" wrapText="1"/>
    </xf>
    <xf numFmtId="0" fontId="0" fillId="0" borderId="33" xfId="0" applyFill="1" applyBorder="1" applyAlignment="1">
      <alignment horizontal="left" vertical="center" wrapText="1"/>
    </xf>
    <xf numFmtId="0" fontId="0" fillId="0" borderId="38" xfId="0" applyFill="1" applyBorder="1" applyAlignment="1">
      <alignment horizontal="left" vertical="center" wrapText="1"/>
    </xf>
    <xf numFmtId="0" fontId="5" fillId="0" borderId="13" xfId="0" applyFont="1" applyFill="1" applyBorder="1" applyAlignment="1">
      <alignment horizontal="left" vertical="center" wrapText="1"/>
    </xf>
    <xf numFmtId="0" fontId="5" fillId="0" borderId="16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2" xfId="1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0" fillId="0" borderId="13" xfId="1" applyFont="1" applyFill="1" applyBorder="1" applyAlignment="1">
      <alignment horizontal="center" vertical="center" wrapText="1"/>
    </xf>
    <xf numFmtId="0" fontId="0" fillId="0" borderId="14" xfId="1" applyFont="1" applyFill="1" applyBorder="1" applyAlignment="1">
      <alignment horizontal="center" vertical="center" wrapText="1"/>
    </xf>
    <xf numFmtId="0" fontId="0" fillId="0" borderId="15" xfId="1" applyFont="1" applyFill="1" applyBorder="1" applyAlignment="1">
      <alignment horizontal="center" vertical="center" wrapText="1"/>
    </xf>
    <xf numFmtId="0" fontId="0" fillId="0" borderId="13" xfId="1" applyFont="1" applyBorder="1" applyAlignment="1">
      <alignment horizontal="center" vertical="center"/>
    </xf>
    <xf numFmtId="0" fontId="0" fillId="0" borderId="15" xfId="1" applyFont="1" applyBorder="1" applyAlignment="1">
      <alignment horizontal="center" vertical="center"/>
    </xf>
    <xf numFmtId="0" fontId="0" fillId="0" borderId="13" xfId="1" applyFont="1" applyBorder="1" applyAlignment="1">
      <alignment horizontal="center" vertical="center" wrapText="1"/>
    </xf>
    <xf numFmtId="0" fontId="0" fillId="0" borderId="14" xfId="1" applyFont="1" applyBorder="1" applyAlignment="1">
      <alignment horizontal="center" vertical="center" wrapText="1"/>
    </xf>
    <xf numFmtId="0" fontId="0" fillId="0" borderId="15" xfId="1" applyFont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 wrapText="1"/>
    </xf>
    <xf numFmtId="0" fontId="8" fillId="0" borderId="13" xfId="1" applyFont="1" applyFill="1" applyBorder="1" applyAlignment="1">
      <alignment horizontal="center" vertical="center" wrapText="1"/>
    </xf>
    <xf numFmtId="0" fontId="8" fillId="0" borderId="15" xfId="1" applyFont="1" applyFill="1" applyBorder="1" applyAlignment="1">
      <alignment horizontal="center" vertical="center" wrapText="1"/>
    </xf>
    <xf numFmtId="0" fontId="1" fillId="0" borderId="13" xfId="1" applyFont="1" applyFill="1" applyBorder="1" applyAlignment="1">
      <alignment horizontal="center" vertical="center" wrapText="1"/>
    </xf>
    <xf numFmtId="0" fontId="1" fillId="0" borderId="14" xfId="1" applyFont="1" applyFill="1" applyBorder="1" applyAlignment="1">
      <alignment horizontal="center" vertical="center" wrapText="1"/>
    </xf>
    <xf numFmtId="0" fontId="1" fillId="0" borderId="15" xfId="1" applyFont="1" applyFill="1" applyBorder="1" applyAlignment="1">
      <alignment horizontal="center" vertical="center" wrapText="1"/>
    </xf>
    <xf numFmtId="0" fontId="0" fillId="0" borderId="27" xfId="0" applyFill="1" applyBorder="1" applyAlignment="1">
      <alignment horizontal="center" vertical="center" wrapText="1"/>
    </xf>
    <xf numFmtId="0" fontId="0" fillId="0" borderId="23" xfId="0" applyFill="1" applyBorder="1" applyAlignment="1">
      <alignment horizontal="center" vertical="center" wrapText="1"/>
    </xf>
    <xf numFmtId="0" fontId="0" fillId="0" borderId="34" xfId="0" applyFill="1" applyBorder="1" applyAlignment="1">
      <alignment horizontal="center" vertical="center" wrapText="1"/>
    </xf>
    <xf numFmtId="0" fontId="0" fillId="0" borderId="33" xfId="0" applyFont="1" applyFill="1" applyBorder="1" applyAlignment="1">
      <alignment horizontal="center" vertical="center" wrapText="1"/>
    </xf>
    <xf numFmtId="0" fontId="0" fillId="0" borderId="35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0" fillId="0" borderId="18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 wrapText="1"/>
    </xf>
    <xf numFmtId="0" fontId="0" fillId="0" borderId="16" xfId="0" applyFill="1" applyBorder="1" applyAlignment="1">
      <alignment horizontal="center" vertical="center" wrapText="1"/>
    </xf>
    <xf numFmtId="0" fontId="6" fillId="0" borderId="13" xfId="1" applyFont="1" applyFill="1" applyBorder="1" applyAlignment="1">
      <alignment horizontal="center" vertical="center" wrapText="1"/>
    </xf>
    <xf numFmtId="0" fontId="6" fillId="0" borderId="14" xfId="1" applyFont="1" applyFill="1" applyBorder="1" applyAlignment="1">
      <alignment horizontal="center" vertical="center" wrapText="1"/>
    </xf>
    <xf numFmtId="0" fontId="6" fillId="0" borderId="15" xfId="1" applyFont="1" applyFill="1" applyBorder="1" applyAlignment="1">
      <alignment horizontal="center" vertical="center" wrapText="1"/>
    </xf>
    <xf numFmtId="0" fontId="0" fillId="0" borderId="13" xfId="1" applyFont="1" applyFill="1" applyBorder="1" applyAlignment="1">
      <alignment horizontal="center" vertical="center"/>
    </xf>
    <xf numFmtId="0" fontId="0" fillId="0" borderId="14" xfId="1" applyFont="1" applyFill="1" applyBorder="1" applyAlignment="1">
      <alignment horizontal="center" vertical="center"/>
    </xf>
    <xf numFmtId="0" fontId="0" fillId="0" borderId="15" xfId="1" applyFont="1" applyFill="1" applyBorder="1" applyAlignment="1">
      <alignment horizontal="center" vertical="center"/>
    </xf>
    <xf numFmtId="0" fontId="0" fillId="0" borderId="12" xfId="1" applyFont="1" applyFill="1" applyBorder="1" applyAlignment="1">
      <alignment horizontal="center" vertical="center"/>
    </xf>
    <xf numFmtId="0" fontId="4" fillId="0" borderId="18" xfId="0" applyFont="1" applyFill="1" applyBorder="1" applyAlignment="1">
      <alignment horizontal="left" vertical="center" wrapText="1"/>
    </xf>
    <xf numFmtId="0" fontId="4" fillId="0" borderId="17" xfId="0" applyFont="1" applyFill="1" applyBorder="1" applyAlignment="1">
      <alignment horizontal="left" vertical="center" wrapText="1"/>
    </xf>
    <xf numFmtId="0" fontId="4" fillId="0" borderId="16" xfId="0" applyFont="1" applyFill="1" applyBorder="1" applyAlignment="1">
      <alignment horizontal="left" vertical="center" wrapText="1"/>
    </xf>
    <xf numFmtId="0" fontId="0" fillId="0" borderId="11" xfId="0" applyFill="1" applyBorder="1" applyAlignment="1">
      <alignment horizontal="center" vertical="center" wrapText="1"/>
    </xf>
    <xf numFmtId="0" fontId="0" fillId="0" borderId="31" xfId="0" applyFill="1" applyBorder="1" applyAlignment="1">
      <alignment horizontal="center" vertical="center" wrapText="1"/>
    </xf>
    <xf numFmtId="0" fontId="0" fillId="0" borderId="32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3" xfId="0" applyFont="1" applyFill="1" applyBorder="1" applyAlignment="1">
      <alignment horizontal="center" vertical="center" wrapText="1"/>
    </xf>
    <xf numFmtId="0" fontId="0" fillId="2" borderId="14" xfId="0" applyFont="1" applyFill="1" applyBorder="1" applyAlignment="1">
      <alignment horizontal="center" vertical="center" wrapText="1"/>
    </xf>
    <xf numFmtId="0" fontId="0" fillId="2" borderId="15" xfId="0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/>
    </xf>
    <xf numFmtId="0" fontId="6" fillId="0" borderId="12" xfId="1" applyFont="1" applyFill="1" applyBorder="1" applyAlignment="1">
      <alignment horizontal="center" vertical="center" wrapText="1"/>
    </xf>
    <xf numFmtId="0" fontId="0" fillId="0" borderId="11" xfId="1" applyFont="1" applyFill="1" applyBorder="1" applyAlignment="1">
      <alignment horizontal="center" vertical="center" wrapText="1"/>
    </xf>
    <xf numFmtId="0" fontId="0" fillId="0" borderId="10" xfId="1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P265"/>
  <sheetViews>
    <sheetView tabSelected="1" zoomScale="90" zoomScaleNormal="90" workbookViewId="0">
      <selection activeCell="D3" sqref="D3:D8"/>
    </sheetView>
  </sheetViews>
  <sheetFormatPr defaultRowHeight="15" x14ac:dyDescent="0.25"/>
  <cols>
    <col min="1" max="1" width="2.28515625" customWidth="1"/>
    <col min="2" max="2" width="5.5703125" style="1" bestFit="1" customWidth="1"/>
    <col min="3" max="3" width="5.5703125" style="6" bestFit="1" customWidth="1"/>
    <col min="4" max="4" width="17.85546875" style="91" customWidth="1"/>
    <col min="5" max="5" width="8.42578125" style="4" customWidth="1"/>
    <col min="6" max="6" width="15.7109375" style="2" customWidth="1"/>
    <col min="7" max="7" width="10.7109375" style="5" customWidth="1"/>
    <col min="8" max="9" width="10.7109375" style="14" customWidth="1"/>
    <col min="10" max="11" width="10.7109375" style="1" customWidth="1"/>
    <col min="12" max="13" width="10.7109375" style="14" customWidth="1"/>
    <col min="14" max="14" width="40.7109375" style="1" customWidth="1"/>
    <col min="15" max="15" width="40.7109375" style="2" customWidth="1"/>
    <col min="16" max="16" width="30.7109375" style="3" customWidth="1"/>
    <col min="17" max="17" width="30.7109375" customWidth="1"/>
    <col min="18" max="19" width="9.140625" customWidth="1"/>
    <col min="20" max="20" width="6.28515625" customWidth="1"/>
    <col min="21" max="21" width="10.140625" customWidth="1"/>
    <col min="22" max="23" width="8.5703125" customWidth="1"/>
    <col min="24" max="24" width="7.5703125" customWidth="1"/>
    <col min="25" max="25" width="5.5703125" customWidth="1"/>
    <col min="26" max="26" width="9.140625" customWidth="1"/>
    <col min="27" max="27" width="6.140625" customWidth="1"/>
    <col min="28" max="28" width="5.5703125" customWidth="1"/>
    <col min="29" max="29" width="9.140625" customWidth="1"/>
    <col min="30" max="30" width="9.7109375" customWidth="1"/>
    <col min="31" max="32" width="7.28515625" customWidth="1"/>
    <col min="33" max="33" width="6.7109375" customWidth="1"/>
  </cols>
  <sheetData>
    <row r="1" spans="2:16" ht="15.75" thickBot="1" x14ac:dyDescent="0.3"/>
    <row r="2" spans="2:16" s="8" customFormat="1" ht="45.75" thickBot="1" x14ac:dyDescent="0.3">
      <c r="B2" s="7" t="s">
        <v>392</v>
      </c>
      <c r="C2" s="7" t="s">
        <v>4</v>
      </c>
      <c r="D2" s="15" t="s">
        <v>10</v>
      </c>
      <c r="E2" s="7" t="s">
        <v>11</v>
      </c>
      <c r="F2" s="7" t="s">
        <v>12</v>
      </c>
      <c r="G2" s="15" t="s">
        <v>3</v>
      </c>
      <c r="H2" s="7" t="s">
        <v>1</v>
      </c>
      <c r="I2" s="15" t="s">
        <v>0</v>
      </c>
      <c r="J2" s="33" t="s">
        <v>22</v>
      </c>
      <c r="K2" s="34" t="s">
        <v>23</v>
      </c>
      <c r="L2" s="7" t="s">
        <v>2</v>
      </c>
      <c r="M2" s="93" t="s">
        <v>425</v>
      </c>
      <c r="N2" s="7" t="s">
        <v>68</v>
      </c>
      <c r="O2" s="7" t="s">
        <v>13</v>
      </c>
    </row>
    <row r="3" spans="2:16" ht="39" thickBot="1" x14ac:dyDescent="0.3">
      <c r="B3" s="106" t="s">
        <v>393</v>
      </c>
      <c r="C3" s="106" t="s">
        <v>391</v>
      </c>
      <c r="D3" s="147" t="s">
        <v>364</v>
      </c>
      <c r="E3" s="118" t="s">
        <v>24</v>
      </c>
      <c r="F3" s="20" t="s">
        <v>14</v>
      </c>
      <c r="G3" s="19" t="s">
        <v>21</v>
      </c>
      <c r="H3" s="20">
        <v>150</v>
      </c>
      <c r="I3" s="19">
        <v>100</v>
      </c>
      <c r="J3" s="35">
        <f>IF(I3&gt;=H3,"RKG01",0)</f>
        <v>0</v>
      </c>
      <c r="K3" s="36" t="str">
        <f>IF(I3&lt;H3,"L1",0)</f>
        <v>L1</v>
      </c>
      <c r="L3" s="20"/>
      <c r="M3" s="20"/>
      <c r="N3" s="37" t="s">
        <v>265</v>
      </c>
      <c r="O3" s="11" t="s">
        <v>69</v>
      </c>
      <c r="P3"/>
    </row>
    <row r="4" spans="2:16" ht="45.75" thickBot="1" x14ac:dyDescent="0.3">
      <c r="B4" s="107"/>
      <c r="C4" s="107"/>
      <c r="D4" s="148"/>
      <c r="E4" s="118"/>
      <c r="F4" s="22" t="s">
        <v>57</v>
      </c>
      <c r="G4" s="21" t="s">
        <v>67</v>
      </c>
      <c r="H4" s="22">
        <v>1</v>
      </c>
      <c r="I4" s="21">
        <v>1</v>
      </c>
      <c r="J4" s="38">
        <f>IF(I4&lt;H4,"RKG01",0)</f>
        <v>0</v>
      </c>
      <c r="K4" s="39" t="str">
        <f>IF(I4&gt;=H4,"Batal",0)</f>
        <v>Batal</v>
      </c>
      <c r="L4" s="22"/>
      <c r="M4" s="22"/>
      <c r="N4" s="40" t="s">
        <v>203</v>
      </c>
      <c r="O4" s="9" t="s">
        <v>66</v>
      </c>
      <c r="P4"/>
    </row>
    <row r="5" spans="2:16" ht="30" x14ac:dyDescent="0.25">
      <c r="B5" s="107"/>
      <c r="C5" s="107"/>
      <c r="D5" s="148"/>
      <c r="E5" s="118"/>
      <c r="F5" s="22" t="s">
        <v>20</v>
      </c>
      <c r="G5" s="21" t="s">
        <v>58</v>
      </c>
      <c r="H5" s="22" t="s">
        <v>15</v>
      </c>
      <c r="I5" s="21" t="s">
        <v>16</v>
      </c>
      <c r="J5" s="38">
        <f>IF(I5=H5,"RKG01",0)</f>
        <v>0</v>
      </c>
      <c r="K5" s="39" t="str">
        <f>IF(I5=H5,0,"RDP02")</f>
        <v>RDP02</v>
      </c>
      <c r="L5" s="22"/>
      <c r="M5" s="22"/>
      <c r="N5" s="41" t="s">
        <v>205</v>
      </c>
      <c r="O5" s="42"/>
      <c r="P5"/>
    </row>
    <row r="6" spans="2:16" x14ac:dyDescent="0.25">
      <c r="B6" s="107"/>
      <c r="C6" s="107"/>
      <c r="D6" s="148"/>
      <c r="E6" s="127" t="s">
        <v>132</v>
      </c>
      <c r="F6" s="22" t="s">
        <v>14</v>
      </c>
      <c r="G6" s="21" t="s">
        <v>21</v>
      </c>
      <c r="H6" s="22">
        <v>150</v>
      </c>
      <c r="I6" s="21">
        <v>100</v>
      </c>
      <c r="J6" s="38">
        <f>IF(I6&gt;=H6,"RDP02",0)</f>
        <v>0</v>
      </c>
      <c r="K6" s="39" t="str">
        <f>IF(I6&lt;H6,"L1",0)</f>
        <v>L1</v>
      </c>
      <c r="L6" s="22"/>
      <c r="M6" s="22"/>
      <c r="N6" s="40" t="s">
        <v>256</v>
      </c>
      <c r="O6" s="9"/>
      <c r="P6"/>
    </row>
    <row r="7" spans="2:16" ht="45" x14ac:dyDescent="0.25">
      <c r="B7" s="107"/>
      <c r="C7" s="107"/>
      <c r="D7" s="148"/>
      <c r="E7" s="127"/>
      <c r="F7" s="22" t="s">
        <v>57</v>
      </c>
      <c r="G7" s="21" t="s">
        <v>67</v>
      </c>
      <c r="H7" s="22">
        <v>1</v>
      </c>
      <c r="I7" s="21">
        <v>0.8</v>
      </c>
      <c r="J7" s="38" t="str">
        <f>IF(I7&lt;H7,"RDP02",0)</f>
        <v>RDP02</v>
      </c>
      <c r="K7" s="39">
        <f>IF(I7&gt;=H7,"Batal",0)</f>
        <v>0</v>
      </c>
      <c r="L7" s="22"/>
      <c r="M7" s="22"/>
      <c r="N7" s="40" t="s">
        <v>204</v>
      </c>
      <c r="O7" s="9" t="s">
        <v>66</v>
      </c>
      <c r="P7"/>
    </row>
    <row r="8" spans="2:16" ht="39" thickBot="1" x14ac:dyDescent="0.3">
      <c r="B8" s="108"/>
      <c r="C8" s="108"/>
      <c r="D8" s="149"/>
      <c r="E8" s="127"/>
      <c r="F8" s="22" t="s">
        <v>20</v>
      </c>
      <c r="G8" s="21" t="s">
        <v>58</v>
      </c>
      <c r="H8" s="22" t="s">
        <v>15</v>
      </c>
      <c r="I8" s="21" t="s">
        <v>16</v>
      </c>
      <c r="J8" s="38">
        <f>IF(I8=H8,"RKG01",0)</f>
        <v>0</v>
      </c>
      <c r="K8" s="39" t="str">
        <f>IF(I8=H8,0,"Batal")</f>
        <v>Batal</v>
      </c>
      <c r="L8" s="22"/>
      <c r="M8" s="22"/>
      <c r="N8" s="41" t="s">
        <v>206</v>
      </c>
      <c r="O8" s="9" t="s">
        <v>208</v>
      </c>
      <c r="P8"/>
    </row>
    <row r="9" spans="2:16" ht="39" thickBot="1" x14ac:dyDescent="0.3">
      <c r="B9" s="106" t="s">
        <v>394</v>
      </c>
      <c r="C9" s="106" t="s">
        <v>119</v>
      </c>
      <c r="D9" s="150" t="s">
        <v>26</v>
      </c>
      <c r="E9" s="118" t="s">
        <v>24</v>
      </c>
      <c r="F9" s="20" t="s">
        <v>14</v>
      </c>
      <c r="G9" s="19" t="s">
        <v>21</v>
      </c>
      <c r="H9" s="20">
        <v>150</v>
      </c>
      <c r="I9" s="19">
        <v>100</v>
      </c>
      <c r="J9" s="35">
        <f>IF(I9&gt;=H9,"RKG01",0)</f>
        <v>0</v>
      </c>
      <c r="K9" s="36" t="str">
        <f>IF(I9&lt;H9,"L1",0)</f>
        <v>L1</v>
      </c>
      <c r="L9" s="20"/>
      <c r="M9" s="20"/>
      <c r="N9" s="37" t="s">
        <v>265</v>
      </c>
      <c r="O9" s="11" t="s">
        <v>69</v>
      </c>
      <c r="P9"/>
    </row>
    <row r="10" spans="2:16" ht="45.75" thickBot="1" x14ac:dyDescent="0.3">
      <c r="B10" s="107"/>
      <c r="C10" s="107"/>
      <c r="D10" s="151"/>
      <c r="E10" s="118"/>
      <c r="F10" s="22" t="s">
        <v>57</v>
      </c>
      <c r="G10" s="21" t="s">
        <v>67</v>
      </c>
      <c r="H10" s="22">
        <v>1</v>
      </c>
      <c r="I10" s="21">
        <v>1</v>
      </c>
      <c r="J10" s="38">
        <f>IF(I10&lt;H10,"RKG01",0)</f>
        <v>0</v>
      </c>
      <c r="K10" s="39" t="str">
        <f>IF(I10&gt;=H10,"Batal",0)</f>
        <v>Batal</v>
      </c>
      <c r="L10" s="22"/>
      <c r="M10" s="22"/>
      <c r="N10" s="40" t="s">
        <v>203</v>
      </c>
      <c r="O10" s="9" t="s">
        <v>66</v>
      </c>
      <c r="P10"/>
    </row>
    <row r="11" spans="2:16" ht="25.5" x14ac:dyDescent="0.25">
      <c r="B11" s="107"/>
      <c r="C11" s="107"/>
      <c r="D11" s="151"/>
      <c r="E11" s="125"/>
      <c r="F11" s="22" t="s">
        <v>28</v>
      </c>
      <c r="G11" s="21" t="s">
        <v>25</v>
      </c>
      <c r="H11" s="22" t="s">
        <v>8</v>
      </c>
      <c r="I11" s="21" t="s">
        <v>9</v>
      </c>
      <c r="J11" s="38">
        <f>IF(I11=H11,"Sofa",0)</f>
        <v>0</v>
      </c>
      <c r="K11" s="39" t="str">
        <f>IF(I11=H11,0,"Batal")</f>
        <v>Batal</v>
      </c>
      <c r="L11" s="17"/>
      <c r="M11" s="17"/>
      <c r="N11" s="40" t="s">
        <v>202</v>
      </c>
      <c r="O11" s="32" t="s">
        <v>66</v>
      </c>
      <c r="P11"/>
    </row>
    <row r="12" spans="2:16" x14ac:dyDescent="0.25">
      <c r="B12" s="107"/>
      <c r="C12" s="107"/>
      <c r="D12" s="151"/>
      <c r="E12" s="119" t="s">
        <v>38</v>
      </c>
      <c r="F12" s="25" t="s">
        <v>14</v>
      </c>
      <c r="G12" s="24" t="s">
        <v>21</v>
      </c>
      <c r="H12" s="25">
        <v>150</v>
      </c>
      <c r="I12" s="24">
        <v>100</v>
      </c>
      <c r="J12" s="43">
        <f>IF(I12&gt;=H12,"RTM01",0)</f>
        <v>0</v>
      </c>
      <c r="K12" s="44" t="str">
        <f>IF(I12&lt;H12,"L1",0)</f>
        <v>L1</v>
      </c>
      <c r="L12" s="25"/>
      <c r="M12" s="25"/>
      <c r="N12" s="45" t="s">
        <v>266</v>
      </c>
      <c r="O12" s="32"/>
      <c r="P12"/>
    </row>
    <row r="13" spans="2:16" ht="45" x14ac:dyDescent="0.25">
      <c r="B13" s="107"/>
      <c r="C13" s="107"/>
      <c r="D13" s="151"/>
      <c r="E13" s="127"/>
      <c r="F13" s="22" t="s">
        <v>70</v>
      </c>
      <c r="G13" s="21" t="s">
        <v>67</v>
      </c>
      <c r="H13" s="22">
        <v>1</v>
      </c>
      <c r="I13" s="21">
        <v>1</v>
      </c>
      <c r="J13" s="38">
        <f>IF(I13&lt;H13,"RTM01",0)</f>
        <v>0</v>
      </c>
      <c r="K13" s="39" t="str">
        <f>IF(I13&gt;=H13,"Batal",0)</f>
        <v>Batal</v>
      </c>
      <c r="L13" s="22"/>
      <c r="M13" s="22"/>
      <c r="N13" s="40" t="s">
        <v>209</v>
      </c>
      <c r="O13" s="9" t="s">
        <v>66</v>
      </c>
      <c r="P13"/>
    </row>
    <row r="14" spans="2:16" ht="26.25" thickBot="1" x14ac:dyDescent="0.3">
      <c r="B14" s="108"/>
      <c r="C14" s="108"/>
      <c r="D14" s="152"/>
      <c r="E14" s="127"/>
      <c r="F14" s="26" t="s">
        <v>28</v>
      </c>
      <c r="G14" s="23" t="s">
        <v>25</v>
      </c>
      <c r="H14" s="26" t="s">
        <v>8</v>
      </c>
      <c r="I14" s="23" t="s">
        <v>9</v>
      </c>
      <c r="J14" s="46">
        <f>IF(I14=H14,"Sofa",0)</f>
        <v>0</v>
      </c>
      <c r="K14" s="47" t="str">
        <f>IF(I14=H14,0,"Batal")</f>
        <v>Batal</v>
      </c>
      <c r="L14" s="16" t="s">
        <v>130</v>
      </c>
      <c r="M14" s="16"/>
      <c r="N14" s="48" t="s">
        <v>202</v>
      </c>
      <c r="O14" s="10" t="s">
        <v>66</v>
      </c>
      <c r="P14"/>
    </row>
    <row r="15" spans="2:16" ht="15.75" thickBot="1" x14ac:dyDescent="0.3">
      <c r="B15" s="106" t="s">
        <v>395</v>
      </c>
      <c r="C15" s="106" t="s">
        <v>84</v>
      </c>
      <c r="D15" s="145" t="s">
        <v>27</v>
      </c>
      <c r="E15" s="118" t="s">
        <v>132</v>
      </c>
      <c r="F15" s="22" t="s">
        <v>14</v>
      </c>
      <c r="G15" s="21" t="s">
        <v>21</v>
      </c>
      <c r="H15" s="22">
        <v>150</v>
      </c>
      <c r="I15" s="21">
        <v>100</v>
      </c>
      <c r="J15" s="38">
        <f>IF(I15&gt;=H15,"RDP02",0)</f>
        <v>0</v>
      </c>
      <c r="K15" s="39" t="str">
        <f>IF(I15&lt;H15,"L1",0)</f>
        <v>L1</v>
      </c>
      <c r="L15" s="22"/>
      <c r="M15" s="22"/>
      <c r="N15" s="40" t="s">
        <v>256</v>
      </c>
      <c r="O15" s="11"/>
      <c r="P15"/>
    </row>
    <row r="16" spans="2:16" ht="30.75" thickBot="1" x14ac:dyDescent="0.3">
      <c r="B16" s="107"/>
      <c r="C16" s="107"/>
      <c r="D16" s="145"/>
      <c r="E16" s="127"/>
      <c r="F16" s="22" t="s">
        <v>57</v>
      </c>
      <c r="G16" s="21" t="s">
        <v>60</v>
      </c>
      <c r="H16" s="22">
        <v>1.5</v>
      </c>
      <c r="I16" s="21">
        <v>1.7</v>
      </c>
      <c r="J16" s="38">
        <f>IF(I16&lt;H16,"RDP02",0)</f>
        <v>0</v>
      </c>
      <c r="K16" s="39" t="str">
        <f>IF(I16&gt;=H16,"Batal",0)</f>
        <v>Batal</v>
      </c>
      <c r="L16" s="22"/>
      <c r="M16" s="22"/>
      <c r="N16" s="40" t="s">
        <v>207</v>
      </c>
      <c r="O16" s="42"/>
      <c r="P16"/>
    </row>
    <row r="17" spans="2:16" ht="30.75" thickBot="1" x14ac:dyDescent="0.3">
      <c r="B17" s="108"/>
      <c r="C17" s="108"/>
      <c r="D17" s="146"/>
      <c r="E17" s="126"/>
      <c r="F17" s="22" t="s">
        <v>20</v>
      </c>
      <c r="G17" s="21" t="s">
        <v>59</v>
      </c>
      <c r="H17" s="22" t="s">
        <v>15</v>
      </c>
      <c r="I17" s="21" t="s">
        <v>16</v>
      </c>
      <c r="J17" s="38">
        <f>IF(I17=H17,"RDP02",0)</f>
        <v>0</v>
      </c>
      <c r="K17" s="39" t="str">
        <f>IF(I17=H17,0,"Batal")</f>
        <v>Batal</v>
      </c>
      <c r="L17" s="17"/>
      <c r="M17" s="17"/>
      <c r="N17" s="40" t="s">
        <v>279</v>
      </c>
      <c r="O17" s="49" t="s">
        <v>253</v>
      </c>
      <c r="P17"/>
    </row>
    <row r="18" spans="2:16" ht="26.25" thickBot="1" x14ac:dyDescent="0.3">
      <c r="B18" s="106" t="s">
        <v>395</v>
      </c>
      <c r="C18" s="106" t="s">
        <v>120</v>
      </c>
      <c r="D18" s="145" t="s">
        <v>29</v>
      </c>
      <c r="E18" s="118" t="s">
        <v>30</v>
      </c>
      <c r="F18" s="20" t="s">
        <v>28</v>
      </c>
      <c r="G18" s="19" t="s">
        <v>5</v>
      </c>
      <c r="H18" s="20" t="s">
        <v>6</v>
      </c>
      <c r="I18" s="19" t="s">
        <v>33</v>
      </c>
      <c r="J18" s="35">
        <f>IF(I18=H18,"RTU01",0)</f>
        <v>0</v>
      </c>
      <c r="K18" s="36" t="str">
        <f>IF(I18=H18,0,"Batal")</f>
        <v>Batal</v>
      </c>
      <c r="L18" s="20"/>
      <c r="M18" s="20"/>
      <c r="N18" s="37" t="s">
        <v>74</v>
      </c>
      <c r="O18" s="11"/>
      <c r="P18"/>
    </row>
    <row r="19" spans="2:16" ht="30.75" thickBot="1" x14ac:dyDescent="0.3">
      <c r="B19" s="107"/>
      <c r="C19" s="107"/>
      <c r="D19" s="145"/>
      <c r="E19" s="118"/>
      <c r="F19" s="22" t="s">
        <v>57</v>
      </c>
      <c r="G19" s="21" t="s">
        <v>60</v>
      </c>
      <c r="H19" s="22">
        <v>0.5</v>
      </c>
      <c r="I19" s="21">
        <v>0.2</v>
      </c>
      <c r="J19" s="38" t="str">
        <f>IF(I19&lt;H19,"RTU01",0)</f>
        <v>RTU01</v>
      </c>
      <c r="K19" s="39">
        <f>IF(I19&gt;=H19,"Batal",0)</f>
        <v>0</v>
      </c>
      <c r="L19" s="22" t="s">
        <v>293</v>
      </c>
      <c r="M19" s="22"/>
      <c r="N19" s="40" t="s">
        <v>71</v>
      </c>
      <c r="O19" s="42"/>
      <c r="P19"/>
    </row>
    <row r="20" spans="2:16" ht="30.75" thickBot="1" x14ac:dyDescent="0.3">
      <c r="B20" s="107"/>
      <c r="C20" s="107"/>
      <c r="D20" s="145"/>
      <c r="E20" s="118"/>
      <c r="F20" s="22" t="s">
        <v>234</v>
      </c>
      <c r="G20" s="21" t="s">
        <v>64</v>
      </c>
      <c r="H20" s="22">
        <v>25</v>
      </c>
      <c r="I20" s="21">
        <v>28</v>
      </c>
      <c r="J20" s="38">
        <f>IF(I20&lt;H20,"RTU01",0)</f>
        <v>0</v>
      </c>
      <c r="K20" s="39" t="str">
        <f>IF(I20&gt;H20,"E1",0)</f>
        <v>E1</v>
      </c>
      <c r="L20" s="22"/>
      <c r="M20" s="22"/>
      <c r="N20" s="40" t="s">
        <v>227</v>
      </c>
      <c r="O20" s="42"/>
      <c r="P20"/>
    </row>
    <row r="21" spans="2:16" ht="30.75" thickBot="1" x14ac:dyDescent="0.3">
      <c r="B21" s="107"/>
      <c r="C21" s="107"/>
      <c r="D21" s="145"/>
      <c r="E21" s="118"/>
      <c r="F21" s="22" t="s">
        <v>28</v>
      </c>
      <c r="G21" s="21" t="s">
        <v>31</v>
      </c>
      <c r="H21" s="22">
        <v>3</v>
      </c>
      <c r="I21" s="21">
        <v>2</v>
      </c>
      <c r="J21" s="38" t="str">
        <f>IF(I21&lt;H21,"Tempat tidur",0)</f>
        <v>Tempat tidur</v>
      </c>
      <c r="K21" s="39">
        <f>IF(I21&lt;H21,0,"Batal")</f>
        <v>0</v>
      </c>
      <c r="L21" s="22"/>
      <c r="M21" s="22"/>
      <c r="N21" s="40" t="s">
        <v>309</v>
      </c>
      <c r="O21" s="42"/>
      <c r="P21"/>
    </row>
    <row r="22" spans="2:16" ht="15.75" thickBot="1" x14ac:dyDescent="0.3">
      <c r="B22" s="108"/>
      <c r="C22" s="108"/>
      <c r="D22" s="145"/>
      <c r="E22" s="118"/>
      <c r="F22" s="25" t="s">
        <v>14</v>
      </c>
      <c r="G22" s="24" t="s">
        <v>21</v>
      </c>
      <c r="H22" s="25">
        <v>50</v>
      </c>
      <c r="I22" s="24">
        <v>150</v>
      </c>
      <c r="J22" s="43">
        <f>IF(I22&lt;=H22,"Tempat tidur",0)</f>
        <v>0</v>
      </c>
      <c r="K22" s="44" t="str">
        <f>IF(I22&gt;H22,"L2",0)</f>
        <v>L2</v>
      </c>
      <c r="L22" s="25" t="s">
        <v>128</v>
      </c>
      <c r="M22" s="25"/>
      <c r="N22" s="45" t="s">
        <v>296</v>
      </c>
      <c r="O22" s="50"/>
      <c r="P22"/>
    </row>
    <row r="23" spans="2:16" ht="15.75" thickBot="1" x14ac:dyDescent="0.3">
      <c r="B23" s="106" t="s">
        <v>395</v>
      </c>
      <c r="C23" s="106" t="s">
        <v>121</v>
      </c>
      <c r="D23" s="102" t="s">
        <v>32</v>
      </c>
      <c r="E23" s="118" t="s">
        <v>135</v>
      </c>
      <c r="F23" s="20" t="s">
        <v>14</v>
      </c>
      <c r="G23" s="19" t="s">
        <v>21</v>
      </c>
      <c r="H23" s="20">
        <v>150</v>
      </c>
      <c r="I23" s="19">
        <v>100</v>
      </c>
      <c r="J23" s="35">
        <f>IF(I23&gt;=H23,"Pintu",0)</f>
        <v>0</v>
      </c>
      <c r="K23" s="36" t="str">
        <f>IF(I23&lt;H23,"L1",0)</f>
        <v>L1</v>
      </c>
      <c r="L23" s="20"/>
      <c r="M23" s="20"/>
      <c r="N23" s="37" t="s">
        <v>267</v>
      </c>
      <c r="O23" s="51"/>
      <c r="P23"/>
    </row>
    <row r="24" spans="2:16" ht="26.25" thickBot="1" x14ac:dyDescent="0.3">
      <c r="B24" s="107"/>
      <c r="C24" s="107"/>
      <c r="D24" s="102"/>
      <c r="E24" s="118"/>
      <c r="F24" s="22" t="s">
        <v>28</v>
      </c>
      <c r="G24" s="21" t="s">
        <v>5</v>
      </c>
      <c r="H24" s="22" t="s">
        <v>6</v>
      </c>
      <c r="I24" s="21" t="s">
        <v>33</v>
      </c>
      <c r="J24" s="38">
        <f>IF(I24=H24,"Bak mandi",0)</f>
        <v>0</v>
      </c>
      <c r="K24" s="39" t="str">
        <f>IF(I24=H24,0,"RKM03")</f>
        <v>RKM03</v>
      </c>
      <c r="L24" s="22" t="s">
        <v>293</v>
      </c>
      <c r="M24" s="22"/>
      <c r="N24" s="40" t="s">
        <v>136</v>
      </c>
      <c r="O24" s="42"/>
      <c r="P24"/>
    </row>
    <row r="25" spans="2:16" ht="39" thickBot="1" x14ac:dyDescent="0.3">
      <c r="B25" s="107"/>
      <c r="C25" s="107"/>
      <c r="D25" s="102"/>
      <c r="E25" s="118"/>
      <c r="F25" s="22" t="s">
        <v>20</v>
      </c>
      <c r="G25" s="21" t="s">
        <v>61</v>
      </c>
      <c r="H25" s="22">
        <v>10</v>
      </c>
      <c r="I25" s="21">
        <v>10</v>
      </c>
      <c r="J25" s="38" t="str">
        <f>IF(I25&gt;=H25,"Kloset",0)</f>
        <v>Kloset</v>
      </c>
      <c r="K25" s="39">
        <f>IF(I25&gt;=H25,0,"D1")</f>
        <v>0</v>
      </c>
      <c r="L25" s="22" t="s">
        <v>297</v>
      </c>
      <c r="M25" s="22"/>
      <c r="N25" s="40" t="s">
        <v>310</v>
      </c>
      <c r="O25" s="9" t="s">
        <v>251</v>
      </c>
      <c r="P25"/>
    </row>
    <row r="26" spans="2:16" ht="15.75" thickBot="1" x14ac:dyDescent="0.3">
      <c r="B26" s="107"/>
      <c r="C26" s="107"/>
      <c r="D26" s="102"/>
      <c r="E26" s="127" t="s">
        <v>137</v>
      </c>
      <c r="F26" s="22" t="s">
        <v>14</v>
      </c>
      <c r="G26" s="21" t="s">
        <v>21</v>
      </c>
      <c r="H26" s="22">
        <v>150</v>
      </c>
      <c r="I26" s="21">
        <v>100</v>
      </c>
      <c r="J26" s="38">
        <f>IF(I26&gt;=H26,"Pintu",0)</f>
        <v>0</v>
      </c>
      <c r="K26" s="39" t="str">
        <f>IF(I26&lt;H26,"L1",0)</f>
        <v>L1</v>
      </c>
      <c r="L26" s="22"/>
      <c r="M26" s="22"/>
      <c r="N26" s="40" t="s">
        <v>267</v>
      </c>
      <c r="O26" s="9"/>
      <c r="P26"/>
    </row>
    <row r="27" spans="2:16" ht="26.25" thickBot="1" x14ac:dyDescent="0.3">
      <c r="B27" s="107"/>
      <c r="C27" s="107"/>
      <c r="D27" s="102"/>
      <c r="E27" s="127"/>
      <c r="F27" s="22" t="s">
        <v>28</v>
      </c>
      <c r="G27" s="21" t="s">
        <v>5</v>
      </c>
      <c r="H27" s="22" t="s">
        <v>6</v>
      </c>
      <c r="I27" s="21" t="s">
        <v>33</v>
      </c>
      <c r="J27" s="38">
        <f>IF(I27=H27,"Bak mandi",0)</f>
        <v>0</v>
      </c>
      <c r="K27" s="39" t="str">
        <f>IF(I27=H27,0,"Batal")</f>
        <v>Batal</v>
      </c>
      <c r="L27" s="22" t="s">
        <v>293</v>
      </c>
      <c r="M27" s="22"/>
      <c r="N27" s="40" t="s">
        <v>73</v>
      </c>
      <c r="O27" s="9"/>
      <c r="P27"/>
    </row>
    <row r="28" spans="2:16" ht="39" thickBot="1" x14ac:dyDescent="0.3">
      <c r="B28" s="108"/>
      <c r="C28" s="108"/>
      <c r="D28" s="102"/>
      <c r="E28" s="127"/>
      <c r="F28" s="26" t="s">
        <v>20</v>
      </c>
      <c r="G28" s="23" t="s">
        <v>61</v>
      </c>
      <c r="H28" s="26">
        <v>10</v>
      </c>
      <c r="I28" s="23">
        <v>10</v>
      </c>
      <c r="J28" s="46" t="str">
        <f>IF(I28&gt;=H28,"Kloset",0)</f>
        <v>Kloset</v>
      </c>
      <c r="K28" s="47">
        <f>IF(I28&gt;=H28,0,"D1")</f>
        <v>0</v>
      </c>
      <c r="L28" s="26" t="s">
        <v>297</v>
      </c>
      <c r="M28" s="26"/>
      <c r="N28" s="48" t="s">
        <v>310</v>
      </c>
      <c r="O28" s="9" t="s">
        <v>251</v>
      </c>
      <c r="P28"/>
    </row>
    <row r="29" spans="2:16" ht="15.75" thickBot="1" x14ac:dyDescent="0.3">
      <c r="B29" s="106" t="s">
        <v>395</v>
      </c>
      <c r="C29" s="106" t="s">
        <v>122</v>
      </c>
      <c r="D29" s="102" t="s">
        <v>34</v>
      </c>
      <c r="E29" s="118" t="s">
        <v>135</v>
      </c>
      <c r="F29" s="20" t="s">
        <v>14</v>
      </c>
      <c r="G29" s="19" t="s">
        <v>21</v>
      </c>
      <c r="H29" s="20">
        <v>150</v>
      </c>
      <c r="I29" s="19">
        <v>100</v>
      </c>
      <c r="J29" s="35">
        <f>IF(I29&gt;=H29,"Pintu",0)</f>
        <v>0</v>
      </c>
      <c r="K29" s="36" t="str">
        <f>IF(I29&lt;H29,"L1",0)</f>
        <v>L1</v>
      </c>
      <c r="L29" s="20"/>
      <c r="M29" s="20"/>
      <c r="N29" s="37" t="s">
        <v>267</v>
      </c>
      <c r="O29" s="51"/>
      <c r="P29"/>
    </row>
    <row r="30" spans="2:16" ht="26.25" thickBot="1" x14ac:dyDescent="0.3">
      <c r="B30" s="107"/>
      <c r="C30" s="107"/>
      <c r="D30" s="121"/>
      <c r="E30" s="118"/>
      <c r="F30" s="22" t="s">
        <v>28</v>
      </c>
      <c r="G30" s="21" t="s">
        <v>5</v>
      </c>
      <c r="H30" s="22" t="s">
        <v>6</v>
      </c>
      <c r="I30" s="21" t="s">
        <v>33</v>
      </c>
      <c r="J30" s="38">
        <f>IF(I30=H30,"Bak mandi",0)</f>
        <v>0</v>
      </c>
      <c r="K30" s="39" t="str">
        <f>IF(I30=H30,0,"RKM03")</f>
        <v>RKM03</v>
      </c>
      <c r="L30" s="22" t="s">
        <v>293</v>
      </c>
      <c r="M30" s="22"/>
      <c r="N30" s="40" t="s">
        <v>136</v>
      </c>
      <c r="O30" s="42"/>
      <c r="P30"/>
    </row>
    <row r="31" spans="2:16" ht="38.25" x14ac:dyDescent="0.25">
      <c r="B31" s="107"/>
      <c r="C31" s="107"/>
      <c r="D31" s="121"/>
      <c r="E31" s="118"/>
      <c r="F31" s="22" t="s">
        <v>20</v>
      </c>
      <c r="G31" s="21" t="s">
        <v>61</v>
      </c>
      <c r="H31" s="22">
        <v>15</v>
      </c>
      <c r="I31" s="21">
        <v>5</v>
      </c>
      <c r="J31" s="38">
        <f>IF(I31&gt;=H31,"Kloset",0)</f>
        <v>0</v>
      </c>
      <c r="K31" s="39" t="str">
        <f>IF(I31&gt;=H31,0,"D1")</f>
        <v>D1</v>
      </c>
      <c r="L31" s="22" t="s">
        <v>297</v>
      </c>
      <c r="M31" s="22"/>
      <c r="N31" s="40" t="s">
        <v>243</v>
      </c>
      <c r="O31" s="9" t="s">
        <v>251</v>
      </c>
      <c r="P31"/>
    </row>
    <row r="32" spans="2:16" x14ac:dyDescent="0.25">
      <c r="B32" s="107"/>
      <c r="C32" s="107"/>
      <c r="D32" s="121"/>
      <c r="E32" s="127" t="s">
        <v>137</v>
      </c>
      <c r="F32" s="22" t="s">
        <v>14</v>
      </c>
      <c r="G32" s="21" t="s">
        <v>21</v>
      </c>
      <c r="H32" s="22">
        <v>150</v>
      </c>
      <c r="I32" s="21">
        <v>100</v>
      </c>
      <c r="J32" s="43">
        <f>IF(I32&gt;=H32,"Pintu",0)</f>
        <v>0</v>
      </c>
      <c r="K32" s="44" t="str">
        <f>IF(I32&lt;H32,"L1",0)</f>
        <v>L1</v>
      </c>
      <c r="L32" s="22"/>
      <c r="M32" s="22"/>
      <c r="N32" s="40" t="s">
        <v>267</v>
      </c>
      <c r="O32" s="9"/>
      <c r="P32"/>
    </row>
    <row r="33" spans="2:16" ht="25.5" x14ac:dyDescent="0.25">
      <c r="B33" s="107"/>
      <c r="C33" s="107"/>
      <c r="D33" s="121"/>
      <c r="E33" s="119"/>
      <c r="F33" s="22" t="s">
        <v>28</v>
      </c>
      <c r="G33" s="21" t="s">
        <v>5</v>
      </c>
      <c r="H33" s="22" t="s">
        <v>6</v>
      </c>
      <c r="I33" s="21" t="s">
        <v>33</v>
      </c>
      <c r="J33" s="38">
        <f>IF(I33=H33,"Bak mandi",0)</f>
        <v>0</v>
      </c>
      <c r="K33" s="39" t="str">
        <f>IF(I33=H33,0,"Batal")</f>
        <v>Batal</v>
      </c>
      <c r="L33" s="22" t="s">
        <v>293</v>
      </c>
      <c r="M33" s="22"/>
      <c r="N33" s="40" t="s">
        <v>73</v>
      </c>
      <c r="O33" s="9"/>
      <c r="P33"/>
    </row>
    <row r="34" spans="2:16" ht="39" thickBot="1" x14ac:dyDescent="0.3">
      <c r="B34" s="108"/>
      <c r="C34" s="108"/>
      <c r="D34" s="103"/>
      <c r="E34" s="120"/>
      <c r="F34" s="26" t="s">
        <v>20</v>
      </c>
      <c r="G34" s="23" t="s">
        <v>61</v>
      </c>
      <c r="H34" s="26">
        <v>15</v>
      </c>
      <c r="I34" s="23">
        <v>5</v>
      </c>
      <c r="J34" s="46">
        <f>IF(I34&gt;=H34,"Kloset",0)</f>
        <v>0</v>
      </c>
      <c r="K34" s="47" t="str">
        <f>IF(I34&gt;=H34,0,"D1")</f>
        <v>D1</v>
      </c>
      <c r="L34" s="26" t="s">
        <v>297</v>
      </c>
      <c r="M34" s="26"/>
      <c r="N34" s="48" t="s">
        <v>243</v>
      </c>
      <c r="O34" s="49" t="s">
        <v>251</v>
      </c>
      <c r="P34"/>
    </row>
    <row r="35" spans="2:16" x14ac:dyDescent="0.25">
      <c r="B35" s="106" t="s">
        <v>395</v>
      </c>
      <c r="C35" s="106" t="s">
        <v>123</v>
      </c>
      <c r="D35" s="102" t="s">
        <v>35</v>
      </c>
      <c r="E35" s="118" t="s">
        <v>135</v>
      </c>
      <c r="F35" s="20" t="s">
        <v>14</v>
      </c>
      <c r="G35" s="19" t="s">
        <v>21</v>
      </c>
      <c r="H35" s="20">
        <v>150</v>
      </c>
      <c r="I35" s="19">
        <v>100</v>
      </c>
      <c r="J35" s="35">
        <f>IF(I35&gt;=H35,"Pintu",0)</f>
        <v>0</v>
      </c>
      <c r="K35" s="36" t="str">
        <f>IF(I35&lt;H35,"L1",0)</f>
        <v>L1</v>
      </c>
      <c r="L35" s="20"/>
      <c r="M35" s="20"/>
      <c r="N35" s="37" t="s">
        <v>267</v>
      </c>
      <c r="O35" s="51"/>
      <c r="P35"/>
    </row>
    <row r="36" spans="2:16" ht="30" x14ac:dyDescent="0.25">
      <c r="B36" s="107"/>
      <c r="C36" s="107"/>
      <c r="D36" s="121"/>
      <c r="E36" s="119"/>
      <c r="F36" s="22" t="s">
        <v>57</v>
      </c>
      <c r="G36" s="21" t="s">
        <v>60</v>
      </c>
      <c r="H36" s="22">
        <v>0</v>
      </c>
      <c r="I36" s="21">
        <v>0.2</v>
      </c>
      <c r="J36" s="38">
        <f>IF(I36&lt;=H36,"Pintu",0)</f>
        <v>0</v>
      </c>
      <c r="K36" s="39" t="str">
        <f>IF(I36&gt;H36,"Batal",0)</f>
        <v>Batal</v>
      </c>
      <c r="L36" s="22"/>
      <c r="M36" s="22"/>
      <c r="N36" s="40" t="s">
        <v>75</v>
      </c>
      <c r="O36" s="42"/>
      <c r="P36"/>
    </row>
    <row r="37" spans="2:16" ht="25.5" x14ac:dyDescent="0.25">
      <c r="B37" s="107"/>
      <c r="C37" s="107"/>
      <c r="D37" s="121"/>
      <c r="E37" s="119"/>
      <c r="F37" s="22" t="s">
        <v>28</v>
      </c>
      <c r="G37" s="21" t="s">
        <v>5</v>
      </c>
      <c r="H37" s="22" t="s">
        <v>6</v>
      </c>
      <c r="I37" s="21" t="s">
        <v>33</v>
      </c>
      <c r="J37" s="38">
        <f>IF(I37=H37,"Bak mandi",0)</f>
        <v>0</v>
      </c>
      <c r="K37" s="39" t="str">
        <f>IF(I37=H37,0,"RMK03")</f>
        <v>RMK03</v>
      </c>
      <c r="L37" s="22" t="s">
        <v>293</v>
      </c>
      <c r="M37" s="22"/>
      <c r="N37" s="40" t="s">
        <v>136</v>
      </c>
      <c r="O37" s="42"/>
      <c r="P37"/>
    </row>
    <row r="38" spans="2:16" ht="38.25" x14ac:dyDescent="0.25">
      <c r="B38" s="107"/>
      <c r="C38" s="107"/>
      <c r="D38" s="121"/>
      <c r="E38" s="128"/>
      <c r="F38" s="22" t="s">
        <v>20</v>
      </c>
      <c r="G38" s="21" t="s">
        <v>61</v>
      </c>
      <c r="H38" s="22">
        <v>90</v>
      </c>
      <c r="I38" s="21">
        <v>10</v>
      </c>
      <c r="J38" s="38">
        <f>IF(I38&gt;=H38,"Bak mandi",0)</f>
        <v>0</v>
      </c>
      <c r="K38" s="39" t="str">
        <f>IF(I38&gt;=H38,0,"D1")</f>
        <v>D1</v>
      </c>
      <c r="L38" s="22" t="s">
        <v>297</v>
      </c>
      <c r="M38" s="22"/>
      <c r="N38" s="40" t="s">
        <v>242</v>
      </c>
      <c r="O38" s="9" t="s">
        <v>251</v>
      </c>
      <c r="P38"/>
    </row>
    <row r="39" spans="2:16" x14ac:dyDescent="0.25">
      <c r="B39" s="107"/>
      <c r="C39" s="107"/>
      <c r="D39" s="121"/>
      <c r="E39" s="127" t="s">
        <v>327</v>
      </c>
      <c r="F39" s="22" t="s">
        <v>14</v>
      </c>
      <c r="G39" s="21" t="s">
        <v>21</v>
      </c>
      <c r="H39" s="22">
        <v>150</v>
      </c>
      <c r="I39" s="21">
        <v>100</v>
      </c>
      <c r="J39" s="38">
        <f>IF(I39&gt;=H39,"Pintu",0)</f>
        <v>0</v>
      </c>
      <c r="K39" s="39" t="str">
        <f>IF(I39&lt;H39,"L1",0)</f>
        <v>L1</v>
      </c>
      <c r="L39" s="22"/>
      <c r="M39" s="22"/>
      <c r="N39" s="40" t="s">
        <v>267</v>
      </c>
      <c r="O39" s="9"/>
      <c r="P39"/>
    </row>
    <row r="40" spans="2:16" ht="30" x14ac:dyDescent="0.25">
      <c r="B40" s="107"/>
      <c r="C40" s="107"/>
      <c r="D40" s="121"/>
      <c r="E40" s="127"/>
      <c r="F40" s="22" t="s">
        <v>57</v>
      </c>
      <c r="G40" s="21" t="s">
        <v>60</v>
      </c>
      <c r="H40" s="22">
        <v>0</v>
      </c>
      <c r="I40" s="21">
        <v>0.2</v>
      </c>
      <c r="J40" s="38">
        <f>IF(I40&lt;=H40,"Pintu",0)</f>
        <v>0</v>
      </c>
      <c r="K40" s="39" t="str">
        <f>IF(I40&gt;H40,"Batal",0)</f>
        <v>Batal</v>
      </c>
      <c r="L40" s="22"/>
      <c r="M40" s="22"/>
      <c r="N40" s="40" t="s">
        <v>75</v>
      </c>
      <c r="O40" s="9"/>
      <c r="P40"/>
    </row>
    <row r="41" spans="2:16" ht="25.5" x14ac:dyDescent="0.25">
      <c r="B41" s="107"/>
      <c r="C41" s="107"/>
      <c r="D41" s="121"/>
      <c r="E41" s="127"/>
      <c r="F41" s="22" t="s">
        <v>28</v>
      </c>
      <c r="G41" s="21" t="s">
        <v>5</v>
      </c>
      <c r="H41" s="22" t="s">
        <v>6</v>
      </c>
      <c r="I41" s="21" t="s">
        <v>33</v>
      </c>
      <c r="J41" s="38">
        <f>IF(I41=H41,"Bak mandi",0)</f>
        <v>0</v>
      </c>
      <c r="K41" s="39" t="str">
        <f>IF(I41=H41,0,"Batal")</f>
        <v>Batal</v>
      </c>
      <c r="L41" s="22" t="s">
        <v>293</v>
      </c>
      <c r="M41" s="22"/>
      <c r="N41" s="40" t="s">
        <v>73</v>
      </c>
      <c r="O41" s="9"/>
      <c r="P41"/>
    </row>
    <row r="42" spans="2:16" ht="39" thickBot="1" x14ac:dyDescent="0.3">
      <c r="B42" s="108"/>
      <c r="C42" s="108"/>
      <c r="D42" s="103"/>
      <c r="E42" s="127"/>
      <c r="F42" s="22" t="s">
        <v>20</v>
      </c>
      <c r="G42" s="21" t="s">
        <v>61</v>
      </c>
      <c r="H42" s="22">
        <v>90</v>
      </c>
      <c r="I42" s="21">
        <v>10</v>
      </c>
      <c r="J42" s="38">
        <f>IF(I42&gt;=H42,"Bak mandi",0)</f>
        <v>0</v>
      </c>
      <c r="K42" s="39" t="str">
        <f>IF(I42&gt;=H42,0,"D1")</f>
        <v>D1</v>
      </c>
      <c r="L42" s="22" t="s">
        <v>297</v>
      </c>
      <c r="M42" s="22"/>
      <c r="N42" s="40" t="s">
        <v>242</v>
      </c>
      <c r="O42" s="49" t="s">
        <v>251</v>
      </c>
      <c r="P42"/>
    </row>
    <row r="43" spans="2:16" ht="15" customHeight="1" x14ac:dyDescent="0.25">
      <c r="B43" s="94" t="s">
        <v>396</v>
      </c>
      <c r="C43" s="94" t="s">
        <v>235</v>
      </c>
      <c r="D43" s="102" t="s">
        <v>236</v>
      </c>
      <c r="E43" s="118" t="s">
        <v>30</v>
      </c>
      <c r="F43" s="20" t="s">
        <v>14</v>
      </c>
      <c r="G43" s="19" t="s">
        <v>21</v>
      </c>
      <c r="H43" s="20">
        <v>150</v>
      </c>
      <c r="I43" s="19">
        <v>100</v>
      </c>
      <c r="J43" s="35">
        <f>IF(I43&gt;=H43,"Pintu",0)</f>
        <v>0</v>
      </c>
      <c r="K43" s="36" t="str">
        <f>IF(I43&lt;H43,"L1",0)</f>
        <v>L1</v>
      </c>
      <c r="L43" s="20"/>
      <c r="M43" s="20"/>
      <c r="N43" s="37" t="s">
        <v>267</v>
      </c>
      <c r="O43" s="51"/>
      <c r="P43"/>
    </row>
    <row r="44" spans="2:16" ht="25.5" x14ac:dyDescent="0.25">
      <c r="B44" s="95"/>
      <c r="C44" s="95"/>
      <c r="D44" s="121"/>
      <c r="E44" s="119"/>
      <c r="F44" s="25" t="s">
        <v>28</v>
      </c>
      <c r="G44" s="24" t="s">
        <v>5</v>
      </c>
      <c r="H44" s="25" t="s">
        <v>6</v>
      </c>
      <c r="I44" s="24" t="s">
        <v>33</v>
      </c>
      <c r="J44" s="43">
        <f>IF(I44=H44,"RTU01",0)</f>
        <v>0</v>
      </c>
      <c r="K44" s="44" t="str">
        <f>IF(I44=H44,0,"Batal")</f>
        <v>Batal</v>
      </c>
      <c r="L44" s="25"/>
      <c r="M44" s="25"/>
      <c r="N44" s="45" t="s">
        <v>74</v>
      </c>
      <c r="O44" s="32"/>
      <c r="P44"/>
    </row>
    <row r="45" spans="2:16" ht="30.75" thickBot="1" x14ac:dyDescent="0.3">
      <c r="B45" s="96"/>
      <c r="C45" s="96"/>
      <c r="D45" s="103"/>
      <c r="E45" s="120"/>
      <c r="F45" s="22" t="s">
        <v>57</v>
      </c>
      <c r="G45" s="21" t="s">
        <v>60</v>
      </c>
      <c r="H45" s="22">
        <v>0.5</v>
      </c>
      <c r="I45" s="21">
        <v>0.2</v>
      </c>
      <c r="J45" s="38" t="str">
        <f>IF(I45&lt;H45,"RTU01",0)</f>
        <v>RTU01</v>
      </c>
      <c r="K45" s="39">
        <f>IF(I45&gt;=H45,"Batal",0)</f>
        <v>0</v>
      </c>
      <c r="L45" s="22" t="s">
        <v>298</v>
      </c>
      <c r="M45" s="22"/>
      <c r="N45" s="40" t="s">
        <v>76</v>
      </c>
      <c r="O45" s="42"/>
      <c r="P45"/>
    </row>
    <row r="46" spans="2:16" ht="45" customHeight="1" x14ac:dyDescent="0.25">
      <c r="B46" s="94" t="s">
        <v>393</v>
      </c>
      <c r="C46" s="134" t="s">
        <v>313</v>
      </c>
      <c r="D46" s="131" t="s">
        <v>314</v>
      </c>
      <c r="E46" s="118" t="s">
        <v>30</v>
      </c>
      <c r="F46" s="20" t="s">
        <v>14</v>
      </c>
      <c r="G46" s="19" t="s">
        <v>21</v>
      </c>
      <c r="H46" s="20">
        <v>150</v>
      </c>
      <c r="I46" s="19">
        <v>100</v>
      </c>
      <c r="J46" s="35">
        <f>IF(I46&gt;=H46,"Pintu",0)</f>
        <v>0</v>
      </c>
      <c r="K46" s="36" t="str">
        <f>IF(I46&lt;H46,"L1",0)</f>
        <v>L1</v>
      </c>
      <c r="L46" s="20"/>
      <c r="M46" s="20"/>
      <c r="N46" s="37" t="s">
        <v>267</v>
      </c>
      <c r="O46" s="51"/>
      <c r="P46"/>
    </row>
    <row r="47" spans="2:16" ht="25.5" x14ac:dyDescent="0.25">
      <c r="B47" s="95"/>
      <c r="C47" s="135"/>
      <c r="D47" s="132"/>
      <c r="E47" s="119"/>
      <c r="F47" s="25" t="s">
        <v>28</v>
      </c>
      <c r="G47" s="24" t="s">
        <v>5</v>
      </c>
      <c r="H47" s="25" t="s">
        <v>6</v>
      </c>
      <c r="I47" s="24" t="s">
        <v>33</v>
      </c>
      <c r="J47" s="43">
        <f>IF(I47=H47,"RTU01",0)</f>
        <v>0</v>
      </c>
      <c r="K47" s="44" t="str">
        <f>IF(I47=H47,0,"Batal")</f>
        <v>Batal</v>
      </c>
      <c r="L47" s="25"/>
      <c r="M47" s="25"/>
      <c r="N47" s="45" t="s">
        <v>74</v>
      </c>
      <c r="O47" s="32"/>
      <c r="P47"/>
    </row>
    <row r="48" spans="2:16" ht="30.75" thickBot="1" x14ac:dyDescent="0.3">
      <c r="B48" s="96"/>
      <c r="C48" s="136"/>
      <c r="D48" s="133"/>
      <c r="E48" s="120"/>
      <c r="F48" s="26" t="s">
        <v>57</v>
      </c>
      <c r="G48" s="23" t="s">
        <v>60</v>
      </c>
      <c r="H48" s="26">
        <v>1</v>
      </c>
      <c r="I48" s="23">
        <v>0.2</v>
      </c>
      <c r="J48" s="46" t="str">
        <f>IF(I48&lt;H48,"RTU01",0)</f>
        <v>RTU01</v>
      </c>
      <c r="K48" s="47">
        <f>IF(I48&gt;=H48,"Batal",0)</f>
        <v>0</v>
      </c>
      <c r="L48" s="26" t="s">
        <v>298</v>
      </c>
      <c r="M48" s="26"/>
      <c r="N48" s="48" t="s">
        <v>319</v>
      </c>
      <c r="O48" s="52"/>
      <c r="P48"/>
    </row>
    <row r="49" spans="2:16" ht="30" customHeight="1" x14ac:dyDescent="0.25">
      <c r="B49" s="94" t="s">
        <v>397</v>
      </c>
      <c r="C49" s="134" t="s">
        <v>315</v>
      </c>
      <c r="D49" s="131" t="s">
        <v>316</v>
      </c>
      <c r="E49" s="118" t="s">
        <v>24</v>
      </c>
      <c r="F49" s="25" t="s">
        <v>14</v>
      </c>
      <c r="G49" s="24" t="s">
        <v>21</v>
      </c>
      <c r="H49" s="25">
        <v>150</v>
      </c>
      <c r="I49" s="24">
        <v>100</v>
      </c>
      <c r="J49" s="43">
        <f>IF(I49&gt;=H49,"Pintu",0)</f>
        <v>0</v>
      </c>
      <c r="K49" s="44" t="str">
        <f>IF(I49&lt;H49,"L1",0)</f>
        <v>L1</v>
      </c>
      <c r="L49" s="25"/>
      <c r="M49" s="25"/>
      <c r="N49" s="45" t="s">
        <v>267</v>
      </c>
      <c r="O49" s="50"/>
      <c r="P49"/>
    </row>
    <row r="50" spans="2:16" ht="30" x14ac:dyDescent="0.25">
      <c r="B50" s="95"/>
      <c r="C50" s="135"/>
      <c r="D50" s="132"/>
      <c r="E50" s="128"/>
      <c r="F50" s="22" t="s">
        <v>57</v>
      </c>
      <c r="G50" s="21" t="s">
        <v>60</v>
      </c>
      <c r="H50" s="22">
        <v>1</v>
      </c>
      <c r="I50" s="21">
        <v>0.2</v>
      </c>
      <c r="J50" s="38" t="str">
        <f>IF(I50&lt;H50,"RKG01",0)</f>
        <v>RKG01</v>
      </c>
      <c r="K50" s="39">
        <f>IF(I50&gt;=H50,"Batal",0)</f>
        <v>0</v>
      </c>
      <c r="L50" s="22" t="s">
        <v>130</v>
      </c>
      <c r="M50" s="22"/>
      <c r="N50" s="40" t="s">
        <v>317</v>
      </c>
      <c r="O50" s="42"/>
      <c r="P50"/>
    </row>
    <row r="51" spans="2:16" x14ac:dyDescent="0.25">
      <c r="B51" s="95"/>
      <c r="C51" s="135"/>
      <c r="D51" s="132"/>
      <c r="E51" s="119" t="s">
        <v>132</v>
      </c>
      <c r="F51" s="25" t="s">
        <v>14</v>
      </c>
      <c r="G51" s="24" t="s">
        <v>21</v>
      </c>
      <c r="H51" s="25">
        <v>150</v>
      </c>
      <c r="I51" s="24">
        <v>100</v>
      </c>
      <c r="J51" s="43">
        <f>IF(I51&gt;=H51,"RDP02",0)</f>
        <v>0</v>
      </c>
      <c r="K51" s="44" t="str">
        <f>IF(I51&lt;H51,"L1",0)</f>
        <v>L1</v>
      </c>
      <c r="L51" s="25"/>
      <c r="M51" s="25"/>
      <c r="N51" s="45" t="s">
        <v>256</v>
      </c>
      <c r="O51" s="50"/>
      <c r="P51"/>
    </row>
    <row r="52" spans="2:16" ht="30.75" thickBot="1" x14ac:dyDescent="0.3">
      <c r="B52" s="96"/>
      <c r="C52" s="136"/>
      <c r="D52" s="133"/>
      <c r="E52" s="120"/>
      <c r="F52" s="22" t="s">
        <v>57</v>
      </c>
      <c r="G52" s="21" t="s">
        <v>60</v>
      </c>
      <c r="H52" s="22">
        <v>1</v>
      </c>
      <c r="I52" s="21">
        <v>0.2</v>
      </c>
      <c r="J52" s="38" t="str">
        <f>IF(I52&lt;H52,"RDP02",0)</f>
        <v>RDP02</v>
      </c>
      <c r="K52" s="39">
        <f>IF(I52&gt;=H52,"Batal",0)</f>
        <v>0</v>
      </c>
      <c r="L52" s="22" t="s">
        <v>130</v>
      </c>
      <c r="M52" s="22"/>
      <c r="N52" s="40" t="s">
        <v>318</v>
      </c>
      <c r="O52" s="42"/>
      <c r="P52"/>
    </row>
    <row r="53" spans="2:16" ht="30.75" thickBot="1" x14ac:dyDescent="0.3">
      <c r="B53" s="70" t="s">
        <v>398</v>
      </c>
      <c r="C53" s="70" t="s">
        <v>129</v>
      </c>
      <c r="D53" s="71" t="s">
        <v>100</v>
      </c>
      <c r="E53" s="53" t="s">
        <v>200</v>
      </c>
      <c r="F53" s="20" t="s">
        <v>14</v>
      </c>
      <c r="G53" s="19" t="s">
        <v>21</v>
      </c>
      <c r="H53" s="20">
        <v>60</v>
      </c>
      <c r="I53" s="19">
        <v>100</v>
      </c>
      <c r="J53" s="35" t="str">
        <f>IF(I53&gt;H53,"L2",0)</f>
        <v>L2</v>
      </c>
      <c r="K53" s="36">
        <f>IF(I53&lt;=H53,"Batal",0)</f>
        <v>0</v>
      </c>
      <c r="L53" s="27"/>
      <c r="M53" s="27"/>
      <c r="N53" s="37" t="s">
        <v>268</v>
      </c>
      <c r="O53" s="51"/>
      <c r="P53"/>
    </row>
    <row r="54" spans="2:16" x14ac:dyDescent="0.25">
      <c r="B54" s="104" t="s">
        <v>399</v>
      </c>
      <c r="C54" s="104" t="s">
        <v>101</v>
      </c>
      <c r="D54" s="102" t="s">
        <v>51</v>
      </c>
      <c r="E54" s="118" t="s">
        <v>40</v>
      </c>
      <c r="F54" s="20" t="s">
        <v>14</v>
      </c>
      <c r="G54" s="19" t="s">
        <v>21</v>
      </c>
      <c r="H54" s="20">
        <v>100</v>
      </c>
      <c r="I54" s="19">
        <v>60</v>
      </c>
      <c r="J54" s="35">
        <f>IF(I54&gt;=H54,"RTS01",0)</f>
        <v>0</v>
      </c>
      <c r="K54" s="36" t="str">
        <f>IF(I54&lt;H54,"Batal",0)</f>
        <v>Batal</v>
      </c>
      <c r="L54" s="20"/>
      <c r="M54" s="20"/>
      <c r="N54" s="54" t="s">
        <v>280</v>
      </c>
      <c r="O54" s="51"/>
      <c r="P54"/>
    </row>
    <row r="55" spans="2:16" ht="26.25" thickBot="1" x14ac:dyDescent="0.3">
      <c r="B55" s="105"/>
      <c r="C55" s="105"/>
      <c r="D55" s="103"/>
      <c r="E55" s="120"/>
      <c r="F55" s="22" t="s">
        <v>28</v>
      </c>
      <c r="G55" s="21" t="s">
        <v>5</v>
      </c>
      <c r="H55" s="22" t="s">
        <v>6</v>
      </c>
      <c r="I55" s="21" t="s">
        <v>33</v>
      </c>
      <c r="J55" s="38">
        <f>IF(I55=H55,"RTS01",0)</f>
        <v>0</v>
      </c>
      <c r="K55" s="39" t="str">
        <f>IF(I55=H55,0,"R1")</f>
        <v>R1</v>
      </c>
      <c r="L55" s="22" t="s">
        <v>293</v>
      </c>
      <c r="M55" s="22"/>
      <c r="N55" s="40" t="s">
        <v>302</v>
      </c>
      <c r="O55" s="42"/>
      <c r="P55"/>
    </row>
    <row r="56" spans="2:16" ht="25.5" x14ac:dyDescent="0.25">
      <c r="B56" s="94" t="s">
        <v>393</v>
      </c>
      <c r="C56" s="94" t="s">
        <v>154</v>
      </c>
      <c r="D56" s="102" t="s">
        <v>44</v>
      </c>
      <c r="E56" s="118" t="s">
        <v>30</v>
      </c>
      <c r="F56" s="20" t="s">
        <v>28</v>
      </c>
      <c r="G56" s="19" t="s">
        <v>5</v>
      </c>
      <c r="H56" s="20" t="s">
        <v>6</v>
      </c>
      <c r="I56" s="19" t="s">
        <v>33</v>
      </c>
      <c r="J56" s="35">
        <f>IF(I56=H56,"RTU01",0)</f>
        <v>0</v>
      </c>
      <c r="K56" s="36" t="str">
        <f>IF(I56=H56,0,"Batal")</f>
        <v>Batal</v>
      </c>
      <c r="L56" s="20"/>
      <c r="M56" s="20"/>
      <c r="N56" s="37" t="s">
        <v>74</v>
      </c>
      <c r="O56" s="51"/>
      <c r="P56"/>
    </row>
    <row r="57" spans="2:16" x14ac:dyDescent="0.25">
      <c r="B57" s="95"/>
      <c r="C57" s="95"/>
      <c r="D57" s="121"/>
      <c r="E57" s="119"/>
      <c r="F57" s="22" t="s">
        <v>14</v>
      </c>
      <c r="G57" s="21" t="s">
        <v>21</v>
      </c>
      <c r="H57" s="22">
        <v>150</v>
      </c>
      <c r="I57" s="21">
        <v>100</v>
      </c>
      <c r="J57" s="38">
        <f>IF(I57&gt;=H57,"RTU01",0)</f>
        <v>0</v>
      </c>
      <c r="K57" s="39" t="str">
        <f>IF(I57&lt;H57,"L1",0)</f>
        <v>L1</v>
      </c>
      <c r="L57" s="22"/>
      <c r="M57" s="22"/>
      <c r="N57" s="40" t="s">
        <v>269</v>
      </c>
      <c r="O57" s="42"/>
      <c r="P57"/>
    </row>
    <row r="58" spans="2:16" ht="30.75" thickBot="1" x14ac:dyDescent="0.3">
      <c r="B58" s="96"/>
      <c r="C58" s="96"/>
      <c r="D58" s="103"/>
      <c r="E58" s="120"/>
      <c r="F58" s="26" t="s">
        <v>57</v>
      </c>
      <c r="G58" s="23" t="s">
        <v>60</v>
      </c>
      <c r="H58" s="26">
        <v>0.5</v>
      </c>
      <c r="I58" s="23">
        <v>0.2</v>
      </c>
      <c r="J58" s="46" t="str">
        <f>IF(I58&lt;H58,"RTU01",0)</f>
        <v>RTU01</v>
      </c>
      <c r="K58" s="47">
        <f>IF(I58&gt;=H58,"Batal",0)</f>
        <v>0</v>
      </c>
      <c r="L58" s="26"/>
      <c r="M58" s="26"/>
      <c r="N58" s="48" t="s">
        <v>71</v>
      </c>
      <c r="O58" s="52" t="s">
        <v>65</v>
      </c>
      <c r="P58"/>
    </row>
    <row r="59" spans="2:16" ht="25.5" x14ac:dyDescent="0.25">
      <c r="B59" s="94" t="s">
        <v>393</v>
      </c>
      <c r="C59" s="94" t="s">
        <v>155</v>
      </c>
      <c r="D59" s="102" t="s">
        <v>45</v>
      </c>
      <c r="E59" s="118" t="s">
        <v>46</v>
      </c>
      <c r="F59" s="20" t="s">
        <v>28</v>
      </c>
      <c r="G59" s="19" t="s">
        <v>5</v>
      </c>
      <c r="H59" s="20" t="s">
        <v>6</v>
      </c>
      <c r="I59" s="19" t="s">
        <v>33</v>
      </c>
      <c r="J59" s="35">
        <f>IF(I59=H59,"RTU02",0)</f>
        <v>0</v>
      </c>
      <c r="K59" s="36" t="str">
        <f>IF(I59=H59,0,"Batal")</f>
        <v>Batal</v>
      </c>
      <c r="L59" s="20"/>
      <c r="M59" s="20"/>
      <c r="N59" s="37" t="s">
        <v>77</v>
      </c>
      <c r="O59" s="51"/>
      <c r="P59"/>
    </row>
    <row r="60" spans="2:16" x14ac:dyDescent="0.25">
      <c r="B60" s="95"/>
      <c r="C60" s="95"/>
      <c r="D60" s="121"/>
      <c r="E60" s="119"/>
      <c r="F60" s="22" t="s">
        <v>14</v>
      </c>
      <c r="G60" s="21" t="s">
        <v>21</v>
      </c>
      <c r="H60" s="22">
        <v>150</v>
      </c>
      <c r="I60" s="21">
        <v>100</v>
      </c>
      <c r="J60" s="38">
        <f>IF(I60&gt;=H60,"RTU02",0)</f>
        <v>0</v>
      </c>
      <c r="K60" s="39" t="str">
        <f>IF(I60&lt;H60,"L1",0)</f>
        <v>L1</v>
      </c>
      <c r="L60" s="22"/>
      <c r="M60" s="22"/>
      <c r="N60" s="40" t="s">
        <v>270</v>
      </c>
      <c r="O60" s="42"/>
      <c r="P60"/>
    </row>
    <row r="61" spans="2:16" ht="30.75" thickBot="1" x14ac:dyDescent="0.3">
      <c r="B61" s="96"/>
      <c r="C61" s="96"/>
      <c r="D61" s="103"/>
      <c r="E61" s="120"/>
      <c r="F61" s="26" t="s">
        <v>57</v>
      </c>
      <c r="G61" s="23" t="s">
        <v>60</v>
      </c>
      <c r="H61" s="26">
        <v>0.5</v>
      </c>
      <c r="I61" s="23">
        <v>1</v>
      </c>
      <c r="J61" s="46">
        <f>IF(I61&lt;H61,"RTU02",0)</f>
        <v>0</v>
      </c>
      <c r="K61" s="47" t="str">
        <f>IF(I61&gt;=H61,"Batal",0)</f>
        <v>Batal</v>
      </c>
      <c r="L61" s="26"/>
      <c r="M61" s="26"/>
      <c r="N61" s="48" t="s">
        <v>216</v>
      </c>
      <c r="O61" s="52" t="s">
        <v>65</v>
      </c>
      <c r="P61"/>
    </row>
    <row r="62" spans="2:16" x14ac:dyDescent="0.25">
      <c r="B62" s="94" t="s">
        <v>393</v>
      </c>
      <c r="C62" s="94" t="s">
        <v>156</v>
      </c>
      <c r="D62" s="102" t="s">
        <v>138</v>
      </c>
      <c r="E62" s="118" t="s">
        <v>161</v>
      </c>
      <c r="F62" s="20" t="s">
        <v>14</v>
      </c>
      <c r="G62" s="19" t="s">
        <v>21</v>
      </c>
      <c r="H62" s="20">
        <v>150</v>
      </c>
      <c r="I62" s="19">
        <v>100</v>
      </c>
      <c r="J62" s="35">
        <f>IF(I62&gt;=H62,"RKJ01",0)</f>
        <v>0</v>
      </c>
      <c r="K62" s="36" t="str">
        <f>IF(I62&lt;H62,"L1",0)</f>
        <v>L1</v>
      </c>
      <c r="L62" s="20"/>
      <c r="M62" s="20"/>
      <c r="N62" s="37" t="s">
        <v>271</v>
      </c>
      <c r="O62" s="51"/>
      <c r="P62"/>
    </row>
    <row r="63" spans="2:16" ht="30.75" thickBot="1" x14ac:dyDescent="0.3">
      <c r="B63" s="96"/>
      <c r="C63" s="96"/>
      <c r="D63" s="103"/>
      <c r="E63" s="120"/>
      <c r="F63" s="26" t="s">
        <v>57</v>
      </c>
      <c r="G63" s="23" t="s">
        <v>60</v>
      </c>
      <c r="H63" s="26">
        <v>1</v>
      </c>
      <c r="I63" s="23">
        <v>1</v>
      </c>
      <c r="J63" s="46">
        <f>IF(I63&lt;H63,"RKJ1",0)</f>
        <v>0</v>
      </c>
      <c r="K63" s="47" t="str">
        <f>IF(I63&gt;=H63,"Batal",0)</f>
        <v>Batal</v>
      </c>
      <c r="L63" s="26"/>
      <c r="M63" s="26"/>
      <c r="N63" s="48" t="s">
        <v>218</v>
      </c>
      <c r="O63" s="52" t="s">
        <v>65</v>
      </c>
      <c r="P63"/>
    </row>
    <row r="64" spans="2:16" x14ac:dyDescent="0.25">
      <c r="B64" s="94" t="s">
        <v>393</v>
      </c>
      <c r="C64" s="94" t="s">
        <v>102</v>
      </c>
      <c r="D64" s="102" t="s">
        <v>139</v>
      </c>
      <c r="E64" s="118" t="s">
        <v>133</v>
      </c>
      <c r="F64" s="20" t="s">
        <v>14</v>
      </c>
      <c r="G64" s="19" t="s">
        <v>21</v>
      </c>
      <c r="H64" s="20">
        <v>150</v>
      </c>
      <c r="I64" s="19">
        <v>100</v>
      </c>
      <c r="J64" s="35">
        <f>IF(I64&gt;=H64,"Pintu",0)</f>
        <v>0</v>
      </c>
      <c r="K64" s="36" t="str">
        <f>IF(I64&lt;H64,"L1",0)</f>
        <v>L1</v>
      </c>
      <c r="L64" s="20"/>
      <c r="M64" s="20"/>
      <c r="N64" s="37" t="s">
        <v>267</v>
      </c>
      <c r="O64" s="138" t="s">
        <v>97</v>
      </c>
      <c r="P64"/>
    </row>
    <row r="65" spans="2:16" ht="25.5" x14ac:dyDescent="0.25">
      <c r="B65" s="95"/>
      <c r="C65" s="95"/>
      <c r="D65" s="121"/>
      <c r="E65" s="119"/>
      <c r="F65" s="22" t="s">
        <v>28</v>
      </c>
      <c r="G65" s="21" t="s">
        <v>5</v>
      </c>
      <c r="H65" s="22" t="s">
        <v>6</v>
      </c>
      <c r="I65" s="21" t="s">
        <v>6</v>
      </c>
      <c r="J65" s="38" t="str">
        <f>IF(I65=H65,"RBK01",0)</f>
        <v>RBK01</v>
      </c>
      <c r="K65" s="39">
        <f>IF(I65=H65,0,"R1")</f>
        <v>0</v>
      </c>
      <c r="L65" s="22"/>
      <c r="M65" s="22"/>
      <c r="N65" s="40" t="s">
        <v>303</v>
      </c>
      <c r="O65" s="139"/>
      <c r="P65"/>
    </row>
    <row r="66" spans="2:16" ht="30.75" thickBot="1" x14ac:dyDescent="0.3">
      <c r="B66" s="96"/>
      <c r="C66" s="96"/>
      <c r="D66" s="103"/>
      <c r="E66" s="120"/>
      <c r="F66" s="26" t="s">
        <v>57</v>
      </c>
      <c r="G66" s="23" t="s">
        <v>60</v>
      </c>
      <c r="H66" s="26">
        <v>1</v>
      </c>
      <c r="I66" s="23">
        <v>0.5</v>
      </c>
      <c r="J66" s="46" t="str">
        <f>IF(I66&lt;H66,"RBK01",0)</f>
        <v>RBK01</v>
      </c>
      <c r="K66" s="47">
        <f>IF(I66&gt;=H66,"Batal",0)</f>
        <v>0</v>
      </c>
      <c r="L66" s="26"/>
      <c r="M66" s="26"/>
      <c r="N66" s="48" t="s">
        <v>217</v>
      </c>
      <c r="O66" s="140"/>
      <c r="P66"/>
    </row>
    <row r="67" spans="2:16" x14ac:dyDescent="0.25">
      <c r="B67" s="94" t="s">
        <v>393</v>
      </c>
      <c r="C67" s="94" t="s">
        <v>157</v>
      </c>
      <c r="D67" s="102" t="s">
        <v>140</v>
      </c>
      <c r="E67" s="118" t="s">
        <v>17</v>
      </c>
      <c r="F67" s="20" t="s">
        <v>14</v>
      </c>
      <c r="G67" s="19" t="s">
        <v>21</v>
      </c>
      <c r="H67" s="20">
        <v>150</v>
      </c>
      <c r="I67" s="19">
        <v>150</v>
      </c>
      <c r="J67" s="35" t="str">
        <f>IF(I67&gt;=H67,"RDP01",0)</f>
        <v>RDP01</v>
      </c>
      <c r="K67" s="36">
        <f>IF(I67&lt;H67,"L1",0)</f>
        <v>0</v>
      </c>
      <c r="L67" s="20"/>
      <c r="M67" s="20"/>
      <c r="N67" s="37" t="s">
        <v>272</v>
      </c>
      <c r="O67" s="51"/>
      <c r="P67"/>
    </row>
    <row r="68" spans="2:16" ht="25.5" x14ac:dyDescent="0.25">
      <c r="B68" s="95"/>
      <c r="C68" s="95"/>
      <c r="D68" s="121"/>
      <c r="E68" s="119"/>
      <c r="F68" s="22" t="s">
        <v>28</v>
      </c>
      <c r="G68" s="21" t="s">
        <v>5</v>
      </c>
      <c r="H68" s="22" t="s">
        <v>6</v>
      </c>
      <c r="I68" s="21" t="s">
        <v>6</v>
      </c>
      <c r="J68" s="38" t="str">
        <f>IF(I68=H68,"RDP01",0)</f>
        <v>RDP01</v>
      </c>
      <c r="K68" s="39">
        <f>IF(I68=H68,0,"R1")</f>
        <v>0</v>
      </c>
      <c r="L68" s="22"/>
      <c r="M68" s="22"/>
      <c r="N68" s="40" t="s">
        <v>301</v>
      </c>
      <c r="O68" s="42"/>
      <c r="P68"/>
    </row>
    <row r="69" spans="2:16" ht="30.75" thickBot="1" x14ac:dyDescent="0.3">
      <c r="B69" s="96"/>
      <c r="C69" s="96"/>
      <c r="D69" s="103"/>
      <c r="E69" s="120"/>
      <c r="F69" s="26" t="s">
        <v>57</v>
      </c>
      <c r="G69" s="23" t="s">
        <v>60</v>
      </c>
      <c r="H69" s="26">
        <v>1</v>
      </c>
      <c r="I69" s="23">
        <v>1</v>
      </c>
      <c r="J69" s="46">
        <f>IF(I69&lt;H69,"RDP01",0)</f>
        <v>0</v>
      </c>
      <c r="K69" s="47" t="str">
        <f>IF(I69&gt;=H69,"Batal",0)</f>
        <v>Batal</v>
      </c>
      <c r="L69" s="26"/>
      <c r="M69" s="26"/>
      <c r="N69" s="48" t="s">
        <v>215</v>
      </c>
      <c r="O69" s="52" t="s">
        <v>65</v>
      </c>
      <c r="P69"/>
    </row>
    <row r="70" spans="2:16" x14ac:dyDescent="0.25">
      <c r="B70" s="94" t="s">
        <v>393</v>
      </c>
      <c r="C70" s="94" t="s">
        <v>103</v>
      </c>
      <c r="D70" s="102" t="s">
        <v>141</v>
      </c>
      <c r="E70" s="118" t="s">
        <v>132</v>
      </c>
      <c r="F70" s="20" t="s">
        <v>14</v>
      </c>
      <c r="G70" s="19" t="s">
        <v>21</v>
      </c>
      <c r="H70" s="20">
        <v>150</v>
      </c>
      <c r="I70" s="19">
        <v>150</v>
      </c>
      <c r="J70" s="35" t="str">
        <f>IF(I70&gt;=H70,"RDP02",0)</f>
        <v>RDP02</v>
      </c>
      <c r="K70" s="36">
        <f>IF(I70&lt;H70,"L1",0)</f>
        <v>0</v>
      </c>
      <c r="L70" s="20"/>
      <c r="M70" s="20"/>
      <c r="N70" s="37" t="s">
        <v>256</v>
      </c>
      <c r="O70" s="51"/>
      <c r="P70"/>
    </row>
    <row r="71" spans="2:16" ht="30.75" thickBot="1" x14ac:dyDescent="0.3">
      <c r="B71" s="96"/>
      <c r="C71" s="96"/>
      <c r="D71" s="103"/>
      <c r="E71" s="120"/>
      <c r="F71" s="26" t="s">
        <v>57</v>
      </c>
      <c r="G71" s="23" t="s">
        <v>60</v>
      </c>
      <c r="H71" s="26">
        <v>1</v>
      </c>
      <c r="I71" s="23">
        <v>0.8</v>
      </c>
      <c r="J71" s="46" t="str">
        <f>IF(I71&lt;H71,"RDP02",0)</f>
        <v>RDP02</v>
      </c>
      <c r="K71" s="47">
        <f>IF(I71&gt;=H71,"Batal",0)</f>
        <v>0</v>
      </c>
      <c r="L71" s="26"/>
      <c r="M71" s="26"/>
      <c r="N71" s="48" t="s">
        <v>204</v>
      </c>
      <c r="O71" s="52" t="s">
        <v>65</v>
      </c>
      <c r="P71"/>
    </row>
    <row r="72" spans="2:16" x14ac:dyDescent="0.25">
      <c r="B72" s="94" t="s">
        <v>393</v>
      </c>
      <c r="C72" s="94" t="s">
        <v>158</v>
      </c>
      <c r="D72" s="102" t="s">
        <v>36</v>
      </c>
      <c r="E72" s="118" t="s">
        <v>24</v>
      </c>
      <c r="F72" s="20" t="s">
        <v>14</v>
      </c>
      <c r="G72" s="19" t="s">
        <v>21</v>
      </c>
      <c r="H72" s="20">
        <v>150</v>
      </c>
      <c r="I72" s="19">
        <v>100</v>
      </c>
      <c r="J72" s="35">
        <f>IF(I72&gt;=H72,"RKG01",0)</f>
        <v>0</v>
      </c>
      <c r="K72" s="36" t="str">
        <f>IF(I72&lt;H72,"L1",0)</f>
        <v>L1</v>
      </c>
      <c r="L72" s="20"/>
      <c r="M72" s="20"/>
      <c r="N72" s="37" t="s">
        <v>265</v>
      </c>
      <c r="O72" s="51"/>
      <c r="P72"/>
    </row>
    <row r="73" spans="2:16" ht="30.75" thickBot="1" x14ac:dyDescent="0.3">
      <c r="B73" s="96"/>
      <c r="C73" s="96"/>
      <c r="D73" s="103"/>
      <c r="E73" s="120"/>
      <c r="F73" s="26" t="s">
        <v>57</v>
      </c>
      <c r="G73" s="23" t="s">
        <v>60</v>
      </c>
      <c r="H73" s="26">
        <v>1</v>
      </c>
      <c r="I73" s="23">
        <v>0.8</v>
      </c>
      <c r="J73" s="46" t="str">
        <f>IF(I73&lt;H73,"RKG01",0)</f>
        <v>RKG01</v>
      </c>
      <c r="K73" s="47">
        <f>IF(I73&gt;=H73,"Batal",0)</f>
        <v>0</v>
      </c>
      <c r="L73" s="26"/>
      <c r="M73" s="26"/>
      <c r="N73" s="48" t="s">
        <v>203</v>
      </c>
      <c r="O73" s="52" t="s">
        <v>65</v>
      </c>
      <c r="P73"/>
    </row>
    <row r="74" spans="2:16" x14ac:dyDescent="0.25">
      <c r="B74" s="94" t="s">
        <v>393</v>
      </c>
      <c r="C74" s="94" t="s">
        <v>104</v>
      </c>
      <c r="D74" s="102" t="s">
        <v>37</v>
      </c>
      <c r="E74" s="118" t="s">
        <v>38</v>
      </c>
      <c r="F74" s="20" t="s">
        <v>14</v>
      </c>
      <c r="G74" s="19" t="s">
        <v>21</v>
      </c>
      <c r="H74" s="20">
        <v>150</v>
      </c>
      <c r="I74" s="19">
        <v>100</v>
      </c>
      <c r="J74" s="35">
        <f>IF(I74&gt;=H74,"RTM01",0)</f>
        <v>0</v>
      </c>
      <c r="K74" s="36" t="str">
        <f>IF(I74&lt;H74,"L1",0)</f>
        <v>L1</v>
      </c>
      <c r="L74" s="20"/>
      <c r="M74" s="20"/>
      <c r="N74" s="37" t="s">
        <v>266</v>
      </c>
      <c r="O74" s="51"/>
      <c r="P74"/>
    </row>
    <row r="75" spans="2:16" ht="30.75" thickBot="1" x14ac:dyDescent="0.3">
      <c r="B75" s="96"/>
      <c r="C75" s="96"/>
      <c r="D75" s="103"/>
      <c r="E75" s="120"/>
      <c r="F75" s="26" t="s">
        <v>57</v>
      </c>
      <c r="G75" s="23" t="s">
        <v>60</v>
      </c>
      <c r="H75" s="26">
        <v>1</v>
      </c>
      <c r="I75" s="23">
        <v>1</v>
      </c>
      <c r="J75" s="46">
        <f>IF(I75&lt;H75,"RTM01",0)</f>
        <v>0</v>
      </c>
      <c r="K75" s="47" t="str">
        <f>IF(I75&gt;=H75,"Batal",0)</f>
        <v>Batal</v>
      </c>
      <c r="L75" s="26"/>
      <c r="M75" s="26"/>
      <c r="N75" s="48" t="s">
        <v>209</v>
      </c>
      <c r="O75" s="52" t="s">
        <v>65</v>
      </c>
      <c r="P75"/>
    </row>
    <row r="76" spans="2:16" x14ac:dyDescent="0.25">
      <c r="B76" s="94" t="s">
        <v>393</v>
      </c>
      <c r="C76" s="94" t="s">
        <v>159</v>
      </c>
      <c r="D76" s="102" t="s">
        <v>39</v>
      </c>
      <c r="E76" s="118" t="s">
        <v>40</v>
      </c>
      <c r="F76" s="20" t="s">
        <v>14</v>
      </c>
      <c r="G76" s="19" t="s">
        <v>21</v>
      </c>
      <c r="H76" s="20">
        <v>150</v>
      </c>
      <c r="I76" s="19">
        <v>100</v>
      </c>
      <c r="J76" s="35">
        <f>IF(I76&gt;=H76,"Pintu",0)</f>
        <v>0</v>
      </c>
      <c r="K76" s="36" t="str">
        <f>IF(I76&lt;H76,"L1",0)</f>
        <v>L1</v>
      </c>
      <c r="L76" s="20"/>
      <c r="M76" s="20"/>
      <c r="N76" s="37" t="s">
        <v>267</v>
      </c>
      <c r="O76" s="51"/>
      <c r="P76"/>
    </row>
    <row r="77" spans="2:16" ht="26.25" thickBot="1" x14ac:dyDescent="0.3">
      <c r="B77" s="95"/>
      <c r="C77" s="95"/>
      <c r="D77" s="121"/>
      <c r="E77" s="119"/>
      <c r="F77" s="22" t="s">
        <v>28</v>
      </c>
      <c r="G77" s="21" t="s">
        <v>5</v>
      </c>
      <c r="H77" s="22" t="s">
        <v>6</v>
      </c>
      <c r="I77" s="21" t="s">
        <v>33</v>
      </c>
      <c r="J77" s="38">
        <f>IF(I77=H77,"RTS01",0)</f>
        <v>0</v>
      </c>
      <c r="K77" s="39" t="str">
        <f>IF(I77=H77,0,"R1")</f>
        <v>R1</v>
      </c>
      <c r="L77" s="22"/>
      <c r="M77" s="22"/>
      <c r="N77" s="40" t="s">
        <v>302</v>
      </c>
      <c r="O77" s="52" t="s">
        <v>65</v>
      </c>
      <c r="P77"/>
    </row>
    <row r="78" spans="2:16" ht="30.75" thickBot="1" x14ac:dyDescent="0.3">
      <c r="B78" s="96"/>
      <c r="C78" s="96"/>
      <c r="D78" s="103"/>
      <c r="E78" s="120"/>
      <c r="F78" s="26" t="s">
        <v>57</v>
      </c>
      <c r="G78" s="23" t="s">
        <v>60</v>
      </c>
      <c r="H78" s="26">
        <v>1</v>
      </c>
      <c r="I78" s="23">
        <v>0.8</v>
      </c>
      <c r="J78" s="46" t="str">
        <f>IF(I78&lt;H78,"RTS01",0)</f>
        <v>RTS01</v>
      </c>
      <c r="K78" s="47">
        <f>IF(I78&gt;=H78,"Batal",0)</f>
        <v>0</v>
      </c>
      <c r="L78" s="26"/>
      <c r="M78" s="26"/>
      <c r="N78" s="48" t="s">
        <v>214</v>
      </c>
      <c r="O78" s="52" t="s">
        <v>65</v>
      </c>
      <c r="P78"/>
    </row>
    <row r="79" spans="2:16" ht="31.5" customHeight="1" x14ac:dyDescent="0.25">
      <c r="B79" s="102" t="s">
        <v>393</v>
      </c>
      <c r="C79" s="102" t="s">
        <v>323</v>
      </c>
      <c r="D79" s="102" t="s">
        <v>324</v>
      </c>
      <c r="E79" s="142" t="s">
        <v>18</v>
      </c>
      <c r="F79" s="20" t="s">
        <v>14</v>
      </c>
      <c r="G79" s="19" t="s">
        <v>21</v>
      </c>
      <c r="H79" s="20">
        <v>100</v>
      </c>
      <c r="I79" s="19">
        <v>100</v>
      </c>
      <c r="J79" s="35" t="str">
        <f>IF(I79&gt;=H79,"RHD01",0)</f>
        <v>RHD01</v>
      </c>
      <c r="K79" s="36">
        <f>IF(I79&lt;H79,"Batal",0)</f>
        <v>0</v>
      </c>
      <c r="L79" s="20"/>
      <c r="M79" s="20"/>
      <c r="N79" s="37" t="s">
        <v>326</v>
      </c>
      <c r="O79" s="51"/>
      <c r="P79"/>
    </row>
    <row r="80" spans="2:16" ht="30.75" thickBot="1" x14ac:dyDescent="0.3">
      <c r="B80" s="103"/>
      <c r="C80" s="103"/>
      <c r="D80" s="103"/>
      <c r="E80" s="143"/>
      <c r="F80" s="26" t="s">
        <v>57</v>
      </c>
      <c r="G80" s="23" t="s">
        <v>60</v>
      </c>
      <c r="H80" s="26">
        <v>1</v>
      </c>
      <c r="I80" s="23">
        <v>1</v>
      </c>
      <c r="J80" s="46">
        <f>IF(I80&lt;H80,"RHD01",0)</f>
        <v>0</v>
      </c>
      <c r="K80" s="47" t="str">
        <f>IF(I80&gt;=H80,"Batal",0)</f>
        <v>Batal</v>
      </c>
      <c r="L80" s="26"/>
      <c r="M80" s="26"/>
      <c r="N80" s="48" t="s">
        <v>325</v>
      </c>
      <c r="O80" s="52" t="s">
        <v>65</v>
      </c>
      <c r="P80"/>
    </row>
    <row r="81" spans="2:16" ht="25.5" x14ac:dyDescent="0.25">
      <c r="B81" s="94" t="s">
        <v>400</v>
      </c>
      <c r="C81" s="94" t="s">
        <v>160</v>
      </c>
      <c r="D81" s="102" t="s">
        <v>47</v>
      </c>
      <c r="E81" s="118" t="s">
        <v>30</v>
      </c>
      <c r="F81" s="20" t="s">
        <v>28</v>
      </c>
      <c r="G81" s="19" t="s">
        <v>5</v>
      </c>
      <c r="H81" s="20" t="s">
        <v>6</v>
      </c>
      <c r="I81" s="19" t="s">
        <v>33</v>
      </c>
      <c r="J81" s="35">
        <f>IF(I81=H81,"RTS01",0)</f>
        <v>0</v>
      </c>
      <c r="K81" s="36" t="str">
        <f>IF(I81=H81,0,"Batal")</f>
        <v>Batal</v>
      </c>
      <c r="L81" s="20"/>
      <c r="M81" s="20"/>
      <c r="N81" s="37" t="s">
        <v>74</v>
      </c>
      <c r="O81" s="51"/>
      <c r="P81"/>
    </row>
    <row r="82" spans="2:16" x14ac:dyDescent="0.25">
      <c r="B82" s="95"/>
      <c r="C82" s="95"/>
      <c r="D82" s="121"/>
      <c r="E82" s="119"/>
      <c r="F82" s="22" t="s">
        <v>14</v>
      </c>
      <c r="G82" s="21" t="s">
        <v>21</v>
      </c>
      <c r="H82" s="22">
        <v>150</v>
      </c>
      <c r="I82" s="21">
        <v>100</v>
      </c>
      <c r="J82" s="38">
        <f>IF(I82&gt;=H82,"RTU01",0)</f>
        <v>0</v>
      </c>
      <c r="K82" s="39" t="str">
        <f>IF(I82&lt;H82,"L1",0)</f>
        <v>L1</v>
      </c>
      <c r="L82" s="22"/>
      <c r="M82" s="22"/>
      <c r="N82" s="40" t="s">
        <v>269</v>
      </c>
      <c r="O82" s="42"/>
      <c r="P82"/>
    </row>
    <row r="83" spans="2:16" ht="30.75" thickBot="1" x14ac:dyDescent="0.3">
      <c r="B83" s="96"/>
      <c r="C83" s="96"/>
      <c r="D83" s="103"/>
      <c r="E83" s="120"/>
      <c r="F83" s="26" t="s">
        <v>57</v>
      </c>
      <c r="G83" s="23" t="s">
        <v>60</v>
      </c>
      <c r="H83" s="26">
        <v>0.5</v>
      </c>
      <c r="I83" s="23">
        <v>1</v>
      </c>
      <c r="J83" s="46">
        <f>IF(I83&lt;H83,"RTU01",0)</f>
        <v>0</v>
      </c>
      <c r="K83" s="47" t="str">
        <f>IF(I83&gt;=H83,"Batal",0)</f>
        <v>Batal</v>
      </c>
      <c r="L83" s="26" t="s">
        <v>298</v>
      </c>
      <c r="M83" s="26"/>
      <c r="N83" s="48" t="s">
        <v>71</v>
      </c>
      <c r="O83" s="52"/>
      <c r="P83"/>
    </row>
    <row r="84" spans="2:16" ht="25.5" x14ac:dyDescent="0.25">
      <c r="B84" s="94" t="s">
        <v>401</v>
      </c>
      <c r="C84" s="94" t="s">
        <v>105</v>
      </c>
      <c r="D84" s="102" t="s">
        <v>48</v>
      </c>
      <c r="E84" s="118" t="s">
        <v>46</v>
      </c>
      <c r="F84" s="20" t="s">
        <v>28</v>
      </c>
      <c r="G84" s="19" t="s">
        <v>5</v>
      </c>
      <c r="H84" s="20" t="s">
        <v>6</v>
      </c>
      <c r="I84" s="19" t="s">
        <v>6</v>
      </c>
      <c r="J84" s="35" t="str">
        <f>IF(I84=H84,"RTU02",0)</f>
        <v>RTU02</v>
      </c>
      <c r="K84" s="36">
        <f>IF(I84=H84,0,"Batal")</f>
        <v>0</v>
      </c>
      <c r="L84" s="20"/>
      <c r="M84" s="20"/>
      <c r="N84" s="37" t="s">
        <v>77</v>
      </c>
      <c r="O84" s="51"/>
      <c r="P84"/>
    </row>
    <row r="85" spans="2:16" x14ac:dyDescent="0.25">
      <c r="B85" s="95"/>
      <c r="C85" s="95"/>
      <c r="D85" s="121"/>
      <c r="E85" s="119"/>
      <c r="F85" s="22" t="s">
        <v>14</v>
      </c>
      <c r="G85" s="21" t="s">
        <v>21</v>
      </c>
      <c r="H85" s="22">
        <v>150</v>
      </c>
      <c r="I85" s="21">
        <v>100</v>
      </c>
      <c r="J85" s="38">
        <f>IF(I85&gt;=H85,"RTU02",0)</f>
        <v>0</v>
      </c>
      <c r="K85" s="39" t="str">
        <f>IF(I85&lt;H85,"L1",0)</f>
        <v>L1</v>
      </c>
      <c r="L85" s="22"/>
      <c r="M85" s="22"/>
      <c r="N85" s="40" t="s">
        <v>270</v>
      </c>
      <c r="O85" s="42"/>
      <c r="P85"/>
    </row>
    <row r="86" spans="2:16" ht="30.75" thickBot="1" x14ac:dyDescent="0.3">
      <c r="B86" s="96"/>
      <c r="C86" s="96"/>
      <c r="D86" s="103"/>
      <c r="E86" s="120"/>
      <c r="F86" s="26" t="s">
        <v>57</v>
      </c>
      <c r="G86" s="23" t="s">
        <v>60</v>
      </c>
      <c r="H86" s="26">
        <v>0.5</v>
      </c>
      <c r="I86" s="23">
        <v>0.2</v>
      </c>
      <c r="J86" s="46" t="str">
        <f>IF(I86&lt;H86,"RTU02",0)</f>
        <v>RTU02</v>
      </c>
      <c r="K86" s="47">
        <f>IF(I86&gt;=H86,"Batal",0)</f>
        <v>0</v>
      </c>
      <c r="L86" s="26" t="s">
        <v>298</v>
      </c>
      <c r="M86" s="26"/>
      <c r="N86" s="48" t="s">
        <v>216</v>
      </c>
      <c r="O86" s="52"/>
      <c r="P86"/>
    </row>
    <row r="87" spans="2:16" x14ac:dyDescent="0.25">
      <c r="B87" s="94" t="s">
        <v>402</v>
      </c>
      <c r="C87" s="94" t="s">
        <v>106</v>
      </c>
      <c r="D87" s="102" t="s">
        <v>142</v>
      </c>
      <c r="E87" s="118" t="s">
        <v>161</v>
      </c>
      <c r="F87" s="20" t="s">
        <v>14</v>
      </c>
      <c r="G87" s="19" t="s">
        <v>21</v>
      </c>
      <c r="H87" s="20">
        <v>150</v>
      </c>
      <c r="I87" s="19">
        <v>100</v>
      </c>
      <c r="J87" s="35">
        <f>IF(I87&gt;=H87,"RKJ01",0)</f>
        <v>0</v>
      </c>
      <c r="K87" s="36" t="str">
        <f>IF(I87&lt;H87,"L1",0)</f>
        <v>L1</v>
      </c>
      <c r="L87" s="20"/>
      <c r="M87" s="25"/>
      <c r="N87" s="40" t="s">
        <v>271</v>
      </c>
      <c r="O87" s="51"/>
      <c r="P87"/>
    </row>
    <row r="88" spans="2:16" ht="30.75" thickBot="1" x14ac:dyDescent="0.3">
      <c r="B88" s="96"/>
      <c r="C88" s="96"/>
      <c r="D88" s="103"/>
      <c r="E88" s="120"/>
      <c r="F88" s="26" t="s">
        <v>57</v>
      </c>
      <c r="G88" s="23" t="s">
        <v>60</v>
      </c>
      <c r="H88" s="26">
        <v>0.8</v>
      </c>
      <c r="I88" s="23">
        <v>1</v>
      </c>
      <c r="J88" s="46">
        <f>IF(I88&lt;H88,"RKJ01",0)</f>
        <v>0</v>
      </c>
      <c r="K88" s="47" t="str">
        <f>IF(I88&gt;=H88,"Batal",0)</f>
        <v>Batal</v>
      </c>
      <c r="L88" s="26" t="s">
        <v>130</v>
      </c>
      <c r="M88" s="26"/>
      <c r="N88" s="48" t="s">
        <v>219</v>
      </c>
      <c r="O88" s="52"/>
      <c r="P88"/>
    </row>
    <row r="89" spans="2:16" x14ac:dyDescent="0.25">
      <c r="B89" s="94" t="s">
        <v>403</v>
      </c>
      <c r="C89" s="94" t="s">
        <v>162</v>
      </c>
      <c r="D89" s="102" t="s">
        <v>143</v>
      </c>
      <c r="E89" s="118" t="s">
        <v>17</v>
      </c>
      <c r="F89" s="20" t="s">
        <v>14</v>
      </c>
      <c r="G89" s="19" t="s">
        <v>21</v>
      </c>
      <c r="H89" s="20">
        <v>150</v>
      </c>
      <c r="I89" s="19">
        <v>150</v>
      </c>
      <c r="J89" s="35" t="str">
        <f>IF(I89&gt;=H89,"RDP01",0)</f>
        <v>RDP01</v>
      </c>
      <c r="K89" s="36">
        <f>IF(I89&lt;H89,"L1",0)</f>
        <v>0</v>
      </c>
      <c r="L89" s="20"/>
      <c r="M89" s="20"/>
      <c r="N89" s="37" t="s">
        <v>272</v>
      </c>
      <c r="O89" s="51"/>
      <c r="P89"/>
    </row>
    <row r="90" spans="2:16" x14ac:dyDescent="0.25">
      <c r="B90" s="95"/>
      <c r="C90" s="95"/>
      <c r="D90" s="121"/>
      <c r="E90" s="119"/>
      <c r="F90" s="22" t="s">
        <v>28</v>
      </c>
      <c r="G90" s="21" t="s">
        <v>5</v>
      </c>
      <c r="H90" s="22" t="s">
        <v>6</v>
      </c>
      <c r="I90" s="21" t="s">
        <v>33</v>
      </c>
      <c r="J90" s="38">
        <f>IF(I90=H90,"RDP01",0)</f>
        <v>0</v>
      </c>
      <c r="K90" s="39" t="str">
        <f>IF(I90=H90,0,"R1")</f>
        <v>R1</v>
      </c>
      <c r="L90" s="22"/>
      <c r="M90" s="22"/>
      <c r="N90" s="40" t="s">
        <v>304</v>
      </c>
      <c r="O90" s="42"/>
      <c r="P90"/>
    </row>
    <row r="91" spans="2:16" ht="30.75" thickBot="1" x14ac:dyDescent="0.3">
      <c r="B91" s="96"/>
      <c r="C91" s="96"/>
      <c r="D91" s="103"/>
      <c r="E91" s="120"/>
      <c r="F91" s="26" t="s">
        <v>57</v>
      </c>
      <c r="G91" s="23" t="s">
        <v>60</v>
      </c>
      <c r="H91" s="26">
        <v>0.8</v>
      </c>
      <c r="I91" s="23">
        <v>1</v>
      </c>
      <c r="J91" s="46">
        <f>IF(I91&lt;H91,"RDP01",0)</f>
        <v>0</v>
      </c>
      <c r="K91" s="47" t="str">
        <f>IF(I91&gt;=H91,"Batal",0)</f>
        <v>Batal</v>
      </c>
      <c r="L91" s="26" t="s">
        <v>130</v>
      </c>
      <c r="M91" s="26"/>
      <c r="N91" s="48" t="s">
        <v>213</v>
      </c>
      <c r="O91" s="52" t="s">
        <v>65</v>
      </c>
      <c r="P91"/>
    </row>
    <row r="92" spans="2:16" x14ac:dyDescent="0.25">
      <c r="B92" s="94" t="s">
        <v>404</v>
      </c>
      <c r="C92" s="94" t="s">
        <v>107</v>
      </c>
      <c r="D92" s="102" t="s">
        <v>144</v>
      </c>
      <c r="E92" s="118" t="s">
        <v>132</v>
      </c>
      <c r="F92" s="20" t="s">
        <v>14</v>
      </c>
      <c r="G92" s="19" t="s">
        <v>21</v>
      </c>
      <c r="H92" s="20">
        <v>150</v>
      </c>
      <c r="I92" s="19">
        <v>100</v>
      </c>
      <c r="J92" s="35">
        <f>IF(I92&gt;=H92,"RDP02",0)</f>
        <v>0</v>
      </c>
      <c r="K92" s="36" t="str">
        <f>IF(I92&lt;H92,"L1",0)</f>
        <v>L1</v>
      </c>
      <c r="L92" s="20"/>
      <c r="M92" s="20"/>
      <c r="N92" s="37" t="s">
        <v>256</v>
      </c>
      <c r="O92" s="51"/>
      <c r="P92"/>
    </row>
    <row r="93" spans="2:16" ht="30.75" thickBot="1" x14ac:dyDescent="0.3">
      <c r="B93" s="96"/>
      <c r="C93" s="96"/>
      <c r="D93" s="103"/>
      <c r="E93" s="120"/>
      <c r="F93" s="26" t="s">
        <v>57</v>
      </c>
      <c r="G93" s="23" t="s">
        <v>60</v>
      </c>
      <c r="H93" s="26">
        <v>0.8</v>
      </c>
      <c r="I93" s="23">
        <v>1</v>
      </c>
      <c r="J93" s="46">
        <f>IF(I93&lt;H93,"RDP02",0)</f>
        <v>0</v>
      </c>
      <c r="K93" s="47" t="str">
        <f>IF(I93&gt;=H93,"Batal",0)</f>
        <v>Batal</v>
      </c>
      <c r="L93" s="26" t="s">
        <v>130</v>
      </c>
      <c r="M93" s="26"/>
      <c r="N93" s="48" t="s">
        <v>220</v>
      </c>
      <c r="O93" s="52" t="s">
        <v>65</v>
      </c>
      <c r="P93"/>
    </row>
    <row r="94" spans="2:16" ht="15" customHeight="1" x14ac:dyDescent="0.25">
      <c r="B94" s="94" t="s">
        <v>405</v>
      </c>
      <c r="C94" s="94" t="s">
        <v>108</v>
      </c>
      <c r="D94" s="102" t="s">
        <v>41</v>
      </c>
      <c r="E94" s="118" t="s">
        <v>24</v>
      </c>
      <c r="F94" s="20" t="s">
        <v>14</v>
      </c>
      <c r="G94" s="19" t="s">
        <v>21</v>
      </c>
      <c r="H94" s="20">
        <v>150</v>
      </c>
      <c r="I94" s="19">
        <v>100</v>
      </c>
      <c r="J94" s="35">
        <f>IF(I94&gt;=H94,"RKG01",0)</f>
        <v>0</v>
      </c>
      <c r="K94" s="36" t="str">
        <f>IF(I94&lt;H94,"L1",0)</f>
        <v>L1</v>
      </c>
      <c r="L94" s="20"/>
      <c r="M94" s="20"/>
      <c r="N94" s="37" t="s">
        <v>265</v>
      </c>
      <c r="O94" s="51"/>
      <c r="P94"/>
    </row>
    <row r="95" spans="2:16" ht="30.75" thickBot="1" x14ac:dyDescent="0.3">
      <c r="B95" s="96"/>
      <c r="C95" s="96"/>
      <c r="D95" s="103"/>
      <c r="E95" s="120"/>
      <c r="F95" s="26" t="s">
        <v>57</v>
      </c>
      <c r="G95" s="23" t="s">
        <v>60</v>
      </c>
      <c r="H95" s="26">
        <v>0.8</v>
      </c>
      <c r="I95" s="23">
        <v>0.5</v>
      </c>
      <c r="J95" s="46" t="str">
        <f>IF(I95&lt;H95,"RKG01",0)</f>
        <v>RKG01</v>
      </c>
      <c r="K95" s="47">
        <f>IF(I95&gt;=H95,"Batal",0)</f>
        <v>0</v>
      </c>
      <c r="L95" s="26" t="s">
        <v>130</v>
      </c>
      <c r="M95" s="26"/>
      <c r="N95" s="48" t="s">
        <v>212</v>
      </c>
      <c r="O95" s="52"/>
      <c r="P95"/>
    </row>
    <row r="96" spans="2:16" ht="15" customHeight="1" x14ac:dyDescent="0.25">
      <c r="B96" s="94" t="s">
        <v>406</v>
      </c>
      <c r="C96" s="94" t="s">
        <v>109</v>
      </c>
      <c r="D96" s="102" t="s">
        <v>42</v>
      </c>
      <c r="E96" s="118" t="s">
        <v>38</v>
      </c>
      <c r="F96" s="20" t="s">
        <v>14</v>
      </c>
      <c r="G96" s="19" t="s">
        <v>21</v>
      </c>
      <c r="H96" s="20">
        <v>150</v>
      </c>
      <c r="I96" s="19">
        <v>100</v>
      </c>
      <c r="J96" s="35">
        <f>IF(I96&gt;=H96,"RTM01",0)</f>
        <v>0</v>
      </c>
      <c r="K96" s="36" t="str">
        <f>IF(I96&lt;H96,"L1",0)</f>
        <v>L1</v>
      </c>
      <c r="L96" s="20"/>
      <c r="M96" s="20"/>
      <c r="N96" s="37" t="s">
        <v>266</v>
      </c>
      <c r="O96" s="51"/>
      <c r="P96"/>
    </row>
    <row r="97" spans="2:16" ht="30.75" thickBot="1" x14ac:dyDescent="0.3">
      <c r="B97" s="96"/>
      <c r="C97" s="96"/>
      <c r="D97" s="103"/>
      <c r="E97" s="120"/>
      <c r="F97" s="26" t="s">
        <v>57</v>
      </c>
      <c r="G97" s="23" t="s">
        <v>60</v>
      </c>
      <c r="H97" s="26">
        <v>0.8</v>
      </c>
      <c r="I97" s="23">
        <v>1</v>
      </c>
      <c r="J97" s="46">
        <f>IF(I97&lt;H97,"RTM01",0)</f>
        <v>0</v>
      </c>
      <c r="K97" s="47" t="str">
        <f>IF(I97&gt;=H97,"Batal",0)</f>
        <v>Batal</v>
      </c>
      <c r="L97" s="26" t="s">
        <v>130</v>
      </c>
      <c r="M97" s="26"/>
      <c r="N97" s="48" t="s">
        <v>211</v>
      </c>
      <c r="O97" s="52"/>
      <c r="P97"/>
    </row>
    <row r="98" spans="2:16" x14ac:dyDescent="0.25">
      <c r="B98" s="94" t="s">
        <v>407</v>
      </c>
      <c r="C98" s="94" t="s">
        <v>110</v>
      </c>
      <c r="D98" s="102" t="s">
        <v>43</v>
      </c>
      <c r="E98" s="118" t="s">
        <v>40</v>
      </c>
      <c r="F98" s="20" t="s">
        <v>14</v>
      </c>
      <c r="G98" s="19" t="s">
        <v>21</v>
      </c>
      <c r="H98" s="20">
        <v>150</v>
      </c>
      <c r="I98" s="19">
        <v>100</v>
      </c>
      <c r="J98" s="35">
        <f>IF(I98&gt;=H98,"Pintu",0)</f>
        <v>0</v>
      </c>
      <c r="K98" s="36" t="str">
        <f>IF(I98&lt;H98,"L1",0)</f>
        <v>L1</v>
      </c>
      <c r="L98" s="20"/>
      <c r="M98" s="20"/>
      <c r="N98" s="37" t="s">
        <v>267</v>
      </c>
      <c r="O98" s="51"/>
      <c r="P98"/>
    </row>
    <row r="99" spans="2:16" ht="25.5" x14ac:dyDescent="0.25">
      <c r="B99" s="95"/>
      <c r="C99" s="95"/>
      <c r="D99" s="121"/>
      <c r="E99" s="119"/>
      <c r="F99" s="22" t="s">
        <v>28</v>
      </c>
      <c r="G99" s="21" t="s">
        <v>5</v>
      </c>
      <c r="H99" s="22" t="s">
        <v>6</v>
      </c>
      <c r="I99" s="21" t="s">
        <v>33</v>
      </c>
      <c r="J99" s="38">
        <f>IF(I99=H99,"RTS01",0)</f>
        <v>0</v>
      </c>
      <c r="K99" s="39" t="str">
        <f>IF(I99=H99,0,"R1")</f>
        <v>R1</v>
      </c>
      <c r="L99" s="22"/>
      <c r="M99" s="22"/>
      <c r="N99" s="40" t="s">
        <v>302</v>
      </c>
      <c r="O99" s="42"/>
      <c r="P99"/>
    </row>
    <row r="100" spans="2:16" ht="30.75" thickBot="1" x14ac:dyDescent="0.3">
      <c r="B100" s="96"/>
      <c r="C100" s="96"/>
      <c r="D100" s="103"/>
      <c r="E100" s="120"/>
      <c r="F100" s="26" t="s">
        <v>57</v>
      </c>
      <c r="G100" s="23" t="s">
        <v>60</v>
      </c>
      <c r="H100" s="26">
        <v>0.8</v>
      </c>
      <c r="I100" s="23">
        <v>1</v>
      </c>
      <c r="J100" s="46">
        <f>IF(I100&lt;H100,"RTS01",0)</f>
        <v>0</v>
      </c>
      <c r="K100" s="47" t="str">
        <f>IF(I100&gt;=H100,"Batal",0)</f>
        <v>Batal</v>
      </c>
      <c r="L100" s="26" t="s">
        <v>298</v>
      </c>
      <c r="M100" s="26"/>
      <c r="N100" s="48" t="s">
        <v>210</v>
      </c>
      <c r="O100" s="55" t="s">
        <v>78</v>
      </c>
      <c r="P100"/>
    </row>
    <row r="101" spans="2:16" ht="15" customHeight="1" x14ac:dyDescent="0.25">
      <c r="B101" s="94" t="s">
        <v>397</v>
      </c>
      <c r="C101" s="94" t="s">
        <v>237</v>
      </c>
      <c r="D101" s="102" t="s">
        <v>145</v>
      </c>
      <c r="E101" s="118" t="s">
        <v>132</v>
      </c>
      <c r="F101" s="20" t="s">
        <v>14</v>
      </c>
      <c r="G101" s="19" t="s">
        <v>21</v>
      </c>
      <c r="H101" s="20">
        <v>150</v>
      </c>
      <c r="I101" s="19">
        <v>100</v>
      </c>
      <c r="J101" s="35">
        <f>IF(I101&gt;=H101,"RDP02",0)</f>
        <v>0</v>
      </c>
      <c r="K101" s="36" t="str">
        <f>IF(I101&lt;H101,"L1",0)</f>
        <v>L1</v>
      </c>
      <c r="L101" s="20"/>
      <c r="M101" s="20"/>
      <c r="N101" s="37" t="s">
        <v>256</v>
      </c>
      <c r="O101" s="51"/>
      <c r="P101"/>
    </row>
    <row r="102" spans="2:16" ht="30" x14ac:dyDescent="0.25">
      <c r="B102" s="95"/>
      <c r="C102" s="95"/>
      <c r="D102" s="121"/>
      <c r="E102" s="119"/>
      <c r="F102" s="22" t="s">
        <v>57</v>
      </c>
      <c r="G102" s="21" t="s">
        <v>60</v>
      </c>
      <c r="H102" s="22">
        <v>2</v>
      </c>
      <c r="I102" s="21">
        <v>1</v>
      </c>
      <c r="J102" s="38" t="str">
        <f>IF(I102&lt;H102,"RDP02",0)</f>
        <v>RDP02</v>
      </c>
      <c r="K102" s="39">
        <f>IF(I102&gt;=H102,"Batal",0)</f>
        <v>0</v>
      </c>
      <c r="L102" s="22"/>
      <c r="M102" s="22"/>
      <c r="N102" s="40" t="s">
        <v>221</v>
      </c>
      <c r="O102" s="42" t="s">
        <v>65</v>
      </c>
      <c r="P102"/>
    </row>
    <row r="103" spans="2:16" ht="30.75" thickBot="1" x14ac:dyDescent="0.3">
      <c r="B103" s="96"/>
      <c r="C103" s="96"/>
      <c r="D103" s="103"/>
      <c r="E103" s="120"/>
      <c r="F103" s="16" t="s">
        <v>28</v>
      </c>
      <c r="G103" s="21" t="s">
        <v>193</v>
      </c>
      <c r="H103" s="22" t="s">
        <v>49</v>
      </c>
      <c r="I103" s="21" t="s">
        <v>19</v>
      </c>
      <c r="J103" s="38">
        <f>IF(I103=H103,"RDP02",0)</f>
        <v>0</v>
      </c>
      <c r="K103" s="39" t="str">
        <f>IF(I103=H103,0,"E1")</f>
        <v>E1</v>
      </c>
      <c r="L103" s="22"/>
      <c r="M103" s="22"/>
      <c r="N103" s="40" t="s">
        <v>260</v>
      </c>
      <c r="O103" s="52"/>
      <c r="P103"/>
    </row>
    <row r="104" spans="2:16" ht="15" customHeight="1" x14ac:dyDescent="0.25">
      <c r="B104" s="94" t="s">
        <v>445</v>
      </c>
      <c r="C104" s="94" t="s">
        <v>164</v>
      </c>
      <c r="D104" s="102" t="s">
        <v>163</v>
      </c>
      <c r="E104" s="118" t="s">
        <v>17</v>
      </c>
      <c r="F104" s="20" t="s">
        <v>14</v>
      </c>
      <c r="G104" s="19" t="s">
        <v>21</v>
      </c>
      <c r="H104" s="20">
        <v>150</v>
      </c>
      <c r="I104" s="19">
        <v>100</v>
      </c>
      <c r="J104" s="35">
        <f>IF(I104&gt;=H104,"RDP01",0)</f>
        <v>0</v>
      </c>
      <c r="K104" s="36" t="str">
        <f>IF(I104&lt;H104,"L1",0)</f>
        <v>L1</v>
      </c>
      <c r="L104" s="20"/>
      <c r="M104" s="20"/>
      <c r="N104" s="37" t="s">
        <v>272</v>
      </c>
      <c r="O104" s="51"/>
      <c r="P104"/>
    </row>
    <row r="105" spans="2:16" ht="31.5" customHeight="1" x14ac:dyDescent="0.25">
      <c r="B105" s="95"/>
      <c r="C105" s="95"/>
      <c r="D105" s="121"/>
      <c r="E105" s="119"/>
      <c r="F105" s="22" t="s">
        <v>28</v>
      </c>
      <c r="G105" s="21" t="s">
        <v>5</v>
      </c>
      <c r="H105" s="22" t="s">
        <v>6</v>
      </c>
      <c r="I105" s="21" t="s">
        <v>6</v>
      </c>
      <c r="J105" s="38" t="str">
        <f>IF(I105=H105,"RDP01",0)</f>
        <v>RDP01</v>
      </c>
      <c r="K105" s="39">
        <f>IF(I105=H105,0,"R1")</f>
        <v>0</v>
      </c>
      <c r="L105" s="22"/>
      <c r="M105" s="22"/>
      <c r="N105" s="40" t="s">
        <v>301</v>
      </c>
      <c r="O105" s="42"/>
      <c r="P105"/>
    </row>
    <row r="106" spans="2:16" ht="31.5" customHeight="1" x14ac:dyDescent="0.25">
      <c r="B106" s="95"/>
      <c r="C106" s="95"/>
      <c r="D106" s="121"/>
      <c r="E106" s="119"/>
      <c r="F106" s="22" t="s">
        <v>57</v>
      </c>
      <c r="G106" s="21" t="s">
        <v>60</v>
      </c>
      <c r="H106" s="22">
        <v>2</v>
      </c>
      <c r="I106" s="21">
        <v>1</v>
      </c>
      <c r="J106" s="38" t="str">
        <f>IF(I106&lt;=H106,"RDP01",0)</f>
        <v>RDP01</v>
      </c>
      <c r="K106" s="39">
        <f>IF(I106&gt;H106,"Batal",0)</f>
        <v>0</v>
      </c>
      <c r="L106" s="22"/>
      <c r="M106" s="22"/>
      <c r="N106" s="40" t="s">
        <v>225</v>
      </c>
      <c r="O106" s="42"/>
      <c r="P106"/>
    </row>
    <row r="107" spans="2:16" ht="30" customHeight="1" x14ac:dyDescent="0.25">
      <c r="B107" s="95"/>
      <c r="C107" s="95"/>
      <c r="D107" s="121"/>
      <c r="E107" s="119"/>
      <c r="F107" s="144" t="s">
        <v>20</v>
      </c>
      <c r="G107" s="21" t="s">
        <v>98</v>
      </c>
      <c r="H107" s="22">
        <v>5</v>
      </c>
      <c r="I107" s="21">
        <v>5</v>
      </c>
      <c r="J107" s="38" t="str">
        <f>IF(I107&gt;=H107,"RDP01",0)</f>
        <v>RDP01</v>
      </c>
      <c r="K107" s="39">
        <f>IF(I107&gt;=H107,0,"Batal")</f>
        <v>0</v>
      </c>
      <c r="L107" s="22"/>
      <c r="M107" s="22"/>
      <c r="N107" s="40" t="s">
        <v>226</v>
      </c>
      <c r="O107" s="42"/>
      <c r="P107"/>
    </row>
    <row r="108" spans="2:16" x14ac:dyDescent="0.25">
      <c r="B108" s="95"/>
      <c r="C108" s="95"/>
      <c r="D108" s="121"/>
      <c r="E108" s="119"/>
      <c r="F108" s="141"/>
      <c r="G108" s="21" t="s">
        <v>50</v>
      </c>
      <c r="H108" s="22" t="s">
        <v>15</v>
      </c>
      <c r="I108" s="21" t="s">
        <v>15</v>
      </c>
      <c r="J108" s="38" t="str">
        <f>IF(I108=H108,"Kompor",0)</f>
        <v>Kompor</v>
      </c>
      <c r="K108" s="39">
        <f>IF(I108=H108,0,"Batal")</f>
        <v>0</v>
      </c>
      <c r="L108" s="22"/>
      <c r="M108" s="22"/>
      <c r="N108" s="40" t="s">
        <v>82</v>
      </c>
      <c r="O108" s="42"/>
      <c r="P108"/>
    </row>
    <row r="109" spans="2:16" ht="15.75" thickBot="1" x14ac:dyDescent="0.3">
      <c r="B109" s="96"/>
      <c r="C109" s="96"/>
      <c r="D109" s="103"/>
      <c r="E109" s="120"/>
      <c r="F109" s="16" t="s">
        <v>28</v>
      </c>
      <c r="G109" s="23" t="s">
        <v>62</v>
      </c>
      <c r="H109" s="26" t="s">
        <v>222</v>
      </c>
      <c r="I109" s="23" t="s">
        <v>222</v>
      </c>
      <c r="J109" s="46" t="str">
        <f>IF(I109=H109,"D1",0)</f>
        <v>D1</v>
      </c>
      <c r="K109" s="47">
        <f>IF(I109=H109,0,"Batal")</f>
        <v>0</v>
      </c>
      <c r="L109" s="26" t="s">
        <v>96</v>
      </c>
      <c r="M109" s="26"/>
      <c r="N109" s="48" t="s">
        <v>231</v>
      </c>
      <c r="O109" s="52"/>
      <c r="P109"/>
    </row>
    <row r="110" spans="2:16" ht="45.75" thickBot="1" x14ac:dyDescent="0.3">
      <c r="B110" s="74" t="s">
        <v>393</v>
      </c>
      <c r="C110" s="74" t="s">
        <v>409</v>
      </c>
      <c r="D110" s="68" t="s">
        <v>355</v>
      </c>
      <c r="E110" s="67" t="s">
        <v>337</v>
      </c>
      <c r="F110" s="20" t="s">
        <v>341</v>
      </c>
      <c r="G110" s="19" t="s">
        <v>339</v>
      </c>
      <c r="H110" s="20" t="s">
        <v>347</v>
      </c>
      <c r="I110" s="19" t="s">
        <v>347</v>
      </c>
      <c r="J110" s="35" t="str">
        <f>IF(I110=H110,"B1","0")</f>
        <v>B1</v>
      </c>
      <c r="K110" s="36">
        <f>IF(I110=H110,0,"Batal")</f>
        <v>0</v>
      </c>
      <c r="L110" s="20" t="s">
        <v>343</v>
      </c>
      <c r="M110" s="20"/>
      <c r="N110" s="37" t="s">
        <v>345</v>
      </c>
      <c r="O110" s="75" t="s">
        <v>372</v>
      </c>
      <c r="P110"/>
    </row>
    <row r="111" spans="2:16" ht="25.5" x14ac:dyDescent="0.25">
      <c r="B111" s="94" t="s">
        <v>408</v>
      </c>
      <c r="C111" s="94" t="s">
        <v>111</v>
      </c>
      <c r="D111" s="102" t="s">
        <v>146</v>
      </c>
      <c r="E111" s="118" t="s">
        <v>30</v>
      </c>
      <c r="F111" s="20" t="s">
        <v>28</v>
      </c>
      <c r="G111" s="19" t="s">
        <v>5</v>
      </c>
      <c r="H111" s="20" t="s">
        <v>6</v>
      </c>
      <c r="I111" s="19" t="s">
        <v>6</v>
      </c>
      <c r="J111" s="35" t="str">
        <f>IF(I111=H111,"RTU01",0)</f>
        <v>RTU01</v>
      </c>
      <c r="K111" s="36">
        <f>IF(I111=H111,0,"R1")</f>
        <v>0</v>
      </c>
      <c r="L111" s="20"/>
      <c r="M111" s="20"/>
      <c r="N111" s="37" t="s">
        <v>305</v>
      </c>
      <c r="O111" s="75"/>
      <c r="P111"/>
    </row>
    <row r="112" spans="2:16" x14ac:dyDescent="0.25">
      <c r="B112" s="95"/>
      <c r="C112" s="95"/>
      <c r="D112" s="121"/>
      <c r="E112" s="119"/>
      <c r="F112" s="22" t="s">
        <v>14</v>
      </c>
      <c r="G112" s="21" t="s">
        <v>21</v>
      </c>
      <c r="H112" s="22">
        <v>150</v>
      </c>
      <c r="I112" s="21">
        <v>80</v>
      </c>
      <c r="J112" s="38">
        <f>IF(I112&gt;=H112,"L2",0)</f>
        <v>0</v>
      </c>
      <c r="K112" s="39" t="str">
        <f>IF(I112&gt;=H112,0,"L1")</f>
        <v>L1</v>
      </c>
      <c r="L112" s="22"/>
      <c r="M112" s="22"/>
      <c r="N112" s="40" t="s">
        <v>273</v>
      </c>
      <c r="O112" s="42"/>
      <c r="P112"/>
    </row>
    <row r="113" spans="2:16" ht="30" x14ac:dyDescent="0.25">
      <c r="B113" s="95"/>
      <c r="C113" s="95"/>
      <c r="D113" s="121"/>
      <c r="E113" s="119"/>
      <c r="F113" s="22" t="s">
        <v>234</v>
      </c>
      <c r="G113" s="21" t="s">
        <v>64</v>
      </c>
      <c r="H113" s="22">
        <v>24</v>
      </c>
      <c r="I113" s="21">
        <v>24</v>
      </c>
      <c r="J113" s="38" t="str">
        <f>IF(I113&lt;=H113,"E2",0)</f>
        <v>E2</v>
      </c>
      <c r="K113" s="39">
        <f>IF(I113&lt;=H113,0,0)</f>
        <v>0</v>
      </c>
      <c r="L113" s="22"/>
      <c r="M113" s="22"/>
      <c r="N113" s="40" t="s">
        <v>232</v>
      </c>
      <c r="O113" s="42"/>
      <c r="P113"/>
    </row>
    <row r="114" spans="2:16" ht="45.75" thickBot="1" x14ac:dyDescent="0.3">
      <c r="B114" s="96"/>
      <c r="C114" s="96"/>
      <c r="D114" s="103"/>
      <c r="E114" s="120"/>
      <c r="F114" s="29" t="s">
        <v>340</v>
      </c>
      <c r="G114" s="28" t="s">
        <v>373</v>
      </c>
      <c r="H114" s="29">
        <v>8</v>
      </c>
      <c r="I114" s="28">
        <v>7</v>
      </c>
      <c r="J114" s="63" t="str">
        <f>IF(I114&lt;=H114,"I1","0")</f>
        <v>I1</v>
      </c>
      <c r="K114" s="64">
        <f>IF(I114&lt;=H114,0,"Batal")</f>
        <v>0</v>
      </c>
      <c r="L114" s="29" t="s">
        <v>378</v>
      </c>
      <c r="M114" s="29"/>
      <c r="N114" s="65" t="s">
        <v>376</v>
      </c>
      <c r="O114" s="77" t="s">
        <v>377</v>
      </c>
      <c r="P114"/>
    </row>
    <row r="115" spans="2:16" x14ac:dyDescent="0.25">
      <c r="B115" s="94" t="s">
        <v>444</v>
      </c>
      <c r="C115" s="94" t="s">
        <v>443</v>
      </c>
      <c r="D115" s="102" t="s">
        <v>147</v>
      </c>
      <c r="E115" s="118" t="s">
        <v>132</v>
      </c>
      <c r="F115" s="20" t="s">
        <v>14</v>
      </c>
      <c r="G115" s="19" t="s">
        <v>21</v>
      </c>
      <c r="H115" s="20">
        <v>150</v>
      </c>
      <c r="I115" s="19">
        <v>100</v>
      </c>
      <c r="J115" s="35">
        <f>IF(I115&gt;=H115,"RDP02",0)</f>
        <v>0</v>
      </c>
      <c r="K115" s="36" t="str">
        <f>IF(I115&lt;H115,"L1",0)</f>
        <v>L1</v>
      </c>
      <c r="L115" s="20"/>
      <c r="M115" s="20"/>
      <c r="N115" s="37" t="s">
        <v>256</v>
      </c>
      <c r="O115" s="51"/>
      <c r="P115"/>
    </row>
    <row r="116" spans="2:16" ht="30" x14ac:dyDescent="0.25">
      <c r="B116" s="95"/>
      <c r="C116" s="95"/>
      <c r="D116" s="121"/>
      <c r="E116" s="119"/>
      <c r="F116" s="22" t="s">
        <v>57</v>
      </c>
      <c r="G116" s="21" t="s">
        <v>60</v>
      </c>
      <c r="H116" s="22">
        <v>2</v>
      </c>
      <c r="I116" s="21">
        <v>1</v>
      </c>
      <c r="J116" s="38" t="str">
        <f>IF(I116&lt;=H116,"RDP02",0)</f>
        <v>RDP02</v>
      </c>
      <c r="K116" s="39">
        <f>IF(I116&gt;H116,"Batal",0)</f>
        <v>0</v>
      </c>
      <c r="L116" s="22"/>
      <c r="M116" s="22"/>
      <c r="N116" s="40" t="s">
        <v>233</v>
      </c>
      <c r="O116" s="42"/>
      <c r="P116"/>
    </row>
    <row r="117" spans="2:16" ht="30.75" thickBot="1" x14ac:dyDescent="0.3">
      <c r="B117" s="96"/>
      <c r="C117" s="96"/>
      <c r="D117" s="103"/>
      <c r="E117" s="120"/>
      <c r="F117" s="29" t="s">
        <v>20</v>
      </c>
      <c r="G117" s="28" t="s">
        <v>59</v>
      </c>
      <c r="H117" s="29">
        <v>200</v>
      </c>
      <c r="I117" s="28">
        <v>1000</v>
      </c>
      <c r="J117" s="38" t="str">
        <f>IF(I117&gt;=H117,"RDP02",0)</f>
        <v>RDP02</v>
      </c>
      <c r="K117" s="39">
        <f>IF(I117&lt;H117,"Batal",0)</f>
        <v>0</v>
      </c>
      <c r="L117" s="29" t="s">
        <v>130</v>
      </c>
      <c r="M117" s="79"/>
      <c r="N117" s="40" t="s">
        <v>328</v>
      </c>
      <c r="O117" s="56" t="s">
        <v>253</v>
      </c>
      <c r="P117"/>
    </row>
    <row r="118" spans="2:16" ht="45" customHeight="1" x14ac:dyDescent="0.25">
      <c r="B118" s="94" t="s">
        <v>410</v>
      </c>
      <c r="C118" s="94" t="s">
        <v>409</v>
      </c>
      <c r="D118" s="122" t="s">
        <v>355</v>
      </c>
      <c r="E118" s="112" t="s">
        <v>337</v>
      </c>
      <c r="F118" s="20" t="s">
        <v>341</v>
      </c>
      <c r="G118" s="19" t="s">
        <v>339</v>
      </c>
      <c r="H118" s="20" t="s">
        <v>347</v>
      </c>
      <c r="I118" s="19" t="s">
        <v>347</v>
      </c>
      <c r="J118" s="35" t="str">
        <f>IF(I118=H118,"B1","0")</f>
        <v>B1</v>
      </c>
      <c r="K118" s="36">
        <f>IF(I118=H118,0,"Batal")</f>
        <v>0</v>
      </c>
      <c r="L118" s="20" t="s">
        <v>343</v>
      </c>
      <c r="M118" s="20"/>
      <c r="N118" s="37" t="s">
        <v>345</v>
      </c>
      <c r="O118" s="75"/>
      <c r="P118"/>
    </row>
    <row r="119" spans="2:16" ht="30" x14ac:dyDescent="0.25">
      <c r="B119" s="95"/>
      <c r="C119" s="95"/>
      <c r="D119" s="123"/>
      <c r="E119" s="113"/>
      <c r="F119" s="22" t="s">
        <v>361</v>
      </c>
      <c r="G119" s="21" t="s">
        <v>362</v>
      </c>
      <c r="H119" s="22" t="s">
        <v>363</v>
      </c>
      <c r="I119" s="21" t="s">
        <v>363</v>
      </c>
      <c r="J119" s="38" t="str">
        <f>IF(I119=H119,"B1","0")</f>
        <v>B1</v>
      </c>
      <c r="K119" s="39">
        <f>IF(I119=H119,0,"Batal")</f>
        <v>0</v>
      </c>
      <c r="L119" s="22" t="s">
        <v>343</v>
      </c>
      <c r="M119" s="22"/>
      <c r="N119" s="40" t="s">
        <v>345</v>
      </c>
      <c r="O119" s="10"/>
      <c r="P119"/>
    </row>
    <row r="120" spans="2:16" ht="60.75" thickBot="1" x14ac:dyDescent="0.3">
      <c r="B120" s="96"/>
      <c r="C120" s="96"/>
      <c r="D120" s="124"/>
      <c r="E120" s="114"/>
      <c r="F120" s="29" t="s">
        <v>340</v>
      </c>
      <c r="G120" s="28" t="s">
        <v>379</v>
      </c>
      <c r="H120" s="29">
        <v>6</v>
      </c>
      <c r="I120" s="28">
        <v>7</v>
      </c>
      <c r="J120" s="63" t="str">
        <f>IF(I120&gt;=H120,"I1","0")</f>
        <v>I1</v>
      </c>
      <c r="K120" s="64">
        <f>IF(I120&gt;=H120,0,"Batal")</f>
        <v>0</v>
      </c>
      <c r="L120" s="29" t="s">
        <v>389</v>
      </c>
      <c r="M120" s="29"/>
      <c r="N120" s="65" t="s">
        <v>381</v>
      </c>
      <c r="O120" s="77" t="s">
        <v>390</v>
      </c>
      <c r="P120"/>
    </row>
    <row r="121" spans="2:16" ht="30" customHeight="1" x14ac:dyDescent="0.25">
      <c r="B121" s="94" t="s">
        <v>393</v>
      </c>
      <c r="C121" s="94" t="s">
        <v>411</v>
      </c>
      <c r="D121" s="115" t="s">
        <v>356</v>
      </c>
      <c r="E121" s="118" t="s">
        <v>17</v>
      </c>
      <c r="F121" s="20" t="s">
        <v>14</v>
      </c>
      <c r="G121" s="19" t="s">
        <v>21</v>
      </c>
      <c r="H121" s="20">
        <v>100</v>
      </c>
      <c r="I121" s="19">
        <v>80</v>
      </c>
      <c r="J121" s="35">
        <f>IF(I121&gt;=H121,"RDP01",0)</f>
        <v>0</v>
      </c>
      <c r="K121" s="36" t="str">
        <f>IF(I121&lt;H121,"L1",0)</f>
        <v>L1</v>
      </c>
      <c r="L121" s="20"/>
      <c r="M121" s="20"/>
      <c r="N121" s="37" t="s">
        <v>274</v>
      </c>
      <c r="O121" s="51"/>
      <c r="P121"/>
    </row>
    <row r="122" spans="2:16" ht="30" x14ac:dyDescent="0.25">
      <c r="B122" s="95"/>
      <c r="C122" s="95"/>
      <c r="D122" s="116"/>
      <c r="E122" s="119"/>
      <c r="F122" s="22" t="s">
        <v>57</v>
      </c>
      <c r="G122" s="21" t="s">
        <v>60</v>
      </c>
      <c r="H122" s="22">
        <v>0.5</v>
      </c>
      <c r="I122" s="21">
        <v>0.3</v>
      </c>
      <c r="J122" s="38" t="str">
        <f>IF(I122&lt;H122,"Tempat sampah",0)</f>
        <v>Tempat sampah</v>
      </c>
      <c r="K122" s="39">
        <f>IF(I122&gt;=H122,"Batal",0)</f>
        <v>0</v>
      </c>
      <c r="L122" s="22"/>
      <c r="M122" s="22"/>
      <c r="N122" s="40" t="s">
        <v>79</v>
      </c>
      <c r="O122" s="42"/>
      <c r="P122"/>
    </row>
    <row r="123" spans="2:16" ht="30.75" thickBot="1" x14ac:dyDescent="0.3">
      <c r="B123" s="96"/>
      <c r="C123" s="96"/>
      <c r="D123" s="117"/>
      <c r="E123" s="120"/>
      <c r="F123" s="26" t="s">
        <v>28</v>
      </c>
      <c r="G123" s="23" t="s">
        <v>354</v>
      </c>
      <c r="H123" s="26" t="s">
        <v>9</v>
      </c>
      <c r="I123" s="23" t="s">
        <v>9</v>
      </c>
      <c r="J123" s="46" t="str">
        <f>IF(I123=H123,"",0)</f>
        <v/>
      </c>
      <c r="K123" s="47">
        <f>IF(I123=H123,0,"R1")</f>
        <v>0</v>
      </c>
      <c r="L123" s="26" t="s">
        <v>293</v>
      </c>
      <c r="M123" s="26"/>
      <c r="N123" s="48" t="s">
        <v>306</v>
      </c>
      <c r="O123" s="52"/>
      <c r="P123"/>
    </row>
    <row r="124" spans="2:16" ht="15" customHeight="1" x14ac:dyDescent="0.25">
      <c r="B124" s="94" t="s">
        <v>412</v>
      </c>
      <c r="C124" s="94" t="s">
        <v>165</v>
      </c>
      <c r="D124" s="115" t="s">
        <v>148</v>
      </c>
      <c r="E124" s="118" t="s">
        <v>17</v>
      </c>
      <c r="F124" s="20" t="s">
        <v>14</v>
      </c>
      <c r="G124" s="19" t="s">
        <v>21</v>
      </c>
      <c r="H124" s="20">
        <v>100</v>
      </c>
      <c r="I124" s="19">
        <v>80</v>
      </c>
      <c r="J124" s="35">
        <f>IF(I124&gt;=H124,"RDP01",0)</f>
        <v>0</v>
      </c>
      <c r="K124" s="36" t="str">
        <f>IF(I124&lt;H124,"L1",0)</f>
        <v>L1</v>
      </c>
      <c r="L124" s="20"/>
      <c r="M124" s="20"/>
      <c r="N124" s="37" t="s">
        <v>274</v>
      </c>
      <c r="O124" s="51"/>
      <c r="P124"/>
    </row>
    <row r="125" spans="2:16" ht="30" x14ac:dyDescent="0.25">
      <c r="B125" s="95"/>
      <c r="C125" s="95"/>
      <c r="D125" s="116"/>
      <c r="E125" s="119"/>
      <c r="F125" s="22" t="s">
        <v>57</v>
      </c>
      <c r="G125" s="21" t="s">
        <v>60</v>
      </c>
      <c r="H125" s="22">
        <v>0.5</v>
      </c>
      <c r="I125" s="21">
        <v>0.3</v>
      </c>
      <c r="J125" s="38" t="str">
        <f>IF(I125&lt;H125,"Tempat sampah",0)</f>
        <v>Tempat sampah</v>
      </c>
      <c r="K125" s="39">
        <f>IF(I125&gt;=H125,"Batal",0)</f>
        <v>0</v>
      </c>
      <c r="L125" s="22"/>
      <c r="M125" s="22"/>
      <c r="N125" s="40" t="s">
        <v>79</v>
      </c>
      <c r="O125" s="42"/>
      <c r="P125"/>
    </row>
    <row r="126" spans="2:16" ht="26.25" thickBot="1" x14ac:dyDescent="0.3">
      <c r="B126" s="96"/>
      <c r="C126" s="96"/>
      <c r="D126" s="117"/>
      <c r="E126" s="120"/>
      <c r="F126" s="26" t="s">
        <v>28</v>
      </c>
      <c r="G126" s="23" t="s">
        <v>5</v>
      </c>
      <c r="H126" s="26" t="s">
        <v>6</v>
      </c>
      <c r="I126" s="23" t="s">
        <v>6</v>
      </c>
      <c r="J126" s="46" t="str">
        <f>IF(I126=H126,"RHD01",0)</f>
        <v>RHD01</v>
      </c>
      <c r="K126" s="47">
        <f>IF(I126=H126,0,"R1")</f>
        <v>0</v>
      </c>
      <c r="L126" s="26" t="s">
        <v>293</v>
      </c>
      <c r="M126" s="26"/>
      <c r="N126" s="48" t="s">
        <v>306</v>
      </c>
      <c r="O126" s="52"/>
      <c r="P126"/>
    </row>
    <row r="127" spans="2:16" x14ac:dyDescent="0.25">
      <c r="B127" s="94" t="s">
        <v>413</v>
      </c>
      <c r="C127" s="94" t="s">
        <v>166</v>
      </c>
      <c r="D127" s="102" t="s">
        <v>149</v>
      </c>
      <c r="E127" s="118" t="s">
        <v>18</v>
      </c>
      <c r="F127" s="20" t="s">
        <v>14</v>
      </c>
      <c r="G127" s="19" t="s">
        <v>21</v>
      </c>
      <c r="H127" s="20">
        <v>100</v>
      </c>
      <c r="I127" s="19">
        <v>80</v>
      </c>
      <c r="J127" s="35">
        <f>IF(I127&gt;=H127,"RDP01",0)</f>
        <v>0</v>
      </c>
      <c r="K127" s="36" t="str">
        <f>IF(I127&lt;H127,"L1",0)</f>
        <v>L1</v>
      </c>
      <c r="L127" s="20"/>
      <c r="M127" s="20"/>
      <c r="N127" s="37" t="s">
        <v>274</v>
      </c>
      <c r="O127" s="51"/>
      <c r="P127"/>
    </row>
    <row r="128" spans="2:16" ht="30" x14ac:dyDescent="0.25">
      <c r="B128" s="95"/>
      <c r="C128" s="95"/>
      <c r="D128" s="121"/>
      <c r="E128" s="119"/>
      <c r="F128" s="22" t="s">
        <v>57</v>
      </c>
      <c r="G128" s="21" t="s">
        <v>60</v>
      </c>
      <c r="H128" s="22">
        <v>0.5</v>
      </c>
      <c r="I128" s="21">
        <v>0.2</v>
      </c>
      <c r="J128" s="38" t="str">
        <f>IF(I128&lt;H128,"Tempat sampah",0)</f>
        <v>Tempat sampah</v>
      </c>
      <c r="K128" s="39">
        <f>IF(I128&gt;=H128,"Batal",0)</f>
        <v>0</v>
      </c>
      <c r="L128" s="22"/>
      <c r="M128" s="22"/>
      <c r="N128" s="40" t="s">
        <v>79</v>
      </c>
      <c r="O128" s="42"/>
      <c r="P128"/>
    </row>
    <row r="129" spans="2:16" ht="26.25" thickBot="1" x14ac:dyDescent="0.3">
      <c r="B129" s="96"/>
      <c r="C129" s="96"/>
      <c r="D129" s="103"/>
      <c r="E129" s="120"/>
      <c r="F129" s="26" t="s">
        <v>28</v>
      </c>
      <c r="G129" s="23" t="s">
        <v>5</v>
      </c>
      <c r="H129" s="26" t="s">
        <v>6</v>
      </c>
      <c r="I129" s="23" t="s">
        <v>6</v>
      </c>
      <c r="J129" s="46" t="str">
        <f>IF(I129=H129,"RHD01",0)</f>
        <v>RHD01</v>
      </c>
      <c r="K129" s="47">
        <f>IF(I129=H129,0,"R1")</f>
        <v>0</v>
      </c>
      <c r="L129" s="26" t="s">
        <v>293</v>
      </c>
      <c r="M129" s="26"/>
      <c r="N129" s="48" t="s">
        <v>306</v>
      </c>
      <c r="O129" s="52"/>
      <c r="P129"/>
    </row>
    <row r="130" spans="2:16" x14ac:dyDescent="0.25">
      <c r="B130" s="99" t="s">
        <v>397</v>
      </c>
      <c r="C130" s="94" t="s">
        <v>168</v>
      </c>
      <c r="D130" s="115" t="s">
        <v>167</v>
      </c>
      <c r="E130" s="118" t="s">
        <v>17</v>
      </c>
      <c r="F130" s="20" t="s">
        <v>14</v>
      </c>
      <c r="G130" s="19" t="s">
        <v>21</v>
      </c>
      <c r="H130" s="20">
        <v>150</v>
      </c>
      <c r="I130" s="19">
        <v>100</v>
      </c>
      <c r="J130" s="35">
        <f>IF(I130&gt;=H130,"RDP01",0)</f>
        <v>0</v>
      </c>
      <c r="K130" s="36" t="str">
        <f>IF(I130&lt;H130,"L1",0)</f>
        <v>L1</v>
      </c>
      <c r="L130" s="20"/>
      <c r="M130" s="20"/>
      <c r="N130" s="37" t="s">
        <v>272</v>
      </c>
      <c r="O130" s="51"/>
      <c r="P130"/>
    </row>
    <row r="131" spans="2:16" ht="25.5" x14ac:dyDescent="0.25">
      <c r="B131" s="100"/>
      <c r="C131" s="95"/>
      <c r="D131" s="116"/>
      <c r="E131" s="119"/>
      <c r="F131" s="22" t="s">
        <v>28</v>
      </c>
      <c r="G131" s="21" t="s">
        <v>5</v>
      </c>
      <c r="H131" s="22" t="s">
        <v>6</v>
      </c>
      <c r="I131" s="21" t="s">
        <v>6</v>
      </c>
      <c r="J131" s="38" t="str">
        <f>IF(I131=H131,"RDP01",0)</f>
        <v>RDP01</v>
      </c>
      <c r="K131" s="39">
        <f>IF(I131=H131,0,"R1")</f>
        <v>0</v>
      </c>
      <c r="L131" s="22"/>
      <c r="M131" s="22"/>
      <c r="N131" s="40" t="s">
        <v>301</v>
      </c>
      <c r="O131" s="42"/>
      <c r="P131"/>
    </row>
    <row r="132" spans="2:16" ht="30" x14ac:dyDescent="0.25">
      <c r="B132" s="100"/>
      <c r="C132" s="95"/>
      <c r="D132" s="116"/>
      <c r="E132" s="119"/>
      <c r="F132" s="22" t="s">
        <v>57</v>
      </c>
      <c r="G132" s="21" t="s">
        <v>60</v>
      </c>
      <c r="H132" s="22">
        <v>2</v>
      </c>
      <c r="I132" s="21">
        <v>2</v>
      </c>
      <c r="J132" s="38" t="str">
        <f>IF(I132&lt;=H132,"RDP01",0)</f>
        <v>RDP01</v>
      </c>
      <c r="K132" s="39">
        <f>IF(I132&gt;H132,"Batal",0)</f>
        <v>0</v>
      </c>
      <c r="L132" s="22"/>
      <c r="M132" s="22"/>
      <c r="N132" s="40" t="s">
        <v>225</v>
      </c>
      <c r="O132" s="42"/>
      <c r="P132"/>
    </row>
    <row r="133" spans="2:16" ht="30" x14ac:dyDescent="0.25">
      <c r="B133" s="100"/>
      <c r="C133" s="95"/>
      <c r="D133" s="116"/>
      <c r="E133" s="119"/>
      <c r="F133" s="18" t="s">
        <v>20</v>
      </c>
      <c r="G133" s="21" t="s">
        <v>50</v>
      </c>
      <c r="H133" s="22" t="s">
        <v>15</v>
      </c>
      <c r="I133" s="21" t="s">
        <v>15</v>
      </c>
      <c r="J133" s="38" t="str">
        <f>IF(I133=H133,"Kompor",0)</f>
        <v>Kompor</v>
      </c>
      <c r="K133" s="39">
        <f>IF(I133=H133,0,"Batal")</f>
        <v>0</v>
      </c>
      <c r="L133" s="22"/>
      <c r="M133" s="22"/>
      <c r="N133" s="40" t="s">
        <v>82</v>
      </c>
      <c r="O133" s="42"/>
      <c r="P133"/>
    </row>
    <row r="134" spans="2:16" ht="15.75" thickBot="1" x14ac:dyDescent="0.3">
      <c r="B134" s="101"/>
      <c r="C134" s="96"/>
      <c r="D134" s="117"/>
      <c r="E134" s="120"/>
      <c r="F134" s="16" t="s">
        <v>28</v>
      </c>
      <c r="G134" s="23" t="s">
        <v>62</v>
      </c>
      <c r="H134" s="26" t="s">
        <v>222</v>
      </c>
      <c r="I134" s="23" t="s">
        <v>222</v>
      </c>
      <c r="J134" s="46" t="str">
        <f>IF(I134=H134,"D1",0)</f>
        <v>D1</v>
      </c>
      <c r="K134" s="47">
        <f>IF(I134=H134,0,"Batal")</f>
        <v>0</v>
      </c>
      <c r="L134" s="26" t="s">
        <v>96</v>
      </c>
      <c r="M134" s="26"/>
      <c r="N134" s="48" t="s">
        <v>231</v>
      </c>
      <c r="O134" s="52"/>
      <c r="P134"/>
    </row>
    <row r="135" spans="2:16" ht="39" customHeight="1" thickBot="1" x14ac:dyDescent="0.3">
      <c r="B135" s="94" t="s">
        <v>418</v>
      </c>
      <c r="C135" s="94" t="s">
        <v>414</v>
      </c>
      <c r="D135" s="122" t="s">
        <v>357</v>
      </c>
      <c r="E135" s="118" t="s">
        <v>135</v>
      </c>
      <c r="F135" s="20" t="s">
        <v>14</v>
      </c>
      <c r="G135" s="19" t="s">
        <v>21</v>
      </c>
      <c r="H135" s="20">
        <v>150</v>
      </c>
      <c r="I135" s="19">
        <v>100</v>
      </c>
      <c r="J135" s="35">
        <f>IF(I135&gt;=H135,"RKG01",0)</f>
        <v>0</v>
      </c>
      <c r="K135" s="36" t="str">
        <f>IF(I135&lt;H135,"L1",0)</f>
        <v>L1</v>
      </c>
      <c r="L135" s="20"/>
      <c r="M135" s="20"/>
      <c r="N135" s="37" t="s">
        <v>265</v>
      </c>
      <c r="O135" s="75" t="s">
        <v>69</v>
      </c>
      <c r="P135"/>
    </row>
    <row r="136" spans="2:16" ht="38.25" x14ac:dyDescent="0.25">
      <c r="B136" s="95"/>
      <c r="C136" s="95"/>
      <c r="D136" s="123"/>
      <c r="E136" s="125"/>
      <c r="F136" s="22" t="s">
        <v>28</v>
      </c>
      <c r="G136" s="21" t="s">
        <v>5</v>
      </c>
      <c r="H136" s="22" t="s">
        <v>6</v>
      </c>
      <c r="I136" s="21" t="s">
        <v>6</v>
      </c>
      <c r="J136" s="38" t="str">
        <f>IF(I136=H136,"RKM02",0)</f>
        <v>RKM02</v>
      </c>
      <c r="K136" s="39">
        <f>IF(I136=H136,0,"R1")</f>
        <v>0</v>
      </c>
      <c r="L136" s="22"/>
      <c r="M136" s="22"/>
      <c r="N136" s="40" t="s">
        <v>367</v>
      </c>
      <c r="O136" s="32" t="s">
        <v>353</v>
      </c>
      <c r="P136"/>
    </row>
    <row r="137" spans="2:16" x14ac:dyDescent="0.25">
      <c r="B137" s="95"/>
      <c r="C137" s="95"/>
      <c r="D137" s="123"/>
      <c r="E137" s="119" t="s">
        <v>327</v>
      </c>
      <c r="F137" s="25" t="s">
        <v>14</v>
      </c>
      <c r="G137" s="24" t="s">
        <v>21</v>
      </c>
      <c r="H137" s="25">
        <v>150</v>
      </c>
      <c r="I137" s="24">
        <v>100</v>
      </c>
      <c r="J137" s="43">
        <f>IF(I137&gt;=H137,"RTM01",0)</f>
        <v>0</v>
      </c>
      <c r="K137" s="44" t="str">
        <f>IF(I137&lt;H137,"L1",0)</f>
        <v>L1</v>
      </c>
      <c r="L137" s="25"/>
      <c r="M137" s="25"/>
      <c r="N137" s="45" t="s">
        <v>266</v>
      </c>
      <c r="O137" s="32"/>
      <c r="P137"/>
    </row>
    <row r="138" spans="2:16" ht="39" thickBot="1" x14ac:dyDescent="0.3">
      <c r="B138" s="96"/>
      <c r="C138" s="96"/>
      <c r="D138" s="124"/>
      <c r="E138" s="126"/>
      <c r="F138" s="22" t="s">
        <v>28</v>
      </c>
      <c r="G138" s="21" t="s">
        <v>5</v>
      </c>
      <c r="H138" s="22" t="s">
        <v>6</v>
      </c>
      <c r="I138" s="21" t="s">
        <v>6</v>
      </c>
      <c r="J138" s="38" t="str">
        <f>IF(I138=H138,"RKM04",0)</f>
        <v>RKM04</v>
      </c>
      <c r="K138" s="39">
        <f>IF(I138=H138,0,"Batal")</f>
        <v>0</v>
      </c>
      <c r="L138" s="22" t="s">
        <v>293</v>
      </c>
      <c r="M138" s="58"/>
      <c r="N138" s="48" t="s">
        <v>366</v>
      </c>
      <c r="O138" s="13" t="s">
        <v>353</v>
      </c>
      <c r="P138"/>
    </row>
    <row r="139" spans="2:16" ht="51.75" thickBot="1" x14ac:dyDescent="0.3">
      <c r="B139" s="92" t="s">
        <v>417</v>
      </c>
      <c r="C139" s="92" t="s">
        <v>409</v>
      </c>
      <c r="D139" s="68" t="s">
        <v>355</v>
      </c>
      <c r="E139" s="67" t="s">
        <v>337</v>
      </c>
      <c r="F139" s="20" t="s">
        <v>341</v>
      </c>
      <c r="G139" s="19" t="s">
        <v>339</v>
      </c>
      <c r="H139" s="20" t="s">
        <v>347</v>
      </c>
      <c r="I139" s="19" t="s">
        <v>347</v>
      </c>
      <c r="J139" s="35" t="str">
        <f>IF(I139=H139,"B1","0")</f>
        <v>B1</v>
      </c>
      <c r="K139" s="36">
        <f>IF(I139=H139,0,"Batal")</f>
        <v>0</v>
      </c>
      <c r="L139" s="20" t="s">
        <v>343</v>
      </c>
      <c r="M139" s="20"/>
      <c r="N139" s="37" t="s">
        <v>345</v>
      </c>
      <c r="O139" s="75" t="s">
        <v>371</v>
      </c>
      <c r="P139"/>
    </row>
    <row r="140" spans="2:16" ht="45.75" thickBot="1" x14ac:dyDescent="0.3">
      <c r="B140" s="92" t="s">
        <v>408</v>
      </c>
      <c r="C140" s="92" t="s">
        <v>415</v>
      </c>
      <c r="D140" s="68" t="s">
        <v>359</v>
      </c>
      <c r="E140" s="71" t="s">
        <v>368</v>
      </c>
      <c r="F140" s="109" t="s">
        <v>369</v>
      </c>
      <c r="G140" s="110"/>
      <c r="H140" s="110"/>
      <c r="I140" s="110"/>
      <c r="J140" s="110"/>
      <c r="K140" s="110"/>
      <c r="L140" s="110"/>
      <c r="M140" s="110"/>
      <c r="N140" s="110"/>
      <c r="O140" s="111"/>
      <c r="P140"/>
    </row>
    <row r="141" spans="2:16" ht="45.75" thickBot="1" x14ac:dyDescent="0.3">
      <c r="B141" s="72" t="s">
        <v>442</v>
      </c>
      <c r="C141" s="72" t="s">
        <v>416</v>
      </c>
      <c r="D141" s="83" t="s">
        <v>169</v>
      </c>
      <c r="E141" s="71" t="s">
        <v>368</v>
      </c>
      <c r="F141" s="109" t="s">
        <v>370</v>
      </c>
      <c r="G141" s="110"/>
      <c r="H141" s="110"/>
      <c r="I141" s="110"/>
      <c r="J141" s="110"/>
      <c r="K141" s="110"/>
      <c r="L141" s="110"/>
      <c r="M141" s="110"/>
      <c r="N141" s="110"/>
      <c r="O141" s="111"/>
      <c r="P141"/>
    </row>
    <row r="142" spans="2:16" ht="15" customHeight="1" x14ac:dyDescent="0.25">
      <c r="B142" s="94" t="s">
        <v>393</v>
      </c>
      <c r="C142" s="94" t="s">
        <v>426</v>
      </c>
      <c r="D142" s="102" t="s">
        <v>150</v>
      </c>
      <c r="E142" s="118" t="s">
        <v>132</v>
      </c>
      <c r="F142" s="20" t="s">
        <v>14</v>
      </c>
      <c r="G142" s="19" t="s">
        <v>21</v>
      </c>
      <c r="H142" s="20">
        <v>150</v>
      </c>
      <c r="I142" s="19">
        <v>100</v>
      </c>
      <c r="J142" s="35">
        <f>IF(I142&gt;=H142,"RDP02",0)</f>
        <v>0</v>
      </c>
      <c r="K142" s="36" t="str">
        <f>IF(I142&lt;H142,"L1",0)</f>
        <v>L1</v>
      </c>
      <c r="L142" s="20"/>
      <c r="M142" s="20"/>
      <c r="N142" s="37" t="s">
        <v>256</v>
      </c>
      <c r="O142" s="51"/>
      <c r="P142"/>
    </row>
    <row r="143" spans="2:16" ht="30" x14ac:dyDescent="0.25">
      <c r="B143" s="95"/>
      <c r="C143" s="95"/>
      <c r="D143" s="121"/>
      <c r="E143" s="119"/>
      <c r="F143" s="22" t="s">
        <v>57</v>
      </c>
      <c r="G143" s="21" t="s">
        <v>60</v>
      </c>
      <c r="H143" s="22">
        <v>2</v>
      </c>
      <c r="I143" s="21">
        <v>1</v>
      </c>
      <c r="J143" s="38" t="str">
        <f>IF(I143&lt;=H143,"RDP02",0)</f>
        <v>RDP02</v>
      </c>
      <c r="K143" s="39">
        <f>IF(I143&gt;H143,"Batal",0)</f>
        <v>0</v>
      </c>
      <c r="L143" s="22"/>
      <c r="M143" s="22"/>
      <c r="N143" s="40" t="s">
        <v>233</v>
      </c>
      <c r="O143" s="57"/>
      <c r="P143"/>
    </row>
    <row r="144" spans="2:16" ht="30.75" thickBot="1" x14ac:dyDescent="0.3">
      <c r="B144" s="96"/>
      <c r="C144" s="96"/>
      <c r="D144" s="103"/>
      <c r="E144" s="120"/>
      <c r="F144" s="29" t="s">
        <v>20</v>
      </c>
      <c r="G144" s="28" t="s">
        <v>59</v>
      </c>
      <c r="H144" s="29">
        <v>200</v>
      </c>
      <c r="I144" s="28">
        <v>1000</v>
      </c>
      <c r="J144" s="46" t="str">
        <f>IF(I144&gt;=H144,"RDP02",0)</f>
        <v>RDP02</v>
      </c>
      <c r="K144" s="47">
        <f>IF(I144&lt;H144,"Batal",0)</f>
        <v>0</v>
      </c>
      <c r="L144" s="29"/>
      <c r="M144" s="29"/>
      <c r="N144" s="48" t="s">
        <v>328</v>
      </c>
      <c r="O144" s="52" t="s">
        <v>253</v>
      </c>
      <c r="P144"/>
    </row>
    <row r="145" spans="2:16" ht="45" customHeight="1" x14ac:dyDescent="0.25">
      <c r="B145" s="94" t="s">
        <v>419</v>
      </c>
      <c r="C145" s="94" t="s">
        <v>420</v>
      </c>
      <c r="D145" s="115" t="s">
        <v>358</v>
      </c>
      <c r="E145" s="112" t="s">
        <v>337</v>
      </c>
      <c r="F145" s="85" t="s">
        <v>341</v>
      </c>
      <c r="G145" s="86" t="s">
        <v>365</v>
      </c>
      <c r="H145" s="85" t="s">
        <v>347</v>
      </c>
      <c r="I145" s="86" t="s">
        <v>347</v>
      </c>
      <c r="J145" s="87" t="str">
        <f>IF(I145=H145,"B1","0")</f>
        <v>B1</v>
      </c>
      <c r="K145" s="88">
        <f>IF(I145=H145,0,"Batal")</f>
        <v>0</v>
      </c>
      <c r="L145" s="85" t="s">
        <v>343</v>
      </c>
      <c r="M145" s="85"/>
      <c r="N145" s="89" t="s">
        <v>345</v>
      </c>
      <c r="O145" s="75"/>
      <c r="P145"/>
    </row>
    <row r="146" spans="2:16" ht="30" x14ac:dyDescent="0.25">
      <c r="B146" s="95"/>
      <c r="C146" s="95"/>
      <c r="D146" s="116"/>
      <c r="E146" s="113"/>
      <c r="F146" s="79" t="s">
        <v>361</v>
      </c>
      <c r="G146" s="78" t="s">
        <v>362</v>
      </c>
      <c r="H146" s="79" t="s">
        <v>363</v>
      </c>
      <c r="I146" s="78" t="s">
        <v>363</v>
      </c>
      <c r="J146" s="80" t="str">
        <f>IF(I146=H146,"B1","0")</f>
        <v>B1</v>
      </c>
      <c r="K146" s="81">
        <f>IF(I146=H146,0,"Batal")</f>
        <v>0</v>
      </c>
      <c r="L146" s="79" t="s">
        <v>343</v>
      </c>
      <c r="M146" s="79"/>
      <c r="N146" s="82" t="s">
        <v>345</v>
      </c>
      <c r="O146" s="10"/>
      <c r="P146"/>
    </row>
    <row r="147" spans="2:16" ht="60.75" thickBot="1" x14ac:dyDescent="0.3">
      <c r="B147" s="96"/>
      <c r="C147" s="96"/>
      <c r="D147" s="117"/>
      <c r="E147" s="114"/>
      <c r="F147" s="29" t="s">
        <v>340</v>
      </c>
      <c r="G147" s="28" t="s">
        <v>379</v>
      </c>
      <c r="H147" s="29">
        <v>6</v>
      </c>
      <c r="I147" s="28">
        <v>7</v>
      </c>
      <c r="J147" s="63" t="str">
        <f>IF(I147&gt;=H147,"I1","0")</f>
        <v>I1</v>
      </c>
      <c r="K147" s="64">
        <f>IF(I147&gt;=H147,0,"Batal")</f>
        <v>0</v>
      </c>
      <c r="L147" s="29" t="s">
        <v>380</v>
      </c>
      <c r="M147" s="29"/>
      <c r="N147" s="65" t="s">
        <v>381</v>
      </c>
      <c r="O147" s="77" t="s">
        <v>382</v>
      </c>
      <c r="P147"/>
    </row>
    <row r="148" spans="2:16" ht="45" customHeight="1" x14ac:dyDescent="0.25">
      <c r="B148" s="94" t="s">
        <v>427</v>
      </c>
      <c r="C148" s="94" t="s">
        <v>409</v>
      </c>
      <c r="D148" s="122" t="s">
        <v>355</v>
      </c>
      <c r="E148" s="112" t="s">
        <v>337</v>
      </c>
      <c r="F148" s="85" t="s">
        <v>341</v>
      </c>
      <c r="G148" s="86" t="s">
        <v>339</v>
      </c>
      <c r="H148" s="85" t="s">
        <v>347</v>
      </c>
      <c r="I148" s="86" t="s">
        <v>347</v>
      </c>
      <c r="J148" s="87" t="str">
        <f>IF(I148=H148,"B1","0")</f>
        <v>B1</v>
      </c>
      <c r="K148" s="88">
        <f>IF(I148=H148,0,"Batal")</f>
        <v>0</v>
      </c>
      <c r="L148" s="85" t="s">
        <v>343</v>
      </c>
      <c r="M148" s="85"/>
      <c r="N148" s="89" t="s">
        <v>345</v>
      </c>
      <c r="O148" s="75"/>
      <c r="P148"/>
    </row>
    <row r="149" spans="2:16" ht="30" x14ac:dyDescent="0.25">
      <c r="B149" s="95"/>
      <c r="C149" s="95"/>
      <c r="D149" s="123"/>
      <c r="E149" s="113"/>
      <c r="F149" s="79" t="s">
        <v>361</v>
      </c>
      <c r="G149" s="78" t="s">
        <v>362</v>
      </c>
      <c r="H149" s="79" t="s">
        <v>363</v>
      </c>
      <c r="I149" s="78" t="s">
        <v>363</v>
      </c>
      <c r="J149" s="80" t="str">
        <f>IF(I149=H149,"B1","0")</f>
        <v>B1</v>
      </c>
      <c r="K149" s="81">
        <f>IF(I149=H149,0,"Batal")</f>
        <v>0</v>
      </c>
      <c r="L149" s="79" t="s">
        <v>343</v>
      </c>
      <c r="M149" s="79"/>
      <c r="N149" s="82" t="s">
        <v>345</v>
      </c>
      <c r="O149" s="10"/>
      <c r="P149"/>
    </row>
    <row r="150" spans="2:16" ht="45.75" thickBot="1" x14ac:dyDescent="0.3">
      <c r="B150" s="96"/>
      <c r="C150" s="96"/>
      <c r="D150" s="124"/>
      <c r="E150" s="114"/>
      <c r="F150" s="29" t="s">
        <v>340</v>
      </c>
      <c r="G150" s="28" t="s">
        <v>342</v>
      </c>
      <c r="H150" s="29">
        <v>8</v>
      </c>
      <c r="I150" s="28">
        <v>9</v>
      </c>
      <c r="J150" s="63" t="str">
        <f>IF(I150&gt;=H150,"A1","0")</f>
        <v>A1</v>
      </c>
      <c r="K150" s="64">
        <f>IF(I150&gt;=H150,0,"Batal")</f>
        <v>0</v>
      </c>
      <c r="L150" s="29" t="s">
        <v>359</v>
      </c>
      <c r="M150" s="29"/>
      <c r="N150" s="65" t="s">
        <v>346</v>
      </c>
      <c r="O150" s="77" t="s">
        <v>349</v>
      </c>
      <c r="P150"/>
    </row>
    <row r="151" spans="2:16" ht="45.75" customHeight="1" thickBot="1" x14ac:dyDescent="0.3">
      <c r="B151" s="94" t="s">
        <v>408</v>
      </c>
      <c r="C151" s="94" t="s">
        <v>415</v>
      </c>
      <c r="D151" s="122" t="s">
        <v>359</v>
      </c>
      <c r="E151" s="118" t="s">
        <v>24</v>
      </c>
      <c r="F151" s="20" t="s">
        <v>14</v>
      </c>
      <c r="G151" s="19" t="s">
        <v>21</v>
      </c>
      <c r="H151" s="20">
        <v>150</v>
      </c>
      <c r="I151" s="19">
        <v>100</v>
      </c>
      <c r="J151" s="35">
        <f>IF(I151&gt;=H151,"RKG01",0)</f>
        <v>0</v>
      </c>
      <c r="K151" s="36" t="str">
        <f>IF(I151&lt;H151,"L1",0)</f>
        <v>L1</v>
      </c>
      <c r="L151" s="20"/>
      <c r="M151" s="20"/>
      <c r="N151" s="37" t="s">
        <v>265</v>
      </c>
      <c r="O151" s="75" t="s">
        <v>69</v>
      </c>
      <c r="P151"/>
    </row>
    <row r="152" spans="2:16" ht="45.75" thickBot="1" x14ac:dyDescent="0.3">
      <c r="B152" s="95"/>
      <c r="C152" s="95"/>
      <c r="D152" s="123"/>
      <c r="E152" s="118"/>
      <c r="F152" s="22" t="s">
        <v>57</v>
      </c>
      <c r="G152" s="21" t="s">
        <v>67</v>
      </c>
      <c r="H152" s="22">
        <v>1</v>
      </c>
      <c r="I152" s="21">
        <v>1</v>
      </c>
      <c r="J152" s="38">
        <f>IF(I152&lt;H152,"RKG01",0)</f>
        <v>0</v>
      </c>
      <c r="K152" s="39" t="str">
        <f>IF(I152&gt;=H152,"Batal",0)</f>
        <v>Batal</v>
      </c>
      <c r="L152" s="22"/>
      <c r="M152" s="22"/>
      <c r="N152" s="40" t="s">
        <v>203</v>
      </c>
      <c r="O152" s="76" t="s">
        <v>66</v>
      </c>
      <c r="P152"/>
    </row>
    <row r="153" spans="2:16" ht="76.5" x14ac:dyDescent="0.25">
      <c r="B153" s="95"/>
      <c r="C153" s="95"/>
      <c r="D153" s="123"/>
      <c r="E153" s="125"/>
      <c r="F153" s="22" t="s">
        <v>28</v>
      </c>
      <c r="G153" s="21" t="s">
        <v>350</v>
      </c>
      <c r="H153" s="22">
        <v>2</v>
      </c>
      <c r="I153" s="21">
        <v>5</v>
      </c>
      <c r="J153" s="38" t="str">
        <f>IF(I153&gt;=H153,"Sofa",0)</f>
        <v>Sofa</v>
      </c>
      <c r="K153" s="39">
        <f>IF(I153&gt;=H153,0,"Batal")</f>
        <v>0</v>
      </c>
      <c r="L153" s="22" t="s">
        <v>360</v>
      </c>
      <c r="M153" s="22"/>
      <c r="N153" s="40" t="s">
        <v>351</v>
      </c>
      <c r="O153" s="32" t="s">
        <v>352</v>
      </c>
      <c r="P153"/>
    </row>
    <row r="154" spans="2:16" x14ac:dyDescent="0.25">
      <c r="B154" s="95"/>
      <c r="C154" s="95"/>
      <c r="D154" s="123"/>
      <c r="E154" s="119" t="s">
        <v>38</v>
      </c>
      <c r="F154" s="25" t="s">
        <v>14</v>
      </c>
      <c r="G154" s="24" t="s">
        <v>21</v>
      </c>
      <c r="H154" s="25">
        <v>150</v>
      </c>
      <c r="I154" s="24">
        <v>100</v>
      </c>
      <c r="J154" s="43">
        <f>IF(I154&gt;=H154,"RTM01",0)</f>
        <v>0</v>
      </c>
      <c r="K154" s="44" t="str">
        <f>IF(I154&lt;H154,"L1",0)</f>
        <v>L1</v>
      </c>
      <c r="L154" s="25"/>
      <c r="M154" s="25"/>
      <c r="N154" s="45" t="s">
        <v>266</v>
      </c>
      <c r="O154" s="32"/>
      <c r="P154"/>
    </row>
    <row r="155" spans="2:16" ht="45" x14ac:dyDescent="0.25">
      <c r="B155" s="95"/>
      <c r="C155" s="95"/>
      <c r="D155" s="123"/>
      <c r="E155" s="127"/>
      <c r="F155" s="22" t="s">
        <v>70</v>
      </c>
      <c r="G155" s="21" t="s">
        <v>67</v>
      </c>
      <c r="H155" s="22">
        <v>1</v>
      </c>
      <c r="I155" s="21">
        <v>1</v>
      </c>
      <c r="J155" s="38">
        <f>IF(I155&lt;H155,"RTM01",0)</f>
        <v>0</v>
      </c>
      <c r="K155" s="39" t="str">
        <f>IF(I155&gt;=H155,"Batal",0)</f>
        <v>Batal</v>
      </c>
      <c r="L155" s="22"/>
      <c r="M155" s="22"/>
      <c r="N155" s="40" t="s">
        <v>209</v>
      </c>
      <c r="O155" s="76" t="s">
        <v>66</v>
      </c>
      <c r="P155"/>
    </row>
    <row r="156" spans="2:16" ht="60.75" thickBot="1" x14ac:dyDescent="0.3">
      <c r="B156" s="96"/>
      <c r="C156" s="96"/>
      <c r="D156" s="124"/>
      <c r="E156" s="126"/>
      <c r="F156" s="26" t="s">
        <v>28</v>
      </c>
      <c r="G156" s="23" t="s">
        <v>350</v>
      </c>
      <c r="H156" s="26">
        <v>2</v>
      </c>
      <c r="I156" s="23">
        <v>3</v>
      </c>
      <c r="J156" s="46" t="str">
        <f>IF(I156&gt;=H156,"Sofa",0)</f>
        <v>Sofa</v>
      </c>
      <c r="K156" s="47">
        <f>IF(I156&gt;=H156,0,"Batal")</f>
        <v>0</v>
      </c>
      <c r="L156" s="26" t="s">
        <v>360</v>
      </c>
      <c r="M156" s="26"/>
      <c r="N156" s="48" t="s">
        <v>351</v>
      </c>
      <c r="O156" s="13" t="s">
        <v>353</v>
      </c>
      <c r="P156"/>
    </row>
    <row r="157" spans="2:16" ht="45.75" customHeight="1" thickBot="1" x14ac:dyDescent="0.3">
      <c r="B157" s="94" t="s">
        <v>421</v>
      </c>
      <c r="C157" s="94" t="s">
        <v>422</v>
      </c>
      <c r="D157" s="122" t="s">
        <v>360</v>
      </c>
      <c r="E157" s="118" t="s">
        <v>24</v>
      </c>
      <c r="F157" s="20" t="s">
        <v>14</v>
      </c>
      <c r="G157" s="19" t="s">
        <v>21</v>
      </c>
      <c r="H157" s="20">
        <v>150</v>
      </c>
      <c r="I157" s="19">
        <v>100</v>
      </c>
      <c r="J157" s="35">
        <f>IF(I157&gt;=H157,"RKG01",0)</f>
        <v>0</v>
      </c>
      <c r="K157" s="36" t="str">
        <f>IF(I157&lt;H157,"L1",0)</f>
        <v>L1</v>
      </c>
      <c r="L157" s="20"/>
      <c r="M157" s="20"/>
      <c r="N157" s="37" t="s">
        <v>265</v>
      </c>
      <c r="O157" s="75" t="s">
        <v>69</v>
      </c>
      <c r="P157"/>
    </row>
    <row r="158" spans="2:16" ht="45.75" thickBot="1" x14ac:dyDescent="0.3">
      <c r="B158" s="95"/>
      <c r="C158" s="95"/>
      <c r="D158" s="123"/>
      <c r="E158" s="118"/>
      <c r="F158" s="22" t="s">
        <v>57</v>
      </c>
      <c r="G158" s="21" t="s">
        <v>67</v>
      </c>
      <c r="H158" s="22">
        <v>1</v>
      </c>
      <c r="I158" s="21">
        <v>1</v>
      </c>
      <c r="J158" s="38">
        <f>IF(I158&lt;H158,"RKG01",0)</f>
        <v>0</v>
      </c>
      <c r="K158" s="39" t="str">
        <f>IF(I158&gt;=H158,"Batal",0)</f>
        <v>Batal</v>
      </c>
      <c r="L158" s="22"/>
      <c r="M158" s="22"/>
      <c r="N158" s="40" t="s">
        <v>203</v>
      </c>
      <c r="O158" s="76" t="s">
        <v>66</v>
      </c>
      <c r="P158"/>
    </row>
    <row r="159" spans="2:16" ht="30" x14ac:dyDescent="0.25">
      <c r="B159" s="95"/>
      <c r="C159" s="95"/>
      <c r="D159" s="123"/>
      <c r="E159" s="118"/>
      <c r="F159" s="22" t="s">
        <v>20</v>
      </c>
      <c r="G159" s="21" t="s">
        <v>58</v>
      </c>
      <c r="H159" s="22" t="s">
        <v>15</v>
      </c>
      <c r="I159" s="21" t="s">
        <v>16</v>
      </c>
      <c r="J159" s="38">
        <f>IF(I159=H159,"RKG01",0)</f>
        <v>0</v>
      </c>
      <c r="K159" s="39" t="str">
        <f>IF(I159=H159,0,"RDP02")</f>
        <v>RDP02</v>
      </c>
      <c r="L159" s="22" t="s">
        <v>130</v>
      </c>
      <c r="M159" s="22"/>
      <c r="N159" s="41" t="s">
        <v>205</v>
      </c>
      <c r="O159" s="42"/>
      <c r="P159"/>
    </row>
    <row r="160" spans="2:16" ht="38.25" x14ac:dyDescent="0.25">
      <c r="B160" s="95"/>
      <c r="C160" s="95"/>
      <c r="D160" s="123"/>
      <c r="E160" s="127" t="s">
        <v>132</v>
      </c>
      <c r="F160" s="22" t="s">
        <v>14</v>
      </c>
      <c r="G160" s="21" t="s">
        <v>21</v>
      </c>
      <c r="H160" s="22">
        <v>150</v>
      </c>
      <c r="I160" s="21">
        <v>100</v>
      </c>
      <c r="J160" s="38">
        <f>IF(I160&gt;=H160,"RDP02",0)</f>
        <v>0</v>
      </c>
      <c r="K160" s="39" t="str">
        <f>IF(I160&lt;H160,"L1",0)</f>
        <v>L1</v>
      </c>
      <c r="L160" s="22"/>
      <c r="M160" s="22"/>
      <c r="N160" s="40" t="s">
        <v>256</v>
      </c>
      <c r="O160" s="32" t="s">
        <v>69</v>
      </c>
      <c r="P160"/>
    </row>
    <row r="161" spans="2:16" ht="45" x14ac:dyDescent="0.25">
      <c r="B161" s="95"/>
      <c r="C161" s="95"/>
      <c r="D161" s="123"/>
      <c r="E161" s="127"/>
      <c r="F161" s="22" t="s">
        <v>57</v>
      </c>
      <c r="G161" s="21" t="s">
        <v>67</v>
      </c>
      <c r="H161" s="22">
        <v>1</v>
      </c>
      <c r="I161" s="21">
        <v>0.8</v>
      </c>
      <c r="J161" s="38" t="str">
        <f>IF(I161&lt;H161,"RDP02",0)</f>
        <v>RDP02</v>
      </c>
      <c r="K161" s="39">
        <f>IF(I161&gt;=H161,"Batal",0)</f>
        <v>0</v>
      </c>
      <c r="L161" s="22"/>
      <c r="M161" s="22"/>
      <c r="N161" s="40" t="s">
        <v>204</v>
      </c>
      <c r="O161" s="76" t="s">
        <v>66</v>
      </c>
      <c r="P161"/>
    </row>
    <row r="162" spans="2:16" ht="39" thickBot="1" x14ac:dyDescent="0.3">
      <c r="B162" s="96"/>
      <c r="C162" s="96"/>
      <c r="D162" s="124"/>
      <c r="E162" s="126"/>
      <c r="F162" s="26" t="s">
        <v>20</v>
      </c>
      <c r="G162" s="23" t="s">
        <v>58</v>
      </c>
      <c r="H162" s="26" t="s">
        <v>15</v>
      </c>
      <c r="I162" s="23" t="s">
        <v>16</v>
      </c>
      <c r="J162" s="46">
        <f>IF(I162=H162,"RKG01",0)</f>
        <v>0</v>
      </c>
      <c r="K162" s="47" t="str">
        <f>IF(I162=H162,0,"Batal")</f>
        <v>Batal</v>
      </c>
      <c r="L162" s="26" t="s">
        <v>130</v>
      </c>
      <c r="M162" s="26"/>
      <c r="N162" s="90" t="s">
        <v>206</v>
      </c>
      <c r="O162" s="77" t="s">
        <v>208</v>
      </c>
      <c r="P162"/>
    </row>
    <row r="163" spans="2:16" ht="45.75" thickBot="1" x14ac:dyDescent="0.3">
      <c r="B163" s="84" t="s">
        <v>423</v>
      </c>
      <c r="C163" s="84" t="s">
        <v>424</v>
      </c>
      <c r="D163" s="69" t="s">
        <v>170</v>
      </c>
      <c r="E163" s="73" t="s">
        <v>337</v>
      </c>
      <c r="F163" s="25" t="s">
        <v>341</v>
      </c>
      <c r="G163" s="24" t="s">
        <v>339</v>
      </c>
      <c r="H163" s="25" t="s">
        <v>347</v>
      </c>
      <c r="I163" s="24" t="s">
        <v>347</v>
      </c>
      <c r="J163" s="43" t="str">
        <f>IF(I163=H163,"B1","0")</f>
        <v>B1</v>
      </c>
      <c r="K163" s="44">
        <f>IF(I163=H163,0,"Batal")</f>
        <v>0</v>
      </c>
      <c r="L163" s="25" t="s">
        <v>130</v>
      </c>
      <c r="M163" s="25"/>
      <c r="N163" s="45" t="s">
        <v>345</v>
      </c>
      <c r="O163" s="32" t="s">
        <v>348</v>
      </c>
      <c r="P163"/>
    </row>
    <row r="164" spans="2:16" ht="26.25" thickBot="1" x14ac:dyDescent="0.3">
      <c r="B164" s="97" t="s">
        <v>399</v>
      </c>
      <c r="C164" s="97" t="s">
        <v>183</v>
      </c>
      <c r="D164" s="131" t="s">
        <v>199</v>
      </c>
      <c r="E164" s="118" t="s">
        <v>200</v>
      </c>
      <c r="F164" s="20" t="s">
        <v>14</v>
      </c>
      <c r="G164" s="19" t="s">
        <v>21</v>
      </c>
      <c r="H164" s="20">
        <v>120</v>
      </c>
      <c r="I164" s="19">
        <v>100</v>
      </c>
      <c r="J164" s="35">
        <f>IF(I164&gt;=H164,"RG01",0)</f>
        <v>0</v>
      </c>
      <c r="K164" s="36" t="str">
        <f>IF(I164&lt;H164,"L1",0)</f>
        <v>L1</v>
      </c>
      <c r="L164" s="20"/>
      <c r="M164" s="20"/>
      <c r="N164" s="54" t="s">
        <v>201</v>
      </c>
      <c r="O164" s="12"/>
      <c r="P164"/>
    </row>
    <row r="165" spans="2:16" ht="26.25" thickBot="1" x14ac:dyDescent="0.3">
      <c r="B165" s="98"/>
      <c r="C165" s="98"/>
      <c r="D165" s="154"/>
      <c r="E165" s="153"/>
      <c r="F165" s="26" t="s">
        <v>28</v>
      </c>
      <c r="G165" s="23" t="s">
        <v>5</v>
      </c>
      <c r="H165" s="26" t="s">
        <v>6</v>
      </c>
      <c r="I165" s="23" t="s">
        <v>6</v>
      </c>
      <c r="J165" s="46" t="str">
        <f>IF(I165=H165,"RGS01",0)</f>
        <v>RGS01</v>
      </c>
      <c r="K165" s="47">
        <f>IF(I165=H165,0,"R1")</f>
        <v>0</v>
      </c>
      <c r="L165" s="26" t="s">
        <v>293</v>
      </c>
      <c r="M165" s="26"/>
      <c r="N165" s="48" t="s">
        <v>307</v>
      </c>
      <c r="O165" s="13"/>
      <c r="P165"/>
    </row>
    <row r="166" spans="2:16" ht="25.5" customHeight="1" x14ac:dyDescent="0.25">
      <c r="B166" s="99" t="s">
        <v>393</v>
      </c>
      <c r="C166" s="99" t="s">
        <v>172</v>
      </c>
      <c r="D166" s="121" t="s">
        <v>171</v>
      </c>
      <c r="E166" s="119" t="s">
        <v>18</v>
      </c>
      <c r="F166" s="25" t="s">
        <v>14</v>
      </c>
      <c r="G166" s="24" t="s">
        <v>21</v>
      </c>
      <c r="H166" s="25">
        <v>80</v>
      </c>
      <c r="I166" s="24">
        <v>100</v>
      </c>
      <c r="J166" s="43" t="str">
        <f>IF(I166&gt;=H166,"RHD01",0)</f>
        <v>RHD01</v>
      </c>
      <c r="K166" s="44">
        <f>IF(I166&lt;H166,"L1",0)</f>
        <v>0</v>
      </c>
      <c r="L166" s="25"/>
      <c r="M166" s="25"/>
      <c r="N166" s="62" t="s">
        <v>80</v>
      </c>
      <c r="O166" s="50"/>
      <c r="P166"/>
    </row>
    <row r="167" spans="2:16" ht="25.5" x14ac:dyDescent="0.25">
      <c r="B167" s="100"/>
      <c r="C167" s="100"/>
      <c r="D167" s="121"/>
      <c r="E167" s="119"/>
      <c r="F167" s="22" t="s">
        <v>28</v>
      </c>
      <c r="G167" s="21" t="s">
        <v>5</v>
      </c>
      <c r="H167" s="22" t="s">
        <v>6</v>
      </c>
      <c r="I167" s="21" t="s">
        <v>6</v>
      </c>
      <c r="J167" s="38" t="str">
        <f>IF(I167=H167,"RHD01",0)</f>
        <v>RHD01</v>
      </c>
      <c r="K167" s="39">
        <f>IF(I167=H167,0,"R1")</f>
        <v>0</v>
      </c>
      <c r="L167" s="22"/>
      <c r="M167" s="22"/>
      <c r="N167" s="40" t="s">
        <v>306</v>
      </c>
      <c r="O167" s="42"/>
      <c r="P167"/>
    </row>
    <row r="168" spans="2:16" ht="30" x14ac:dyDescent="0.25">
      <c r="B168" s="100"/>
      <c r="C168" s="100"/>
      <c r="D168" s="121"/>
      <c r="E168" s="119"/>
      <c r="F168" s="22" t="s">
        <v>57</v>
      </c>
      <c r="G168" s="21" t="s">
        <v>60</v>
      </c>
      <c r="H168" s="22">
        <v>1</v>
      </c>
      <c r="I168" s="21">
        <v>0.8</v>
      </c>
      <c r="J168" s="38" t="str">
        <f>IF(I168&lt;=H168,"Kran air",0)</f>
        <v>Kran air</v>
      </c>
      <c r="K168" s="39">
        <f>IF(I168&gt;H168,"Batal",0)</f>
        <v>0</v>
      </c>
      <c r="L168" s="22"/>
      <c r="M168" s="22"/>
      <c r="N168" s="40" t="s">
        <v>81</v>
      </c>
      <c r="O168" s="42"/>
      <c r="P168"/>
    </row>
    <row r="169" spans="2:16" ht="30.75" thickBot="1" x14ac:dyDescent="0.3">
      <c r="B169" s="101"/>
      <c r="C169" s="101"/>
      <c r="D169" s="103"/>
      <c r="E169" s="120"/>
      <c r="F169" s="22" t="s">
        <v>20</v>
      </c>
      <c r="G169" s="21" t="s">
        <v>61</v>
      </c>
      <c r="H169" s="22">
        <v>30</v>
      </c>
      <c r="I169" s="21">
        <v>10</v>
      </c>
      <c r="J169" s="38">
        <f>IF(I169&gt;=H169,"D1",0)</f>
        <v>0</v>
      </c>
      <c r="K169" s="39" t="str">
        <f>IF(I169&gt;=H169,0,"Batal")</f>
        <v>Batal</v>
      </c>
      <c r="L169" s="22" t="s">
        <v>96</v>
      </c>
      <c r="M169" s="22"/>
      <c r="N169" s="40" t="s">
        <v>244</v>
      </c>
      <c r="O169" s="42" t="s">
        <v>252</v>
      </c>
      <c r="P169"/>
    </row>
    <row r="170" spans="2:16" x14ac:dyDescent="0.25">
      <c r="B170" s="97" t="s">
        <v>399</v>
      </c>
      <c r="C170" s="97" t="s">
        <v>112</v>
      </c>
      <c r="D170" s="102" t="s">
        <v>152</v>
      </c>
      <c r="E170" s="118" t="s">
        <v>200</v>
      </c>
      <c r="F170" s="20" t="s">
        <v>14</v>
      </c>
      <c r="G170" s="19" t="s">
        <v>21</v>
      </c>
      <c r="H170" s="20">
        <v>150</v>
      </c>
      <c r="I170" s="19">
        <v>150</v>
      </c>
      <c r="J170" s="35" t="str">
        <f>IF(I170&gt;=H170,"RGS01",0)</f>
        <v>RGS01</v>
      </c>
      <c r="K170" s="36">
        <f>IF(I170&lt;H170,"L1",0)</f>
        <v>0</v>
      </c>
      <c r="L170" s="20"/>
      <c r="M170" s="20"/>
      <c r="N170" s="37" t="s">
        <v>275</v>
      </c>
      <c r="O170" s="51" t="s">
        <v>95</v>
      </c>
      <c r="P170"/>
    </row>
    <row r="171" spans="2:16" ht="26.25" thickBot="1" x14ac:dyDescent="0.3">
      <c r="B171" s="98"/>
      <c r="C171" s="98"/>
      <c r="D171" s="103"/>
      <c r="E171" s="120"/>
      <c r="F171" s="22" t="s">
        <v>28</v>
      </c>
      <c r="G171" s="21" t="s">
        <v>5</v>
      </c>
      <c r="H171" s="22" t="s">
        <v>6</v>
      </c>
      <c r="I171" s="21" t="s">
        <v>6</v>
      </c>
      <c r="J171" s="38" t="str">
        <f>IF(I171=H171,"RGS01",0)</f>
        <v>RGS01</v>
      </c>
      <c r="K171" s="39">
        <f>IF(I171=H171,0,"R1")</f>
        <v>0</v>
      </c>
      <c r="L171" s="22" t="s">
        <v>293</v>
      </c>
      <c r="M171" s="22"/>
      <c r="N171" s="40" t="s">
        <v>307</v>
      </c>
      <c r="O171" s="42"/>
      <c r="P171"/>
    </row>
    <row r="172" spans="2:16" ht="15.75" customHeight="1" thickBot="1" x14ac:dyDescent="0.3">
      <c r="B172" s="94" t="s">
        <v>393</v>
      </c>
      <c r="C172" s="94" t="s">
        <v>173</v>
      </c>
      <c r="D172" s="102" t="s">
        <v>312</v>
      </c>
      <c r="E172" s="102" t="s">
        <v>311</v>
      </c>
      <c r="F172" s="20" t="s">
        <v>14</v>
      </c>
      <c r="G172" s="19" t="s">
        <v>21</v>
      </c>
      <c r="H172" s="20">
        <v>150</v>
      </c>
      <c r="I172" s="19">
        <v>100</v>
      </c>
      <c r="J172" s="35">
        <f>IF(I172&gt;=H172,"Pintu",0)</f>
        <v>0</v>
      </c>
      <c r="K172" s="36" t="str">
        <f>IF(I172&lt;H172,"L1",0)</f>
        <v>L1</v>
      </c>
      <c r="L172" s="20"/>
      <c r="M172" s="20"/>
      <c r="N172" s="37" t="s">
        <v>267</v>
      </c>
      <c r="O172" s="51"/>
      <c r="P172"/>
    </row>
    <row r="173" spans="2:16" ht="30.75" thickBot="1" x14ac:dyDescent="0.3">
      <c r="B173" s="95"/>
      <c r="C173" s="95"/>
      <c r="D173" s="102"/>
      <c r="E173" s="102"/>
      <c r="F173" s="22" t="s">
        <v>57</v>
      </c>
      <c r="G173" s="21" t="s">
        <v>60</v>
      </c>
      <c r="H173" s="22">
        <v>0</v>
      </c>
      <c r="I173" s="21">
        <v>0</v>
      </c>
      <c r="J173" s="38" t="str">
        <f>IF(I173&lt;=H173,"Pintu",0)</f>
        <v>Pintu</v>
      </c>
      <c r="K173" s="39">
        <f>IF(I173&gt;H173,"Batal",0)</f>
        <v>0</v>
      </c>
      <c r="L173" s="22"/>
      <c r="M173" s="22"/>
      <c r="N173" s="40" t="s">
        <v>75</v>
      </c>
      <c r="O173" s="42"/>
      <c r="P173"/>
    </row>
    <row r="174" spans="2:16" ht="26.25" thickBot="1" x14ac:dyDescent="0.3">
      <c r="B174" s="95"/>
      <c r="C174" s="95"/>
      <c r="D174" s="102"/>
      <c r="E174" s="102"/>
      <c r="F174" s="22" t="s">
        <v>28</v>
      </c>
      <c r="G174" s="21" t="s">
        <v>5</v>
      </c>
      <c r="H174" s="22" t="s">
        <v>6</v>
      </c>
      <c r="I174" s="21" t="s">
        <v>6</v>
      </c>
      <c r="J174" s="38" t="str">
        <f>IF(I174=H174,"Bak mandi",0)</f>
        <v>Bak mandi</v>
      </c>
      <c r="K174" s="39">
        <f>IF(I174=H174,0,"Batal")</f>
        <v>0</v>
      </c>
      <c r="L174" s="22" t="s">
        <v>293</v>
      </c>
      <c r="M174" s="22"/>
      <c r="N174" s="40" t="s">
        <v>73</v>
      </c>
      <c r="O174" s="42"/>
      <c r="P174"/>
    </row>
    <row r="175" spans="2:16" ht="39" thickBot="1" x14ac:dyDescent="0.3">
      <c r="B175" s="96"/>
      <c r="C175" s="96"/>
      <c r="D175" s="102"/>
      <c r="E175" s="102"/>
      <c r="F175" s="26" t="s">
        <v>20</v>
      </c>
      <c r="G175" s="23" t="s">
        <v>61</v>
      </c>
      <c r="H175" s="26">
        <v>120</v>
      </c>
      <c r="I175" s="23">
        <v>100</v>
      </c>
      <c r="J175" s="46">
        <f>IF(I175&gt;=H175,"Bak mandi",0)</f>
        <v>0</v>
      </c>
      <c r="K175" s="47" t="str">
        <f>IF(I175&gt;=H175,0,"D1")</f>
        <v>D1</v>
      </c>
      <c r="L175" s="26" t="s">
        <v>297</v>
      </c>
      <c r="M175" s="26"/>
      <c r="N175" s="48" t="s">
        <v>242</v>
      </c>
      <c r="O175" s="49" t="s">
        <v>251</v>
      </c>
      <c r="P175"/>
    </row>
    <row r="176" spans="2:16" ht="45" customHeight="1" x14ac:dyDescent="0.25">
      <c r="B176" s="94" t="s">
        <v>441</v>
      </c>
      <c r="C176" s="94" t="s">
        <v>174</v>
      </c>
      <c r="D176" s="102" t="s">
        <v>124</v>
      </c>
      <c r="E176" s="118" t="s">
        <v>133</v>
      </c>
      <c r="F176" s="20" t="s">
        <v>14</v>
      </c>
      <c r="G176" s="19" t="s">
        <v>21</v>
      </c>
      <c r="H176" s="20">
        <v>150</v>
      </c>
      <c r="I176" s="19">
        <v>150</v>
      </c>
      <c r="J176" s="35" t="str">
        <f>IF(I176&gt;=H176,"Pintu",0)</f>
        <v>Pintu</v>
      </c>
      <c r="K176" s="36">
        <f>IF(I176&lt;H176,"L1",0)</f>
        <v>0</v>
      </c>
      <c r="L176" s="20"/>
      <c r="M176" s="20"/>
      <c r="N176" s="37" t="s">
        <v>267</v>
      </c>
      <c r="O176" s="51"/>
      <c r="P176"/>
    </row>
    <row r="177" spans="2:16" ht="25.5" x14ac:dyDescent="0.25">
      <c r="B177" s="95"/>
      <c r="C177" s="95"/>
      <c r="D177" s="121"/>
      <c r="E177" s="119"/>
      <c r="F177" s="22" t="s">
        <v>28</v>
      </c>
      <c r="G177" s="21" t="s">
        <v>5</v>
      </c>
      <c r="H177" s="22" t="s">
        <v>6</v>
      </c>
      <c r="I177" s="21" t="s">
        <v>6</v>
      </c>
      <c r="J177" s="38" t="str">
        <f>IF(I177=H177,"RBK01",0)</f>
        <v>RBK01</v>
      </c>
      <c r="K177" s="39">
        <f>IF(I177=H177,0,"R1")</f>
        <v>0</v>
      </c>
      <c r="L177" s="22"/>
      <c r="M177" s="22"/>
      <c r="N177" s="40" t="s">
        <v>303</v>
      </c>
      <c r="O177" s="42"/>
      <c r="P177"/>
    </row>
    <row r="178" spans="2:16" ht="30" x14ac:dyDescent="0.25">
      <c r="B178" s="95"/>
      <c r="C178" s="95"/>
      <c r="D178" s="121"/>
      <c r="E178" s="119"/>
      <c r="F178" s="22" t="s">
        <v>57</v>
      </c>
      <c r="G178" s="21" t="s">
        <v>60</v>
      </c>
      <c r="H178" s="22">
        <v>2</v>
      </c>
      <c r="I178" s="21">
        <v>1</v>
      </c>
      <c r="J178" s="38" t="str">
        <f>IF(I178&lt;=H178,"RBK01",0)</f>
        <v>RBK01</v>
      </c>
      <c r="K178" s="39">
        <f>IF(I178&gt;H178,"Batal",0)</f>
        <v>0</v>
      </c>
      <c r="L178" s="22"/>
      <c r="M178" s="22"/>
      <c r="N178" s="40" t="s">
        <v>134</v>
      </c>
      <c r="O178" s="42"/>
      <c r="P178"/>
    </row>
    <row r="179" spans="2:16" ht="30.75" thickBot="1" x14ac:dyDescent="0.3">
      <c r="B179" s="96"/>
      <c r="C179" s="96"/>
      <c r="D179" s="103"/>
      <c r="E179" s="120"/>
      <c r="F179" s="26" t="s">
        <v>20</v>
      </c>
      <c r="G179" s="23" t="s">
        <v>61</v>
      </c>
      <c r="H179" s="26">
        <v>250</v>
      </c>
      <c r="I179" s="23">
        <v>300</v>
      </c>
      <c r="J179" s="46" t="str">
        <f>IF(I179&gt;=H179,"D1",0)</f>
        <v>D1</v>
      </c>
      <c r="K179" s="47">
        <f>IF(I179&gt;=H179,0,"Batal")</f>
        <v>0</v>
      </c>
      <c r="L179" s="26" t="s">
        <v>263</v>
      </c>
      <c r="M179" s="26"/>
      <c r="N179" s="48" t="s">
        <v>247</v>
      </c>
      <c r="O179" s="52" t="s">
        <v>252</v>
      </c>
      <c r="P179"/>
    </row>
    <row r="180" spans="2:16" ht="45" customHeight="1" x14ac:dyDescent="0.25">
      <c r="B180" s="94" t="s">
        <v>440</v>
      </c>
      <c r="C180" s="94" t="s">
        <v>175</v>
      </c>
      <c r="D180" s="102" t="s">
        <v>125</v>
      </c>
      <c r="E180" s="118" t="s">
        <v>133</v>
      </c>
      <c r="F180" s="20" t="s">
        <v>14</v>
      </c>
      <c r="G180" s="19" t="s">
        <v>21</v>
      </c>
      <c r="H180" s="20">
        <v>150</v>
      </c>
      <c r="I180" s="19">
        <v>100</v>
      </c>
      <c r="J180" s="35">
        <f>IF(I180&gt;=H180,"Pintu",0)</f>
        <v>0</v>
      </c>
      <c r="K180" s="36" t="str">
        <f>IF(I180&lt;H180,"L1",0)</f>
        <v>L1</v>
      </c>
      <c r="L180" s="20"/>
      <c r="M180" s="20"/>
      <c r="N180" s="37" t="s">
        <v>267</v>
      </c>
      <c r="O180" s="51"/>
      <c r="P180"/>
    </row>
    <row r="181" spans="2:16" ht="25.5" x14ac:dyDescent="0.25">
      <c r="B181" s="95"/>
      <c r="C181" s="95"/>
      <c r="D181" s="121"/>
      <c r="E181" s="119"/>
      <c r="F181" s="22" t="s">
        <v>28</v>
      </c>
      <c r="G181" s="21" t="s">
        <v>5</v>
      </c>
      <c r="H181" s="22" t="s">
        <v>6</v>
      </c>
      <c r="I181" s="21" t="s">
        <v>6</v>
      </c>
      <c r="J181" s="38" t="str">
        <f>IF(I181=H181,"RBK01",0)</f>
        <v>RBK01</v>
      </c>
      <c r="K181" s="39">
        <f>IF(I181=H181,0,"R1")</f>
        <v>0</v>
      </c>
      <c r="L181" s="22"/>
      <c r="M181" s="22"/>
      <c r="N181" s="40" t="s">
        <v>303</v>
      </c>
      <c r="O181" s="42"/>
      <c r="P181"/>
    </row>
    <row r="182" spans="2:16" ht="30" x14ac:dyDescent="0.25">
      <c r="B182" s="95"/>
      <c r="C182" s="95"/>
      <c r="D182" s="121"/>
      <c r="E182" s="119"/>
      <c r="F182" s="22" t="s">
        <v>57</v>
      </c>
      <c r="G182" s="21" t="s">
        <v>60</v>
      </c>
      <c r="H182" s="22">
        <v>2</v>
      </c>
      <c r="I182" s="21">
        <v>0.4</v>
      </c>
      <c r="J182" s="38" t="str">
        <f>IF(I182&lt;=H182,"RBK01",0)</f>
        <v>RBK01</v>
      </c>
      <c r="K182" s="39">
        <f>IF(I182&gt;H182,"Batal",0)</f>
        <v>0</v>
      </c>
      <c r="L182" s="22"/>
      <c r="M182" s="22"/>
      <c r="N182" s="40" t="s">
        <v>134</v>
      </c>
      <c r="O182" s="42"/>
      <c r="P182"/>
    </row>
    <row r="183" spans="2:16" ht="30" x14ac:dyDescent="0.25">
      <c r="B183" s="95"/>
      <c r="C183" s="95"/>
      <c r="D183" s="121"/>
      <c r="E183" s="119"/>
      <c r="F183" s="25" t="s">
        <v>20</v>
      </c>
      <c r="G183" s="24" t="s">
        <v>61</v>
      </c>
      <c r="H183" s="25">
        <v>160</v>
      </c>
      <c r="I183" s="24">
        <v>100</v>
      </c>
      <c r="J183" s="38">
        <f>IF(I183&gt;=H183,"D1",0)</f>
        <v>0</v>
      </c>
      <c r="K183" s="39" t="str">
        <f>IF(I183&gt;=H183,0,"Batal")</f>
        <v>Batal</v>
      </c>
      <c r="L183" s="22"/>
      <c r="M183" s="22"/>
      <c r="N183" s="40" t="s">
        <v>245</v>
      </c>
      <c r="O183" s="50" t="s">
        <v>252</v>
      </c>
      <c r="P183"/>
    </row>
    <row r="184" spans="2:16" ht="26.25" thickBot="1" x14ac:dyDescent="0.3">
      <c r="B184" s="96"/>
      <c r="C184" s="96"/>
      <c r="D184" s="103"/>
      <c r="E184" s="120"/>
      <c r="F184" s="22" t="s">
        <v>28</v>
      </c>
      <c r="G184" s="21" t="s">
        <v>52</v>
      </c>
      <c r="H184" s="22" t="s">
        <v>19</v>
      </c>
      <c r="I184" s="21" t="s">
        <v>19</v>
      </c>
      <c r="J184" s="43" t="str">
        <f>IF(I184=H184,"E1",0)</f>
        <v>E1</v>
      </c>
      <c r="K184" s="44">
        <f>IF(I184=H184,0,"Batal")</f>
        <v>0</v>
      </c>
      <c r="L184" s="25" t="s">
        <v>298</v>
      </c>
      <c r="M184" s="25"/>
      <c r="N184" s="45" t="s">
        <v>246</v>
      </c>
      <c r="O184" s="42"/>
      <c r="P184"/>
    </row>
    <row r="185" spans="2:16" ht="60" customHeight="1" x14ac:dyDescent="0.25">
      <c r="B185" s="94" t="s">
        <v>439</v>
      </c>
      <c r="C185" s="94" t="s">
        <v>113</v>
      </c>
      <c r="D185" s="102" t="s">
        <v>126</v>
      </c>
      <c r="E185" s="118" t="s">
        <v>133</v>
      </c>
      <c r="F185" s="20" t="s">
        <v>14</v>
      </c>
      <c r="G185" s="19" t="s">
        <v>21</v>
      </c>
      <c r="H185" s="20">
        <v>150</v>
      </c>
      <c r="I185" s="19">
        <v>100</v>
      </c>
      <c r="J185" s="35">
        <f>IF(I185&gt;=H185,"Pintu",0)</f>
        <v>0</v>
      </c>
      <c r="K185" s="36" t="str">
        <f>IF(I185&lt;H185,"L1",0)</f>
        <v>L1</v>
      </c>
      <c r="L185" s="20"/>
      <c r="M185" s="20"/>
      <c r="N185" s="37" t="s">
        <v>267</v>
      </c>
      <c r="O185" s="51"/>
      <c r="P185"/>
    </row>
    <row r="186" spans="2:16" ht="26.25" thickBot="1" x14ac:dyDescent="0.3">
      <c r="B186" s="96"/>
      <c r="C186" s="96"/>
      <c r="D186" s="103"/>
      <c r="E186" s="120"/>
      <c r="F186" s="26" t="s">
        <v>28</v>
      </c>
      <c r="G186" s="23" t="s">
        <v>5</v>
      </c>
      <c r="H186" s="26" t="s">
        <v>6</v>
      </c>
      <c r="I186" s="23" t="s">
        <v>6</v>
      </c>
      <c r="J186" s="46" t="str">
        <f>IF(I186=H186,"RBK01",0)</f>
        <v>RBK01</v>
      </c>
      <c r="K186" s="47">
        <f>IF(I186=H186,0,"R1")</f>
        <v>0</v>
      </c>
      <c r="L186" s="25" t="s">
        <v>298</v>
      </c>
      <c r="M186" s="79"/>
      <c r="N186" s="48" t="s">
        <v>303</v>
      </c>
      <c r="O186" s="52"/>
      <c r="P186"/>
    </row>
    <row r="187" spans="2:16" ht="15.75" thickBot="1" x14ac:dyDescent="0.3">
      <c r="B187" s="94" t="s">
        <v>393</v>
      </c>
      <c r="C187" s="94" t="s">
        <v>114</v>
      </c>
      <c r="D187" s="102" t="s">
        <v>151</v>
      </c>
      <c r="E187" s="118" t="s">
        <v>161</v>
      </c>
      <c r="F187" s="20" t="s">
        <v>14</v>
      </c>
      <c r="G187" s="19" t="s">
        <v>21</v>
      </c>
      <c r="H187" s="20">
        <v>150</v>
      </c>
      <c r="I187" s="19">
        <v>100</v>
      </c>
      <c r="J187" s="35">
        <f>IF(I187&gt;=H187,"RKJ01",0)</f>
        <v>0</v>
      </c>
      <c r="K187" s="36" t="str">
        <f>IF(I187&lt;H187,"L1",0)</f>
        <v>L1</v>
      </c>
      <c r="L187" s="27"/>
      <c r="M187" s="27"/>
      <c r="N187" s="37" t="s">
        <v>271</v>
      </c>
      <c r="O187" s="51"/>
      <c r="P187"/>
    </row>
    <row r="188" spans="2:16" ht="30.75" thickBot="1" x14ac:dyDescent="0.3">
      <c r="B188" s="96"/>
      <c r="C188" s="96"/>
      <c r="D188" s="103"/>
      <c r="E188" s="118"/>
      <c r="F188" s="22" t="s">
        <v>57</v>
      </c>
      <c r="G188" s="21" t="s">
        <v>60</v>
      </c>
      <c r="H188" s="22">
        <v>2</v>
      </c>
      <c r="I188" s="21">
        <v>1</v>
      </c>
      <c r="J188" s="38" t="str">
        <f>IF(I188&lt;=H188,"RKJ01",0)</f>
        <v>RKJ01</v>
      </c>
      <c r="K188" s="39">
        <f>IF(I188&gt;H188,"Batal",0)</f>
        <v>0</v>
      </c>
      <c r="L188" s="22" t="s">
        <v>130</v>
      </c>
      <c r="M188" s="22"/>
      <c r="N188" s="40" t="s">
        <v>329</v>
      </c>
      <c r="O188" s="42"/>
      <c r="P188"/>
    </row>
    <row r="189" spans="2:16" ht="15" customHeight="1" x14ac:dyDescent="0.25">
      <c r="B189" s="94" t="s">
        <v>393</v>
      </c>
      <c r="C189" s="94" t="s">
        <v>177</v>
      </c>
      <c r="D189" s="102" t="s">
        <v>176</v>
      </c>
      <c r="E189" s="118" t="s">
        <v>24</v>
      </c>
      <c r="F189" s="20" t="s">
        <v>14</v>
      </c>
      <c r="G189" s="19" t="s">
        <v>21</v>
      </c>
      <c r="H189" s="20">
        <v>150</v>
      </c>
      <c r="I189" s="19">
        <v>100</v>
      </c>
      <c r="J189" s="35">
        <f>IF(I189&gt;=H189,"RKG01",0)</f>
        <v>0</v>
      </c>
      <c r="K189" s="36" t="str">
        <f>IF(I189&lt;H189,"L1",0)</f>
        <v>L1</v>
      </c>
      <c r="L189" s="27"/>
      <c r="M189" s="27"/>
      <c r="N189" s="37" t="s">
        <v>265</v>
      </c>
      <c r="O189" s="51"/>
      <c r="P189"/>
    </row>
    <row r="190" spans="2:16" ht="30" x14ac:dyDescent="0.25">
      <c r="B190" s="95"/>
      <c r="C190" s="95"/>
      <c r="D190" s="121"/>
      <c r="E190" s="119"/>
      <c r="F190" s="22" t="s">
        <v>57</v>
      </c>
      <c r="G190" s="21" t="s">
        <v>60</v>
      </c>
      <c r="H190" s="22">
        <v>1</v>
      </c>
      <c r="I190" s="21">
        <v>1</v>
      </c>
      <c r="J190" s="38" t="str">
        <f>IF(I190&lt;=H190,"Sofa/ Kursi",0)</f>
        <v>Sofa/ Kursi</v>
      </c>
      <c r="K190" s="39">
        <f>IF(I190&gt;H190,"Batal",0)</f>
        <v>0</v>
      </c>
      <c r="L190" s="22"/>
      <c r="M190" s="22"/>
      <c r="N190" s="40" t="s">
        <v>281</v>
      </c>
      <c r="O190" s="42"/>
      <c r="P190"/>
    </row>
    <row r="191" spans="2:16" ht="30.75" customHeight="1" x14ac:dyDescent="0.25">
      <c r="B191" s="95"/>
      <c r="C191" s="95"/>
      <c r="D191" s="121"/>
      <c r="E191" s="119"/>
      <c r="F191" s="144" t="s">
        <v>28</v>
      </c>
      <c r="G191" s="21" t="s">
        <v>63</v>
      </c>
      <c r="H191" s="22" t="s">
        <v>49</v>
      </c>
      <c r="I191" s="21" t="s">
        <v>19</v>
      </c>
      <c r="J191" s="38">
        <f>IF(I191=H191,"Sofa/ Kursi",0)</f>
        <v>0</v>
      </c>
      <c r="K191" s="39" t="str">
        <f>IF(I191=H191,0,"E1")</f>
        <v>E1</v>
      </c>
      <c r="L191" s="22"/>
      <c r="M191" s="22"/>
      <c r="N191" s="40" t="s">
        <v>259</v>
      </c>
      <c r="O191" s="42"/>
      <c r="P191"/>
    </row>
    <row r="192" spans="2:16" ht="30" x14ac:dyDescent="0.25">
      <c r="B192" s="95"/>
      <c r="C192" s="95"/>
      <c r="D192" s="121"/>
      <c r="E192" s="119"/>
      <c r="F192" s="141"/>
      <c r="G192" s="21" t="s">
        <v>64</v>
      </c>
      <c r="H192" s="22">
        <v>25</v>
      </c>
      <c r="I192" s="21">
        <v>26</v>
      </c>
      <c r="J192" s="38">
        <f>IF(I192&lt;=H192,"Sofa/ Kursi",0)</f>
        <v>0</v>
      </c>
      <c r="K192" s="39" t="str">
        <f>IF(I192&gt;H192,"E1",0)</f>
        <v>E1</v>
      </c>
      <c r="L192" s="17"/>
      <c r="M192" s="17"/>
      <c r="N192" s="40" t="s">
        <v>282</v>
      </c>
      <c r="O192" s="42"/>
      <c r="P192"/>
    </row>
    <row r="193" spans="2:16" ht="25.5" x14ac:dyDescent="0.25">
      <c r="B193" s="95"/>
      <c r="C193" s="95"/>
      <c r="D193" s="121"/>
      <c r="E193" s="119"/>
      <c r="F193" s="121" t="s">
        <v>28</v>
      </c>
      <c r="G193" s="21" t="s">
        <v>25</v>
      </c>
      <c r="H193" s="22" t="s">
        <v>8</v>
      </c>
      <c r="I193" s="21" t="s">
        <v>8</v>
      </c>
      <c r="J193" s="38" t="str">
        <f>IF(I193=H193,"Sofa",0)</f>
        <v>Sofa</v>
      </c>
      <c r="K193" s="39">
        <f>IF(I193=H193,0,"Kursi")</f>
        <v>0</v>
      </c>
      <c r="L193" s="17"/>
      <c r="M193" s="17"/>
      <c r="N193" s="40" t="s">
        <v>284</v>
      </c>
      <c r="O193" s="42"/>
      <c r="P193"/>
    </row>
    <row r="194" spans="2:16" ht="26.25" thickBot="1" x14ac:dyDescent="0.3">
      <c r="B194" s="155"/>
      <c r="C194" s="155"/>
      <c r="D194" s="103"/>
      <c r="E194" s="120"/>
      <c r="F194" s="141"/>
      <c r="G194" s="21" t="s">
        <v>7</v>
      </c>
      <c r="H194" s="22" t="s">
        <v>8</v>
      </c>
      <c r="I194" s="21" t="s">
        <v>8</v>
      </c>
      <c r="J194" s="38" t="str">
        <f>IF(I194=H194,"Kursi",0)</f>
        <v>Kursi</v>
      </c>
      <c r="K194" s="39">
        <f>IF(I194=H194,0,"Batal")</f>
        <v>0</v>
      </c>
      <c r="L194" s="17" t="s">
        <v>264</v>
      </c>
      <c r="M194" s="17"/>
      <c r="N194" s="40" t="s">
        <v>283</v>
      </c>
      <c r="O194" s="42"/>
      <c r="P194"/>
    </row>
    <row r="195" spans="2:16" ht="30" x14ac:dyDescent="0.25">
      <c r="B195" s="156" t="s">
        <v>393</v>
      </c>
      <c r="C195" s="156" t="s">
        <v>409</v>
      </c>
      <c r="D195" s="122" t="s">
        <v>355</v>
      </c>
      <c r="E195" s="112" t="s">
        <v>337</v>
      </c>
      <c r="F195" s="85" t="s">
        <v>341</v>
      </c>
      <c r="G195" s="86" t="s">
        <v>339</v>
      </c>
      <c r="H195" s="85" t="s">
        <v>347</v>
      </c>
      <c r="I195" s="86" t="s">
        <v>347</v>
      </c>
      <c r="J195" s="87" t="str">
        <f>IF(I195=H195,"B1","0")</f>
        <v>B1</v>
      </c>
      <c r="K195" s="88">
        <f>IF(I195=H195,0,"Batal")</f>
        <v>0</v>
      </c>
      <c r="L195" s="85" t="s">
        <v>343</v>
      </c>
      <c r="M195" s="85"/>
      <c r="N195" s="89" t="s">
        <v>384</v>
      </c>
      <c r="O195" s="75"/>
      <c r="P195"/>
    </row>
    <row r="196" spans="2:16" ht="30.75" thickBot="1" x14ac:dyDescent="0.3">
      <c r="B196" s="155"/>
      <c r="C196" s="155"/>
      <c r="D196" s="124"/>
      <c r="E196" s="114"/>
      <c r="F196" s="29" t="s">
        <v>361</v>
      </c>
      <c r="G196" s="28" t="s">
        <v>362</v>
      </c>
      <c r="H196" s="29" t="s">
        <v>363</v>
      </c>
      <c r="I196" s="28" t="s">
        <v>363</v>
      </c>
      <c r="J196" s="63" t="str">
        <f>IF(I196=H196,"I1","0")</f>
        <v>I1</v>
      </c>
      <c r="K196" s="64">
        <f>IF(I196=H196,0,"Batal")</f>
        <v>0</v>
      </c>
      <c r="L196" s="29" t="s">
        <v>374</v>
      </c>
      <c r="M196" s="29"/>
      <c r="N196" s="65" t="s">
        <v>383</v>
      </c>
      <c r="O196" s="77" t="s">
        <v>385</v>
      </c>
      <c r="P196"/>
    </row>
    <row r="197" spans="2:16" ht="30.75" customHeight="1" x14ac:dyDescent="0.25">
      <c r="B197" s="156" t="s">
        <v>408</v>
      </c>
      <c r="C197" s="157" t="s">
        <v>428</v>
      </c>
      <c r="D197" s="102" t="s">
        <v>248</v>
      </c>
      <c r="E197" s="102" t="s">
        <v>337</v>
      </c>
      <c r="F197" s="25" t="s">
        <v>234</v>
      </c>
      <c r="G197" s="24" t="s">
        <v>64</v>
      </c>
      <c r="H197" s="25">
        <v>25</v>
      </c>
      <c r="I197" s="24">
        <v>26</v>
      </c>
      <c r="J197" s="43">
        <f>IF(I197&lt;=H197,"Sofa/ Kursi/ Tempat tidur",0)</f>
        <v>0</v>
      </c>
      <c r="K197" s="44" t="str">
        <f>IF(I197&gt;H197,"E1",0)</f>
        <v>E1</v>
      </c>
      <c r="L197" s="45"/>
      <c r="M197" s="45"/>
      <c r="N197" s="45" t="s">
        <v>388</v>
      </c>
      <c r="O197" s="50"/>
      <c r="P197"/>
    </row>
    <row r="198" spans="2:16" ht="60.75" thickBot="1" x14ac:dyDescent="0.3">
      <c r="B198" s="96"/>
      <c r="C198" s="158"/>
      <c r="D198" s="103"/>
      <c r="E198" s="103"/>
      <c r="F198" s="22" t="s">
        <v>28</v>
      </c>
      <c r="G198" s="21" t="s">
        <v>386</v>
      </c>
      <c r="H198" s="22" t="s">
        <v>8</v>
      </c>
      <c r="I198" s="21" t="s">
        <v>8</v>
      </c>
      <c r="J198" s="38" t="str">
        <f>IF(I198=H198,"Sofa/ Kursi/ Tempat tidur",0)</f>
        <v>Sofa/ Kursi/ Tempat tidur</v>
      </c>
      <c r="K198" s="39">
        <f>IF(I198=H198,0,"Batal")</f>
        <v>0</v>
      </c>
      <c r="L198" s="31" t="s">
        <v>264</v>
      </c>
      <c r="M198" s="31"/>
      <c r="N198" s="40" t="s">
        <v>387</v>
      </c>
      <c r="O198" s="42"/>
      <c r="P198"/>
    </row>
    <row r="199" spans="2:16" ht="45" customHeight="1" x14ac:dyDescent="0.25">
      <c r="B199" s="102" t="s">
        <v>399</v>
      </c>
      <c r="C199" s="102" t="s">
        <v>320</v>
      </c>
      <c r="D199" s="129" t="s">
        <v>321</v>
      </c>
      <c r="E199" s="129" t="s">
        <v>18</v>
      </c>
      <c r="F199" s="20" t="s">
        <v>14</v>
      </c>
      <c r="G199" s="19" t="s">
        <v>21</v>
      </c>
      <c r="H199" s="20">
        <v>150</v>
      </c>
      <c r="I199" s="19">
        <v>100</v>
      </c>
      <c r="J199" s="35">
        <f>IF(I199&gt;=H199,"RHD01",0)</f>
        <v>0</v>
      </c>
      <c r="K199" s="36" t="str">
        <f>IF(I199&lt;H199,"L1",0)</f>
        <v>L1</v>
      </c>
      <c r="L199" s="27"/>
      <c r="M199" s="27"/>
      <c r="N199" s="37" t="s">
        <v>322</v>
      </c>
      <c r="O199" s="51"/>
      <c r="P199"/>
    </row>
    <row r="200" spans="2:16" ht="26.25" thickBot="1" x14ac:dyDescent="0.3">
      <c r="B200" s="103"/>
      <c r="C200" s="103"/>
      <c r="D200" s="130"/>
      <c r="E200" s="130"/>
      <c r="F200" s="29" t="s">
        <v>28</v>
      </c>
      <c r="G200" s="28" t="s">
        <v>5</v>
      </c>
      <c r="H200" s="29" t="s">
        <v>6</v>
      </c>
      <c r="I200" s="28" t="s">
        <v>6</v>
      </c>
      <c r="J200" s="63" t="str">
        <f>IF(I200=H200,"RHD01",0)</f>
        <v>RHD01</v>
      </c>
      <c r="K200" s="64">
        <f>IF(I200=H200,0,"R1")</f>
        <v>0</v>
      </c>
      <c r="L200" s="29" t="s">
        <v>298</v>
      </c>
      <c r="M200" s="29"/>
      <c r="N200" s="65" t="s">
        <v>306</v>
      </c>
      <c r="O200" s="50"/>
      <c r="P200"/>
    </row>
    <row r="201" spans="2:16" ht="30" customHeight="1" x14ac:dyDescent="0.25">
      <c r="B201" s="94" t="s">
        <v>438</v>
      </c>
      <c r="C201" s="94" t="s">
        <v>239</v>
      </c>
      <c r="D201" s="121" t="s">
        <v>238</v>
      </c>
      <c r="E201" s="119" t="s">
        <v>133</v>
      </c>
      <c r="F201" s="20" t="s">
        <v>14</v>
      </c>
      <c r="G201" s="19" t="s">
        <v>21</v>
      </c>
      <c r="H201" s="20">
        <v>150</v>
      </c>
      <c r="I201" s="19">
        <v>100</v>
      </c>
      <c r="J201" s="35">
        <f>IF(I201&gt;=H201,"Pintu",0)</f>
        <v>0</v>
      </c>
      <c r="K201" s="36" t="str">
        <f>IF(I201&lt;H201,"L1",0)</f>
        <v>L1</v>
      </c>
      <c r="L201" s="20"/>
      <c r="M201" s="20"/>
      <c r="N201" s="37" t="s">
        <v>267</v>
      </c>
      <c r="O201" s="51"/>
      <c r="P201"/>
    </row>
    <row r="202" spans="2:16" ht="26.25" thickBot="1" x14ac:dyDescent="0.3">
      <c r="B202" s="96"/>
      <c r="C202" s="96"/>
      <c r="D202" s="103"/>
      <c r="E202" s="120"/>
      <c r="F202" s="26" t="s">
        <v>28</v>
      </c>
      <c r="G202" s="23" t="s">
        <v>5</v>
      </c>
      <c r="H202" s="26" t="s">
        <v>6</v>
      </c>
      <c r="I202" s="23" t="s">
        <v>6</v>
      </c>
      <c r="J202" s="46" t="str">
        <f>IF(I202=H202,"RBK01",0)</f>
        <v>RBK01</v>
      </c>
      <c r="K202" s="47">
        <f>IF(I202=H202,0,"R1")</f>
        <v>0</v>
      </c>
      <c r="L202" s="26" t="s">
        <v>298</v>
      </c>
      <c r="M202" s="26"/>
      <c r="N202" s="48" t="s">
        <v>303</v>
      </c>
      <c r="O202" s="52"/>
      <c r="P202"/>
    </row>
    <row r="203" spans="2:16" ht="30" x14ac:dyDescent="0.25">
      <c r="B203" s="94" t="s">
        <v>393</v>
      </c>
      <c r="C203" s="94" t="s">
        <v>178</v>
      </c>
      <c r="D203" s="102" t="s">
        <v>99</v>
      </c>
      <c r="E203" s="102" t="s">
        <v>200</v>
      </c>
      <c r="F203" s="22" t="s">
        <v>57</v>
      </c>
      <c r="G203" s="21" t="s">
        <v>60</v>
      </c>
      <c r="H203" s="22">
        <v>2</v>
      </c>
      <c r="I203" s="21">
        <v>1</v>
      </c>
      <c r="J203" s="38" t="str">
        <f>IF(I203&lt;=H203,"RGS01",0)</f>
        <v>RGS01</v>
      </c>
      <c r="K203" s="39">
        <f>IF(I203&gt;H203,"Batal",0)</f>
        <v>0</v>
      </c>
      <c r="L203" s="17"/>
      <c r="M203" s="17"/>
      <c r="N203" s="40" t="s">
        <v>249</v>
      </c>
      <c r="O203" s="50"/>
      <c r="P203"/>
    </row>
    <row r="204" spans="2:16" ht="15.75" thickBot="1" x14ac:dyDescent="0.3">
      <c r="B204" s="96"/>
      <c r="C204" s="96"/>
      <c r="D204" s="103"/>
      <c r="E204" s="103"/>
      <c r="F204" s="25" t="s">
        <v>14</v>
      </c>
      <c r="G204" s="24" t="s">
        <v>21</v>
      </c>
      <c r="H204" s="25">
        <v>80</v>
      </c>
      <c r="I204" s="24">
        <v>60</v>
      </c>
      <c r="J204" s="43" t="str">
        <f>IF(I204&lt;H204,"L1",0)</f>
        <v>L1</v>
      </c>
      <c r="K204" s="44">
        <f>IF(I204&gt;H204,"Batal",0)</f>
        <v>0</v>
      </c>
      <c r="L204" s="31"/>
      <c r="M204" s="31"/>
      <c r="N204" s="45" t="s">
        <v>276</v>
      </c>
      <c r="O204" s="42"/>
      <c r="P204"/>
    </row>
    <row r="205" spans="2:16" ht="30" customHeight="1" x14ac:dyDescent="0.25">
      <c r="B205" s="94" t="s">
        <v>437</v>
      </c>
      <c r="C205" s="94" t="s">
        <v>115</v>
      </c>
      <c r="D205" s="102" t="s">
        <v>53</v>
      </c>
      <c r="E205" s="118" t="s">
        <v>161</v>
      </c>
      <c r="F205" s="20" t="s">
        <v>14</v>
      </c>
      <c r="G205" s="19" t="s">
        <v>21</v>
      </c>
      <c r="H205" s="20">
        <v>150</v>
      </c>
      <c r="I205" s="19">
        <v>100</v>
      </c>
      <c r="J205" s="35">
        <f>IF(I205&gt;=H205,"Pintu",0)</f>
        <v>0</v>
      </c>
      <c r="K205" s="36" t="str">
        <f>IF(I205&lt;H205,"L1",0)</f>
        <v>L1</v>
      </c>
      <c r="L205" s="20"/>
      <c r="M205" s="20"/>
      <c r="N205" s="37" t="s">
        <v>267</v>
      </c>
      <c r="O205" s="51"/>
      <c r="P205"/>
    </row>
    <row r="206" spans="2:16" ht="25.5" x14ac:dyDescent="0.25">
      <c r="B206" s="95"/>
      <c r="C206" s="95"/>
      <c r="D206" s="121"/>
      <c r="E206" s="119"/>
      <c r="F206" s="22" t="s">
        <v>28</v>
      </c>
      <c r="G206" s="21" t="s">
        <v>5</v>
      </c>
      <c r="H206" s="22" t="s">
        <v>6</v>
      </c>
      <c r="I206" s="21" t="s">
        <v>6</v>
      </c>
      <c r="J206" s="38" t="str">
        <f>IF(I206=H206,"RGD01",0)</f>
        <v>RGD01</v>
      </c>
      <c r="K206" s="39">
        <f>IF(I206=H206,0,"R1")</f>
        <v>0</v>
      </c>
      <c r="L206" s="22"/>
      <c r="M206" s="22"/>
      <c r="N206" s="40" t="s">
        <v>308</v>
      </c>
      <c r="O206" s="42"/>
      <c r="P206"/>
    </row>
    <row r="207" spans="2:16" ht="30" x14ac:dyDescent="0.25">
      <c r="B207" s="95"/>
      <c r="C207" s="95"/>
      <c r="D207" s="121"/>
      <c r="E207" s="119"/>
      <c r="F207" s="22" t="s">
        <v>57</v>
      </c>
      <c r="G207" s="21" t="s">
        <v>60</v>
      </c>
      <c r="H207" s="22">
        <v>1</v>
      </c>
      <c r="I207" s="21">
        <v>1</v>
      </c>
      <c r="J207" s="38" t="str">
        <f>IF(I207&lt;=H207,"RGD01",0)</f>
        <v>RGD01</v>
      </c>
      <c r="K207" s="39">
        <f>IF(I207&gt;H207,"Batal",0)</f>
        <v>0</v>
      </c>
      <c r="L207" s="22"/>
      <c r="M207" s="22"/>
      <c r="N207" s="40" t="s">
        <v>285</v>
      </c>
      <c r="O207" s="42"/>
      <c r="P207"/>
    </row>
    <row r="208" spans="2:16" ht="26.25" thickBot="1" x14ac:dyDescent="0.3">
      <c r="B208" s="96"/>
      <c r="C208" s="96"/>
      <c r="D208" s="103"/>
      <c r="E208" s="120"/>
      <c r="F208" s="22" t="s">
        <v>28</v>
      </c>
      <c r="G208" s="21" t="s">
        <v>54</v>
      </c>
      <c r="H208" s="22" t="s">
        <v>49</v>
      </c>
      <c r="I208" s="21" t="s">
        <v>19</v>
      </c>
      <c r="J208" s="38">
        <f>IF(I208=H208,"Setrika",0)</f>
        <v>0</v>
      </c>
      <c r="K208" s="39" t="str">
        <f>IF(I208=H208,0,"E1")</f>
        <v>E1</v>
      </c>
      <c r="L208" s="22" t="s">
        <v>300</v>
      </c>
      <c r="M208" s="22"/>
      <c r="N208" s="40" t="s">
        <v>258</v>
      </c>
      <c r="O208" s="42"/>
      <c r="P208"/>
    </row>
    <row r="209" spans="2:16" ht="60" customHeight="1" x14ac:dyDescent="0.25">
      <c r="B209" s="94" t="s">
        <v>436</v>
      </c>
      <c r="C209" s="94" t="s">
        <v>118</v>
      </c>
      <c r="D209" s="102" t="s">
        <v>179</v>
      </c>
      <c r="E209" s="118" t="s">
        <v>17</v>
      </c>
      <c r="F209" s="20" t="s">
        <v>14</v>
      </c>
      <c r="G209" s="19" t="s">
        <v>21</v>
      </c>
      <c r="H209" s="20">
        <v>150</v>
      </c>
      <c r="I209" s="19">
        <v>100</v>
      </c>
      <c r="J209" s="35">
        <f>IF(I209&gt;=H209,"RDP01",0)</f>
        <v>0</v>
      </c>
      <c r="K209" s="36" t="str">
        <f>IF(I209&lt;H209,"L1",0)</f>
        <v>L1</v>
      </c>
      <c r="L209" s="20"/>
      <c r="M209" s="20"/>
      <c r="N209" s="37" t="s">
        <v>272</v>
      </c>
      <c r="O209" s="51"/>
      <c r="P209"/>
    </row>
    <row r="210" spans="2:16" ht="30" x14ac:dyDescent="0.25">
      <c r="B210" s="95"/>
      <c r="C210" s="95"/>
      <c r="D210" s="121"/>
      <c r="E210" s="119"/>
      <c r="F210" s="22" t="s">
        <v>57</v>
      </c>
      <c r="G210" s="21" t="s">
        <v>60</v>
      </c>
      <c r="H210" s="22">
        <v>2</v>
      </c>
      <c r="I210" s="21">
        <v>2</v>
      </c>
      <c r="J210" s="38" t="str">
        <f>IF(I210&lt;=H210,"Bak cuci piring",0)</f>
        <v>Bak cuci piring</v>
      </c>
      <c r="K210" s="39">
        <f>IF(I210&gt;H210,"Batal",0)</f>
        <v>0</v>
      </c>
      <c r="L210" s="22"/>
      <c r="M210" s="22"/>
      <c r="N210" s="40" t="s">
        <v>83</v>
      </c>
      <c r="O210" s="42"/>
      <c r="P210"/>
    </row>
    <row r="211" spans="2:16" ht="30.75" thickBot="1" x14ac:dyDescent="0.3">
      <c r="B211" s="96"/>
      <c r="C211" s="96"/>
      <c r="D211" s="103"/>
      <c r="E211" s="120"/>
      <c r="F211" s="22" t="s">
        <v>20</v>
      </c>
      <c r="G211" s="23" t="s">
        <v>61</v>
      </c>
      <c r="H211" s="26">
        <v>15</v>
      </c>
      <c r="I211" s="23">
        <v>100</v>
      </c>
      <c r="J211" s="46" t="str">
        <f>IF(I211&gt;=H211,"D1",0)</f>
        <v>D1</v>
      </c>
      <c r="K211" s="47">
        <f>IF(I211&gt;=H211,0,"Batal")</f>
        <v>0</v>
      </c>
      <c r="L211" s="26" t="s">
        <v>263</v>
      </c>
      <c r="M211" s="26"/>
      <c r="N211" s="48" t="s">
        <v>250</v>
      </c>
      <c r="O211" s="42" t="s">
        <v>252</v>
      </c>
      <c r="P211"/>
    </row>
    <row r="212" spans="2:16" x14ac:dyDescent="0.25">
      <c r="B212" s="94" t="s">
        <v>430</v>
      </c>
      <c r="C212" s="94" t="s">
        <v>180</v>
      </c>
      <c r="D212" s="102" t="s">
        <v>55</v>
      </c>
      <c r="E212" s="118" t="s">
        <v>24</v>
      </c>
      <c r="F212" s="20" t="s">
        <v>14</v>
      </c>
      <c r="G212" s="19" t="s">
        <v>21</v>
      </c>
      <c r="H212" s="20">
        <v>150</v>
      </c>
      <c r="I212" s="19">
        <v>100</v>
      </c>
      <c r="J212" s="35">
        <f>IF(I212&gt;=H212,"RKG01",0)</f>
        <v>0</v>
      </c>
      <c r="K212" s="36" t="str">
        <f>IF(I212&lt;H212,"L1",0)</f>
        <v>L1</v>
      </c>
      <c r="L212" s="27"/>
      <c r="M212" s="27"/>
      <c r="N212" s="37" t="s">
        <v>265</v>
      </c>
      <c r="O212" s="51"/>
      <c r="P212"/>
    </row>
    <row r="213" spans="2:16" ht="30" x14ac:dyDescent="0.25">
      <c r="B213" s="95"/>
      <c r="C213" s="95"/>
      <c r="D213" s="121"/>
      <c r="E213" s="119"/>
      <c r="F213" s="22" t="s">
        <v>57</v>
      </c>
      <c r="G213" s="21" t="s">
        <v>60</v>
      </c>
      <c r="H213" s="22">
        <v>0.6</v>
      </c>
      <c r="I213" s="21">
        <v>1.2</v>
      </c>
      <c r="J213" s="38">
        <f>IF(I213&lt;H213,"Sofa",0)</f>
        <v>0</v>
      </c>
      <c r="K213" s="39" t="str">
        <f>IF(I213&gt;=H213,"RTM01",0)</f>
        <v>RTM01</v>
      </c>
      <c r="L213" s="22"/>
      <c r="M213" s="22"/>
      <c r="N213" s="40" t="s">
        <v>87</v>
      </c>
      <c r="O213" s="42"/>
      <c r="P213"/>
    </row>
    <row r="214" spans="2:16" ht="25.5" x14ac:dyDescent="0.25">
      <c r="B214" s="95"/>
      <c r="C214" s="95"/>
      <c r="D214" s="121"/>
      <c r="E214" s="119"/>
      <c r="F214" s="22" t="s">
        <v>28</v>
      </c>
      <c r="G214" s="21" t="s">
        <v>25</v>
      </c>
      <c r="H214" s="22" t="s">
        <v>8</v>
      </c>
      <c r="I214" s="21" t="s">
        <v>9</v>
      </c>
      <c r="J214" s="38">
        <f>IF(I214=H214,"Sofa",0)</f>
        <v>0</v>
      </c>
      <c r="K214" s="39" t="str">
        <f>IF(I214=H214,0,"RTM01")</f>
        <v>RTM01</v>
      </c>
      <c r="L214" s="17"/>
      <c r="M214" s="17"/>
      <c r="N214" s="40" t="s">
        <v>86</v>
      </c>
      <c r="O214" s="42"/>
      <c r="P214"/>
    </row>
    <row r="215" spans="2:16" ht="30" x14ac:dyDescent="0.25">
      <c r="B215" s="95"/>
      <c r="C215" s="95"/>
      <c r="D215" s="121"/>
      <c r="E215" s="128"/>
      <c r="F215" s="22" t="s">
        <v>234</v>
      </c>
      <c r="G215" s="21" t="s">
        <v>64</v>
      </c>
      <c r="H215" s="22">
        <v>25</v>
      </c>
      <c r="I215" s="21">
        <v>25</v>
      </c>
      <c r="J215" s="38" t="str">
        <f>IF(I215&lt;=H215,"Sofa",0)</f>
        <v>Sofa</v>
      </c>
      <c r="K215" s="39">
        <f>IF(I215&gt;H215,"E1",0)</f>
        <v>0</v>
      </c>
      <c r="L215" s="17" t="s">
        <v>264</v>
      </c>
      <c r="M215" s="17"/>
      <c r="N215" s="40" t="s">
        <v>277</v>
      </c>
      <c r="O215" s="42"/>
      <c r="P215"/>
    </row>
    <row r="216" spans="2:16" x14ac:dyDescent="0.25">
      <c r="B216" s="95"/>
      <c r="C216" s="95"/>
      <c r="D216" s="121"/>
      <c r="E216" s="127" t="s">
        <v>38</v>
      </c>
      <c r="F216" s="22" t="s">
        <v>14</v>
      </c>
      <c r="G216" s="21" t="s">
        <v>21</v>
      </c>
      <c r="H216" s="22">
        <v>150</v>
      </c>
      <c r="I216" s="21">
        <v>150</v>
      </c>
      <c r="J216" s="38" t="str">
        <f>IF(I216&gt;=H216,"RTM01",0)</f>
        <v>RTM01</v>
      </c>
      <c r="K216" s="39">
        <f>IF(I216&lt;H216,"L1",0)</f>
        <v>0</v>
      </c>
      <c r="L216" s="17"/>
      <c r="M216" s="17"/>
      <c r="N216" s="40" t="s">
        <v>266</v>
      </c>
      <c r="O216" s="42"/>
      <c r="P216"/>
    </row>
    <row r="217" spans="2:16" ht="30" x14ac:dyDescent="0.25">
      <c r="B217" s="95"/>
      <c r="C217" s="95"/>
      <c r="D217" s="121"/>
      <c r="E217" s="119"/>
      <c r="F217" s="22" t="s">
        <v>57</v>
      </c>
      <c r="G217" s="21" t="s">
        <v>60</v>
      </c>
      <c r="H217" s="22">
        <v>0.4</v>
      </c>
      <c r="I217" s="21">
        <v>0.2</v>
      </c>
      <c r="J217" s="38" t="str">
        <f>IF(I217&lt;H217,"Sofa",0)</f>
        <v>Sofa</v>
      </c>
      <c r="K217" s="39">
        <f>IF(I217&gt;=H217,"Batal",0)</f>
        <v>0</v>
      </c>
      <c r="L217" s="22"/>
      <c r="M217" s="22"/>
      <c r="N217" s="40" t="s">
        <v>88</v>
      </c>
      <c r="O217" s="42"/>
      <c r="P217"/>
    </row>
    <row r="218" spans="2:16" ht="26.25" thickBot="1" x14ac:dyDescent="0.3">
      <c r="B218" s="96"/>
      <c r="C218" s="96"/>
      <c r="D218" s="121"/>
      <c r="E218" s="119"/>
      <c r="F218" s="22" t="s">
        <v>28</v>
      </c>
      <c r="G218" s="21" t="s">
        <v>25</v>
      </c>
      <c r="H218" s="22" t="s">
        <v>8</v>
      </c>
      <c r="I218" s="21" t="s">
        <v>8</v>
      </c>
      <c r="J218" s="38" t="str">
        <f>IF(I218=H218,"Sofa",0)</f>
        <v>Sofa</v>
      </c>
      <c r="K218" s="39">
        <f>IF(I218=H218,0,"Batal")</f>
        <v>0</v>
      </c>
      <c r="L218" s="22" t="s">
        <v>130</v>
      </c>
      <c r="M218" s="22"/>
      <c r="N218" s="40" t="s">
        <v>89</v>
      </c>
      <c r="O218" s="42"/>
      <c r="P218"/>
    </row>
    <row r="219" spans="2:16" x14ac:dyDescent="0.25">
      <c r="B219" s="94" t="s">
        <v>430</v>
      </c>
      <c r="C219" s="94" t="s">
        <v>181</v>
      </c>
      <c r="D219" s="102" t="s">
        <v>56</v>
      </c>
      <c r="E219" s="118" t="s">
        <v>24</v>
      </c>
      <c r="F219" s="20" t="s">
        <v>14</v>
      </c>
      <c r="G219" s="19" t="s">
        <v>21</v>
      </c>
      <c r="H219" s="20">
        <v>150</v>
      </c>
      <c r="I219" s="19">
        <v>100</v>
      </c>
      <c r="J219" s="35">
        <f>IF(I219&gt;=H219,"RKG01",0)</f>
        <v>0</v>
      </c>
      <c r="K219" s="36" t="str">
        <f>IF(I219&lt;H219,"L1",0)</f>
        <v>L1</v>
      </c>
      <c r="L219" s="27"/>
      <c r="M219" s="27"/>
      <c r="N219" s="37" t="s">
        <v>265</v>
      </c>
      <c r="O219" s="51"/>
      <c r="P219"/>
    </row>
    <row r="220" spans="2:16" ht="30" x14ac:dyDescent="0.25">
      <c r="B220" s="95"/>
      <c r="C220" s="95"/>
      <c r="D220" s="121"/>
      <c r="E220" s="119"/>
      <c r="F220" s="22" t="s">
        <v>57</v>
      </c>
      <c r="G220" s="21" t="s">
        <v>60</v>
      </c>
      <c r="H220" s="22">
        <v>1</v>
      </c>
      <c r="I220" s="21">
        <v>1.2</v>
      </c>
      <c r="J220" s="38">
        <f>IF(I220&lt;H220,"Sofa",0)</f>
        <v>0</v>
      </c>
      <c r="K220" s="39" t="str">
        <f>IF(I220&gt;=H220,"RTU01",0)</f>
        <v>RTU01</v>
      </c>
      <c r="L220" s="22"/>
      <c r="M220" s="22"/>
      <c r="N220" s="40" t="s">
        <v>91</v>
      </c>
      <c r="O220" s="42"/>
      <c r="P220"/>
    </row>
    <row r="221" spans="2:16" ht="25.5" x14ac:dyDescent="0.25">
      <c r="B221" s="95"/>
      <c r="C221" s="95"/>
      <c r="D221" s="121"/>
      <c r="E221" s="119"/>
      <c r="F221" s="22" t="s">
        <v>28</v>
      </c>
      <c r="G221" s="21" t="s">
        <v>25</v>
      </c>
      <c r="H221" s="22" t="s">
        <v>8</v>
      </c>
      <c r="I221" s="21" t="s">
        <v>9</v>
      </c>
      <c r="J221" s="38">
        <f>IF(I221=H221,"Sofa",0)</f>
        <v>0</v>
      </c>
      <c r="K221" s="39" t="str">
        <f>IF(I221=H221,0,"RTU01")</f>
        <v>RTU01</v>
      </c>
      <c r="L221" s="17"/>
      <c r="M221" s="17"/>
      <c r="N221" s="40" t="s">
        <v>90</v>
      </c>
      <c r="O221" s="42"/>
      <c r="P221"/>
    </row>
    <row r="222" spans="2:16" ht="30" x14ac:dyDescent="0.25">
      <c r="B222" s="95"/>
      <c r="C222" s="95"/>
      <c r="D222" s="121"/>
      <c r="E222" s="128"/>
      <c r="F222" s="22" t="s">
        <v>234</v>
      </c>
      <c r="G222" s="21" t="s">
        <v>64</v>
      </c>
      <c r="H222" s="22">
        <v>25</v>
      </c>
      <c r="I222" s="21">
        <v>26</v>
      </c>
      <c r="J222" s="38">
        <f>IF(I222&lt;=H222,"Sofa",0)</f>
        <v>0</v>
      </c>
      <c r="K222" s="39" t="str">
        <f>IF(I222&gt;H222,"E1",0)</f>
        <v>E1</v>
      </c>
      <c r="L222" s="17" t="s">
        <v>264</v>
      </c>
      <c r="M222" s="17"/>
      <c r="N222" s="40" t="s">
        <v>277</v>
      </c>
      <c r="O222" s="42"/>
      <c r="P222"/>
    </row>
    <row r="223" spans="2:16" ht="25.5" x14ac:dyDescent="0.25">
      <c r="B223" s="95"/>
      <c r="C223" s="95"/>
      <c r="D223" s="121"/>
      <c r="E223" s="127" t="s">
        <v>30</v>
      </c>
      <c r="F223" s="22" t="s">
        <v>28</v>
      </c>
      <c r="G223" s="21" t="s">
        <v>5</v>
      </c>
      <c r="H223" s="22" t="s">
        <v>6</v>
      </c>
      <c r="I223" s="21" t="s">
        <v>33</v>
      </c>
      <c r="J223" s="38">
        <f>IF(I223=H223,"RTU01",0)</f>
        <v>0</v>
      </c>
      <c r="K223" s="39" t="str">
        <f>IF(I223=H223,0,"Batal")</f>
        <v>Batal</v>
      </c>
      <c r="L223" s="22"/>
      <c r="M223" s="22"/>
      <c r="N223" s="40" t="s">
        <v>74</v>
      </c>
      <c r="O223" s="42"/>
      <c r="P223"/>
    </row>
    <row r="224" spans="2:16" x14ac:dyDescent="0.25">
      <c r="B224" s="95"/>
      <c r="C224" s="95"/>
      <c r="D224" s="121"/>
      <c r="E224" s="119"/>
      <c r="F224" s="22" t="s">
        <v>14</v>
      </c>
      <c r="G224" s="21" t="s">
        <v>21</v>
      </c>
      <c r="H224" s="22">
        <v>150</v>
      </c>
      <c r="I224" s="21">
        <v>100</v>
      </c>
      <c r="J224" s="38">
        <f>IF(I224&gt;=H224,"RTU01",0)</f>
        <v>0</v>
      </c>
      <c r="K224" s="39" t="str">
        <f>IF(I224&lt;H224,"L1",0)</f>
        <v>L1</v>
      </c>
      <c r="L224" s="17" t="s">
        <v>293</v>
      </c>
      <c r="M224" s="17"/>
      <c r="N224" s="40" t="s">
        <v>269</v>
      </c>
      <c r="O224" s="42"/>
      <c r="P224"/>
    </row>
    <row r="225" spans="2:16" ht="30" x14ac:dyDescent="0.25">
      <c r="B225" s="95"/>
      <c r="C225" s="95"/>
      <c r="D225" s="121"/>
      <c r="E225" s="119"/>
      <c r="F225" s="22" t="s">
        <v>57</v>
      </c>
      <c r="G225" s="21" t="s">
        <v>60</v>
      </c>
      <c r="H225" s="22">
        <v>0.4</v>
      </c>
      <c r="I225" s="21">
        <v>1</v>
      </c>
      <c r="J225" s="38">
        <f>IF(I225&lt;H225,"Tempat tidur",0)</f>
        <v>0</v>
      </c>
      <c r="K225" s="39" t="str">
        <f>IF(I225&gt;=H225,"Batal",0)</f>
        <v>Batal</v>
      </c>
      <c r="L225" s="17"/>
      <c r="M225" s="17"/>
      <c r="N225" s="40" t="s">
        <v>92</v>
      </c>
      <c r="O225" s="42"/>
      <c r="P225"/>
    </row>
    <row r="226" spans="2:16" ht="30.75" customHeight="1" x14ac:dyDescent="0.25">
      <c r="B226" s="95"/>
      <c r="C226" s="95"/>
      <c r="D226" s="121"/>
      <c r="E226" s="119"/>
      <c r="F226" s="22" t="s">
        <v>28</v>
      </c>
      <c r="G226" s="21" t="s">
        <v>31</v>
      </c>
      <c r="H226" s="22" t="s">
        <v>8</v>
      </c>
      <c r="I226" s="21" t="s">
        <v>9</v>
      </c>
      <c r="J226" s="38">
        <f>IF(I226=H226,"Tempat tidur",0)</f>
        <v>0</v>
      </c>
      <c r="K226" s="39" t="str">
        <f>IF(I226=H226,0,"Batal")</f>
        <v>Batal</v>
      </c>
      <c r="L226" s="17"/>
      <c r="M226" s="17"/>
      <c r="N226" s="40" t="s">
        <v>72</v>
      </c>
      <c r="O226" s="42"/>
      <c r="P226"/>
    </row>
    <row r="227" spans="2:16" ht="30.75" thickBot="1" x14ac:dyDescent="0.3">
      <c r="B227" s="96"/>
      <c r="C227" s="96"/>
      <c r="D227" s="103"/>
      <c r="E227" s="119"/>
      <c r="F227" s="58" t="s">
        <v>234</v>
      </c>
      <c r="G227" s="30" t="s">
        <v>64</v>
      </c>
      <c r="H227" s="58">
        <v>24</v>
      </c>
      <c r="I227" s="30">
        <v>25</v>
      </c>
      <c r="J227" s="59">
        <f>IF(I227&lt;=H227,"Tempat tidur",0)</f>
        <v>0</v>
      </c>
      <c r="K227" s="60" t="str">
        <f>IF(I227&gt;H227,"E1",0)</f>
        <v>E1</v>
      </c>
      <c r="L227" s="18" t="s">
        <v>299</v>
      </c>
      <c r="M227" s="18"/>
      <c r="N227" s="61" t="s">
        <v>262</v>
      </c>
      <c r="O227" s="42"/>
      <c r="P227"/>
    </row>
    <row r="228" spans="2:16" ht="30.75" customHeight="1" x14ac:dyDescent="0.25">
      <c r="B228" s="94" t="s">
        <v>434</v>
      </c>
      <c r="C228" s="94" t="s">
        <v>435</v>
      </c>
      <c r="D228" s="102" t="s">
        <v>93</v>
      </c>
      <c r="E228" s="118" t="s">
        <v>200</v>
      </c>
      <c r="F228" s="20" t="s">
        <v>14</v>
      </c>
      <c r="G228" s="19" t="s">
        <v>21</v>
      </c>
      <c r="H228" s="20">
        <v>150</v>
      </c>
      <c r="I228" s="19">
        <v>100</v>
      </c>
      <c r="J228" s="35">
        <f>IF(I228&gt;=H228,"RGS01",0)</f>
        <v>0</v>
      </c>
      <c r="K228" s="36" t="str">
        <f>IF(I228&lt;H228,"L1",0)</f>
        <v>L1</v>
      </c>
      <c r="L228" s="27" t="s">
        <v>293</v>
      </c>
      <c r="M228" s="27"/>
      <c r="N228" s="37" t="s">
        <v>275</v>
      </c>
      <c r="O228" s="51"/>
      <c r="P228"/>
    </row>
    <row r="229" spans="2:16" ht="26.25" thickBot="1" x14ac:dyDescent="0.3">
      <c r="B229" s="96"/>
      <c r="C229" s="96"/>
      <c r="D229" s="103"/>
      <c r="E229" s="120"/>
      <c r="F229" s="29" t="s">
        <v>28</v>
      </c>
      <c r="G229" s="28" t="s">
        <v>5</v>
      </c>
      <c r="H229" s="29" t="s">
        <v>6</v>
      </c>
      <c r="I229" s="28" t="s">
        <v>6</v>
      </c>
      <c r="J229" s="63" t="str">
        <f>IF(I229=H229,"RGS01",0)</f>
        <v>RGS01</v>
      </c>
      <c r="K229" s="64">
        <f>IF(I229=H229,0,"R1")</f>
        <v>0</v>
      </c>
      <c r="L229" s="29" t="s">
        <v>298</v>
      </c>
      <c r="M229" s="29"/>
      <c r="N229" s="65" t="s">
        <v>307</v>
      </c>
      <c r="O229" s="50"/>
      <c r="P229"/>
    </row>
    <row r="230" spans="2:16" x14ac:dyDescent="0.25">
      <c r="B230" s="94" t="s">
        <v>399</v>
      </c>
      <c r="C230" s="94" t="s">
        <v>182</v>
      </c>
      <c r="D230" s="102" t="s">
        <v>94</v>
      </c>
      <c r="E230" s="118" t="s">
        <v>200</v>
      </c>
      <c r="F230" s="20" t="s">
        <v>14</v>
      </c>
      <c r="G230" s="19" t="s">
        <v>21</v>
      </c>
      <c r="H230" s="20">
        <v>150</v>
      </c>
      <c r="I230" s="19">
        <v>100</v>
      </c>
      <c r="J230" s="35">
        <f>IF(I230&gt;=H230,"RGS01",0)</f>
        <v>0</v>
      </c>
      <c r="K230" s="36" t="str">
        <f>IF(I230&lt;H230,"L1",0)</f>
        <v>L1</v>
      </c>
      <c r="L230" s="27"/>
      <c r="M230" s="27"/>
      <c r="N230" s="37" t="s">
        <v>275</v>
      </c>
      <c r="O230" s="51"/>
      <c r="P230"/>
    </row>
    <row r="231" spans="2:16" ht="26.25" thickBot="1" x14ac:dyDescent="0.3">
      <c r="B231" s="96"/>
      <c r="C231" s="96"/>
      <c r="D231" s="103"/>
      <c r="E231" s="120"/>
      <c r="F231" s="29" t="s">
        <v>28</v>
      </c>
      <c r="G231" s="28" t="s">
        <v>5</v>
      </c>
      <c r="H231" s="29" t="s">
        <v>6</v>
      </c>
      <c r="I231" s="28" t="s">
        <v>6</v>
      </c>
      <c r="J231" s="63" t="str">
        <f>IF(I231=H231,"RGS01",0)</f>
        <v>RGS01</v>
      </c>
      <c r="K231" s="64">
        <f>IF(I231=H231,0,"R1")</f>
        <v>0</v>
      </c>
      <c r="L231" s="29" t="s">
        <v>298</v>
      </c>
      <c r="M231" s="29"/>
      <c r="N231" s="65" t="s">
        <v>307</v>
      </c>
      <c r="O231" s="50"/>
      <c r="P231"/>
    </row>
    <row r="232" spans="2:16" ht="15" customHeight="1" x14ac:dyDescent="0.25">
      <c r="B232" s="94" t="s">
        <v>433</v>
      </c>
      <c r="C232" s="94" t="s">
        <v>240</v>
      </c>
      <c r="D232" s="102" t="s">
        <v>241</v>
      </c>
      <c r="E232" s="118" t="s">
        <v>200</v>
      </c>
      <c r="F232" s="20" t="s">
        <v>14</v>
      </c>
      <c r="G232" s="19" t="s">
        <v>21</v>
      </c>
      <c r="H232" s="20">
        <v>150</v>
      </c>
      <c r="I232" s="19">
        <v>100</v>
      </c>
      <c r="J232" s="35">
        <f>IF(I232&gt;=H232,"RGS01",0)</f>
        <v>0</v>
      </c>
      <c r="K232" s="36" t="str">
        <f>IF(I232&lt;H232,"L1",0)</f>
        <v>L1</v>
      </c>
      <c r="L232" s="27"/>
      <c r="M232" s="27"/>
      <c r="N232" s="37" t="s">
        <v>275</v>
      </c>
      <c r="O232" s="51"/>
      <c r="P232"/>
    </row>
    <row r="233" spans="2:16" ht="26.25" thickBot="1" x14ac:dyDescent="0.3">
      <c r="B233" s="96"/>
      <c r="C233" s="96"/>
      <c r="D233" s="103"/>
      <c r="E233" s="120"/>
      <c r="F233" s="29" t="s">
        <v>28</v>
      </c>
      <c r="G233" s="28" t="s">
        <v>5</v>
      </c>
      <c r="H233" s="29" t="s">
        <v>6</v>
      </c>
      <c r="I233" s="28" t="s">
        <v>6</v>
      </c>
      <c r="J233" s="63" t="str">
        <f>IF(I233=H233,"RGS01",0)</f>
        <v>RGS01</v>
      </c>
      <c r="K233" s="64">
        <f>IF(I233=H233,0,"R1")</f>
        <v>0</v>
      </c>
      <c r="L233" s="29" t="s">
        <v>298</v>
      </c>
      <c r="M233" s="29"/>
      <c r="N233" s="65" t="s">
        <v>307</v>
      </c>
      <c r="O233" s="57"/>
      <c r="P233"/>
    </row>
    <row r="234" spans="2:16" ht="15.75" thickBot="1" x14ac:dyDescent="0.3">
      <c r="B234" s="94" t="s">
        <v>393</v>
      </c>
      <c r="C234" s="134" t="s">
        <v>196</v>
      </c>
      <c r="D234" s="131" t="s">
        <v>197</v>
      </c>
      <c r="E234" s="134" t="s">
        <v>161</v>
      </c>
      <c r="F234" s="20" t="s">
        <v>14</v>
      </c>
      <c r="G234" s="19" t="s">
        <v>21</v>
      </c>
      <c r="H234" s="20">
        <v>150</v>
      </c>
      <c r="I234" s="19">
        <v>100</v>
      </c>
      <c r="J234" s="35">
        <f>IF(I234&gt;=H234,"RKJ01",0)</f>
        <v>0</v>
      </c>
      <c r="K234" s="36" t="str">
        <f>IF(I234&lt;H234,"L1",0)</f>
        <v>L1</v>
      </c>
      <c r="L234" s="27"/>
      <c r="M234" s="27"/>
      <c r="N234" s="37" t="s">
        <v>286</v>
      </c>
      <c r="O234" s="66"/>
      <c r="P234"/>
    </row>
    <row r="235" spans="2:16" ht="30.75" thickBot="1" x14ac:dyDescent="0.3">
      <c r="B235" s="95"/>
      <c r="C235" s="135"/>
      <c r="D235" s="131"/>
      <c r="E235" s="134"/>
      <c r="F235" s="22" t="s">
        <v>57</v>
      </c>
      <c r="G235" s="21" t="s">
        <v>60</v>
      </c>
      <c r="H235" s="22">
        <v>2</v>
      </c>
      <c r="I235" s="21">
        <v>1</v>
      </c>
      <c r="J235" s="38" t="str">
        <f>IF(I235&lt;=H235,"Kursi",0)</f>
        <v>Kursi</v>
      </c>
      <c r="K235" s="39">
        <f>IF(I235&gt;H235,"Batal",0)</f>
        <v>0</v>
      </c>
      <c r="L235" s="17"/>
      <c r="M235" s="17"/>
      <c r="N235" s="40" t="s">
        <v>278</v>
      </c>
      <c r="O235" s="57"/>
      <c r="P235"/>
    </row>
    <row r="236" spans="2:16" ht="26.25" thickBot="1" x14ac:dyDescent="0.3">
      <c r="B236" s="96"/>
      <c r="C236" s="136"/>
      <c r="D236" s="131"/>
      <c r="E236" s="137"/>
      <c r="F236" s="26" t="s">
        <v>28</v>
      </c>
      <c r="G236" s="23" t="s">
        <v>198</v>
      </c>
      <c r="H236" s="26" t="s">
        <v>49</v>
      </c>
      <c r="I236" s="23" t="s">
        <v>19</v>
      </c>
      <c r="J236" s="46">
        <f>IF(I236=H236,"Komputer",0)</f>
        <v>0</v>
      </c>
      <c r="K236" s="47" t="str">
        <f>IF(I236=H236,0,"E1")</f>
        <v>E1</v>
      </c>
      <c r="L236" s="16" t="s">
        <v>264</v>
      </c>
      <c r="M236" s="16"/>
      <c r="N236" s="48" t="s">
        <v>257</v>
      </c>
      <c r="O236" s="56"/>
      <c r="P236"/>
    </row>
    <row r="237" spans="2:16" ht="45" customHeight="1" x14ac:dyDescent="0.25">
      <c r="B237" s="94" t="s">
        <v>432</v>
      </c>
      <c r="C237" s="134" t="s">
        <v>116</v>
      </c>
      <c r="D237" s="131" t="s">
        <v>192</v>
      </c>
      <c r="E237" s="134" t="s">
        <v>161</v>
      </c>
      <c r="F237" s="20" t="s">
        <v>14</v>
      </c>
      <c r="G237" s="21" t="s">
        <v>21</v>
      </c>
      <c r="H237" s="22">
        <v>150</v>
      </c>
      <c r="I237" s="21">
        <v>100</v>
      </c>
      <c r="J237" s="35">
        <f>IF(I237&gt;=H237,"RKJ01",0)</f>
        <v>0</v>
      </c>
      <c r="K237" s="36" t="str">
        <f>IF(I237&lt;H237,"L1",0)</f>
        <v>L1</v>
      </c>
      <c r="L237" s="27"/>
      <c r="M237" s="27"/>
      <c r="N237" s="37" t="s">
        <v>286</v>
      </c>
      <c r="O237" s="51"/>
      <c r="P237"/>
    </row>
    <row r="238" spans="2:16" ht="30" x14ac:dyDescent="0.25">
      <c r="B238" s="95"/>
      <c r="C238" s="135"/>
      <c r="D238" s="132"/>
      <c r="E238" s="135"/>
      <c r="F238" s="22" t="s">
        <v>57</v>
      </c>
      <c r="G238" s="21" t="s">
        <v>60</v>
      </c>
      <c r="H238" s="22">
        <v>2</v>
      </c>
      <c r="I238" s="21">
        <v>1</v>
      </c>
      <c r="J238" s="38" t="str">
        <f>IF(I238&lt;=H238,"Printer",0)</f>
        <v>Printer</v>
      </c>
      <c r="K238" s="39">
        <f>IF(I238&gt;H238,"Batal",0)</f>
        <v>0</v>
      </c>
      <c r="L238" s="17"/>
      <c r="M238" s="17"/>
      <c r="N238" s="40" t="s">
        <v>194</v>
      </c>
      <c r="O238" s="42"/>
      <c r="P238"/>
    </row>
    <row r="239" spans="2:16" ht="26.25" thickBot="1" x14ac:dyDescent="0.3">
      <c r="B239" s="96"/>
      <c r="C239" s="136"/>
      <c r="D239" s="133"/>
      <c r="E239" s="136"/>
      <c r="F239" s="26" t="s">
        <v>28</v>
      </c>
      <c r="G239" s="23" t="s">
        <v>195</v>
      </c>
      <c r="H239" s="26" t="s">
        <v>49</v>
      </c>
      <c r="I239" s="23" t="s">
        <v>19</v>
      </c>
      <c r="J239" s="46">
        <f>IF(I239=H239,"Printer",0)</f>
        <v>0</v>
      </c>
      <c r="K239" s="47" t="str">
        <f>IF(I239=H239,0,"E1")</f>
        <v>E1</v>
      </c>
      <c r="L239" s="16" t="s">
        <v>264</v>
      </c>
      <c r="M239" s="16"/>
      <c r="N239" s="48" t="s">
        <v>261</v>
      </c>
      <c r="O239" s="52"/>
      <c r="P239"/>
    </row>
    <row r="240" spans="2:16" ht="25.5" x14ac:dyDescent="0.25">
      <c r="B240" s="94" t="s">
        <v>393</v>
      </c>
      <c r="C240" s="134" t="s">
        <v>190</v>
      </c>
      <c r="D240" s="131" t="s">
        <v>191</v>
      </c>
      <c r="E240" s="134" t="s">
        <v>30</v>
      </c>
      <c r="F240" s="20" t="s">
        <v>28</v>
      </c>
      <c r="G240" s="19" t="s">
        <v>5</v>
      </c>
      <c r="H240" s="20" t="s">
        <v>6</v>
      </c>
      <c r="I240" s="19" t="s">
        <v>33</v>
      </c>
      <c r="J240" s="35">
        <f>IF(I240=H240,"Pintu",0)</f>
        <v>0</v>
      </c>
      <c r="K240" s="36" t="str">
        <f>IF(I240=H240,0,"Batal")</f>
        <v>Batal</v>
      </c>
      <c r="L240" s="20" t="s">
        <v>293</v>
      </c>
      <c r="M240" s="20"/>
      <c r="N240" s="37" t="s">
        <v>85</v>
      </c>
      <c r="O240" s="66"/>
      <c r="P240"/>
    </row>
    <row r="241" spans="2:16" x14ac:dyDescent="0.25">
      <c r="B241" s="95"/>
      <c r="C241" s="135"/>
      <c r="D241" s="132"/>
      <c r="E241" s="135"/>
      <c r="F241" s="22" t="s">
        <v>14</v>
      </c>
      <c r="G241" s="21" t="s">
        <v>21</v>
      </c>
      <c r="H241" s="22">
        <v>150</v>
      </c>
      <c r="I241" s="21">
        <v>100</v>
      </c>
      <c r="J241" s="38">
        <f>IF(I241&gt;=H241,"RTU01",0)</f>
        <v>0</v>
      </c>
      <c r="K241" s="39" t="str">
        <f>IF(I241&lt;H241,"L1",0)</f>
        <v>L1</v>
      </c>
      <c r="L241" s="17"/>
      <c r="M241" s="17"/>
      <c r="N241" s="40" t="s">
        <v>269</v>
      </c>
      <c r="O241" s="57"/>
      <c r="P241"/>
    </row>
    <row r="242" spans="2:16" ht="30.75" thickBot="1" x14ac:dyDescent="0.3">
      <c r="B242" s="96"/>
      <c r="C242" s="136"/>
      <c r="D242" s="133"/>
      <c r="E242" s="136"/>
      <c r="F242" s="26" t="s">
        <v>57</v>
      </c>
      <c r="G242" s="23" t="s">
        <v>60</v>
      </c>
      <c r="H242" s="26">
        <v>0.4</v>
      </c>
      <c r="I242" s="23">
        <v>1</v>
      </c>
      <c r="J242" s="46">
        <f>IF(I242&lt;H242,"Tempat tidur",0)</f>
        <v>0</v>
      </c>
      <c r="K242" s="47" t="str">
        <f>IF(I242&gt;=H242,"Batal",0)</f>
        <v>Batal</v>
      </c>
      <c r="L242" s="16" t="s">
        <v>293</v>
      </c>
      <c r="M242" s="16"/>
      <c r="N242" s="48" t="s">
        <v>92</v>
      </c>
      <c r="O242" s="56"/>
      <c r="P242"/>
    </row>
    <row r="243" spans="2:16" ht="30" customHeight="1" x14ac:dyDescent="0.25">
      <c r="B243" s="94" t="s">
        <v>431</v>
      </c>
      <c r="C243" s="134" t="s">
        <v>117</v>
      </c>
      <c r="D243" s="121" t="s">
        <v>153</v>
      </c>
      <c r="E243" s="121" t="s">
        <v>132</v>
      </c>
      <c r="F243" s="25" t="s">
        <v>14</v>
      </c>
      <c r="G243" s="24" t="s">
        <v>21</v>
      </c>
      <c r="H243" s="25">
        <v>150</v>
      </c>
      <c r="I243" s="24">
        <v>100</v>
      </c>
      <c r="J243" s="43">
        <f>IF(I243&gt;=H243,"RDP02",0)</f>
        <v>0</v>
      </c>
      <c r="K243" s="44" t="str">
        <f>IF(I243&lt;H243,"L1",0)</f>
        <v>L1</v>
      </c>
      <c r="L243" s="31"/>
      <c r="M243" s="31"/>
      <c r="N243" s="45" t="s">
        <v>287</v>
      </c>
      <c r="O243" s="50"/>
      <c r="P243"/>
    </row>
    <row r="244" spans="2:16" ht="30" x14ac:dyDescent="0.25">
      <c r="B244" s="95"/>
      <c r="C244" s="135"/>
      <c r="D244" s="121"/>
      <c r="E244" s="121"/>
      <c r="F244" s="22" t="s">
        <v>57</v>
      </c>
      <c r="G244" s="21" t="s">
        <v>60</v>
      </c>
      <c r="H244" s="22">
        <v>2</v>
      </c>
      <c r="I244" s="21">
        <v>2</v>
      </c>
      <c r="J244" s="38" t="str">
        <f>IF(I244&lt;=H244,"Rice cooker",0)</f>
        <v>Rice cooker</v>
      </c>
      <c r="K244" s="39">
        <f>IF(I244&gt;H244,"Batal",0)</f>
        <v>0</v>
      </c>
      <c r="L244" s="17"/>
      <c r="M244" s="17"/>
      <c r="N244" s="40" t="s">
        <v>288</v>
      </c>
      <c r="O244" s="42"/>
      <c r="P244"/>
    </row>
    <row r="245" spans="2:16" ht="30.75" thickBot="1" x14ac:dyDescent="0.3">
      <c r="B245" s="96"/>
      <c r="C245" s="136"/>
      <c r="D245" s="103"/>
      <c r="E245" s="103"/>
      <c r="F245" s="26" t="s">
        <v>28</v>
      </c>
      <c r="G245" s="23" t="s">
        <v>193</v>
      </c>
      <c r="H245" s="26" t="s">
        <v>19</v>
      </c>
      <c r="I245" s="23" t="s">
        <v>49</v>
      </c>
      <c r="J245" s="46">
        <f>IF(I245=H245,"RDP02",0)</f>
        <v>0</v>
      </c>
      <c r="K245" s="47" t="str">
        <f>IF(I245=H245,0,"E2")</f>
        <v>E2</v>
      </c>
      <c r="L245" s="16" t="s">
        <v>130</v>
      </c>
      <c r="M245" s="16"/>
      <c r="N245" s="48" t="s">
        <v>289</v>
      </c>
      <c r="O245" s="52"/>
      <c r="P245"/>
    </row>
    <row r="246" spans="2:16" ht="30" customHeight="1" x14ac:dyDescent="0.25">
      <c r="B246" s="94" t="s">
        <v>429</v>
      </c>
      <c r="C246" s="134" t="s">
        <v>330</v>
      </c>
      <c r="D246" s="102" t="s">
        <v>331</v>
      </c>
      <c r="E246" s="118" t="s">
        <v>24</v>
      </c>
      <c r="F246" s="20" t="s">
        <v>14</v>
      </c>
      <c r="G246" s="19" t="s">
        <v>21</v>
      </c>
      <c r="H246" s="20">
        <v>150</v>
      </c>
      <c r="I246" s="19">
        <v>100</v>
      </c>
      <c r="J246" s="35">
        <f>IF(I246&gt;=H246,"RKG01",0)</f>
        <v>0</v>
      </c>
      <c r="K246" s="36" t="str">
        <f>IF(I246&lt;H246,"L1",0)</f>
        <v>L1</v>
      </c>
      <c r="L246" s="27"/>
      <c r="M246" s="27"/>
      <c r="N246" s="37" t="s">
        <v>265</v>
      </c>
      <c r="O246" s="57"/>
      <c r="P246"/>
    </row>
    <row r="247" spans="2:16" ht="30" x14ac:dyDescent="0.25">
      <c r="B247" s="95"/>
      <c r="C247" s="135"/>
      <c r="D247" s="121"/>
      <c r="E247" s="119"/>
      <c r="F247" s="22" t="s">
        <v>57</v>
      </c>
      <c r="G247" s="21" t="s">
        <v>60</v>
      </c>
      <c r="H247" s="22">
        <v>1</v>
      </c>
      <c r="I247" s="21">
        <v>0.6</v>
      </c>
      <c r="J247" s="38" t="str">
        <f>IF(I247&lt;H247,"Sofa",0)</f>
        <v>Sofa</v>
      </c>
      <c r="K247" s="39">
        <f>IF(I247&gt;=H247,"RKG01",0)</f>
        <v>0</v>
      </c>
      <c r="L247" s="22"/>
      <c r="M247" s="22"/>
      <c r="N247" s="40" t="s">
        <v>290</v>
      </c>
      <c r="O247" s="57"/>
      <c r="P247"/>
    </row>
    <row r="248" spans="2:16" ht="25.5" x14ac:dyDescent="0.25">
      <c r="B248" s="95"/>
      <c r="C248" s="135"/>
      <c r="D248" s="121"/>
      <c r="E248" s="119"/>
      <c r="F248" s="22" t="s">
        <v>28</v>
      </c>
      <c r="G248" s="21" t="s">
        <v>25</v>
      </c>
      <c r="H248" s="22" t="s">
        <v>8</v>
      </c>
      <c r="I248" s="21" t="s">
        <v>8</v>
      </c>
      <c r="J248" s="38" t="str">
        <f>IF(I248=H248,"Sofa",0)</f>
        <v>Sofa</v>
      </c>
      <c r="K248" s="39">
        <f>IF(I248=H248,0,"RTU01")</f>
        <v>0</v>
      </c>
      <c r="L248" s="17"/>
      <c r="M248" s="17"/>
      <c r="N248" s="40" t="s">
        <v>90</v>
      </c>
      <c r="O248" s="57"/>
      <c r="P248"/>
    </row>
    <row r="249" spans="2:16" ht="30" x14ac:dyDescent="0.25">
      <c r="B249" s="95"/>
      <c r="C249" s="135"/>
      <c r="D249" s="121"/>
      <c r="E249" s="128"/>
      <c r="F249" s="22" t="s">
        <v>234</v>
      </c>
      <c r="G249" s="21" t="s">
        <v>64</v>
      </c>
      <c r="H249" s="22">
        <v>25</v>
      </c>
      <c r="I249" s="21">
        <v>25</v>
      </c>
      <c r="J249" s="38" t="str">
        <f>IF(I249&lt;=H249,"Sofa",0)</f>
        <v>Sofa</v>
      </c>
      <c r="K249" s="39">
        <f>IF(I249&gt;H249,"E1",0)</f>
        <v>0</v>
      </c>
      <c r="L249" s="17" t="s">
        <v>264</v>
      </c>
      <c r="M249" s="17"/>
      <c r="N249" s="40" t="s">
        <v>277</v>
      </c>
      <c r="O249" s="57"/>
      <c r="P249"/>
    </row>
    <row r="250" spans="2:16" ht="25.5" x14ac:dyDescent="0.25">
      <c r="B250" s="95"/>
      <c r="C250" s="135"/>
      <c r="D250" s="121"/>
      <c r="E250" s="127" t="s">
        <v>30</v>
      </c>
      <c r="F250" s="22" t="s">
        <v>28</v>
      </c>
      <c r="G250" s="21" t="s">
        <v>5</v>
      </c>
      <c r="H250" s="22" t="s">
        <v>6</v>
      </c>
      <c r="I250" s="21" t="s">
        <v>6</v>
      </c>
      <c r="J250" s="38" t="str">
        <f>IF(I250=H250,"Pintu",0)</f>
        <v>Pintu</v>
      </c>
      <c r="K250" s="39">
        <f>IF(I250=H250,0,"Batal")</f>
        <v>0</v>
      </c>
      <c r="L250" s="22"/>
      <c r="M250" s="22"/>
      <c r="N250" s="40" t="s">
        <v>85</v>
      </c>
      <c r="O250" s="57"/>
      <c r="P250"/>
    </row>
    <row r="251" spans="2:16" x14ac:dyDescent="0.25">
      <c r="B251" s="95"/>
      <c r="C251" s="135"/>
      <c r="D251" s="121"/>
      <c r="E251" s="119"/>
      <c r="F251" s="22" t="s">
        <v>14</v>
      </c>
      <c r="G251" s="21" t="s">
        <v>21</v>
      </c>
      <c r="H251" s="22">
        <v>150</v>
      </c>
      <c r="I251" s="21">
        <v>100</v>
      </c>
      <c r="J251" s="38">
        <f>IF(I251&gt;=H251,"RTU01",0)</f>
        <v>0</v>
      </c>
      <c r="K251" s="39" t="str">
        <f>IF(I251&lt;H251,"L1",0)</f>
        <v>L1</v>
      </c>
      <c r="L251" s="17"/>
      <c r="M251" s="17"/>
      <c r="N251" s="40" t="s">
        <v>269</v>
      </c>
      <c r="O251" s="57"/>
      <c r="P251"/>
    </row>
    <row r="252" spans="2:16" ht="30" x14ac:dyDescent="0.25">
      <c r="B252" s="95"/>
      <c r="C252" s="135"/>
      <c r="D252" s="121"/>
      <c r="E252" s="119"/>
      <c r="F252" s="22" t="s">
        <v>57</v>
      </c>
      <c r="G252" s="21" t="s">
        <v>60</v>
      </c>
      <c r="H252" s="22">
        <v>1</v>
      </c>
      <c r="I252" s="21">
        <v>0.2</v>
      </c>
      <c r="J252" s="38" t="str">
        <f>IF(I252&lt;H252,"Tempat tidur",0)</f>
        <v>Tempat tidur</v>
      </c>
      <c r="K252" s="39">
        <f>IF(I252&gt;=H252,"Batal",0)</f>
        <v>0</v>
      </c>
      <c r="L252" s="17"/>
      <c r="M252" s="17"/>
      <c r="N252" s="40" t="s">
        <v>92</v>
      </c>
      <c r="O252" s="57"/>
      <c r="P252"/>
    </row>
    <row r="253" spans="2:16" ht="30" x14ac:dyDescent="0.25">
      <c r="B253" s="95"/>
      <c r="C253" s="135"/>
      <c r="D253" s="121"/>
      <c r="E253" s="119"/>
      <c r="F253" s="22" t="s">
        <v>28</v>
      </c>
      <c r="G253" s="21" t="s">
        <v>31</v>
      </c>
      <c r="H253" s="22" t="s">
        <v>8</v>
      </c>
      <c r="I253" s="21" t="s">
        <v>8</v>
      </c>
      <c r="J253" s="38" t="str">
        <f>IF(I253=H253,"Tempat tidur",0)</f>
        <v>Tempat tidur</v>
      </c>
      <c r="K253" s="39">
        <f>IF(I253=H253,0,"Batal")</f>
        <v>0</v>
      </c>
      <c r="L253" s="17"/>
      <c r="M253" s="17"/>
      <c r="N253" s="40" t="s">
        <v>72</v>
      </c>
      <c r="O253" s="57"/>
      <c r="P253"/>
    </row>
    <row r="254" spans="2:16" ht="30.75" thickBot="1" x14ac:dyDescent="0.3">
      <c r="B254" s="96"/>
      <c r="C254" s="136"/>
      <c r="D254" s="103"/>
      <c r="E254" s="120"/>
      <c r="F254" s="26" t="s">
        <v>234</v>
      </c>
      <c r="G254" s="23" t="s">
        <v>64</v>
      </c>
      <c r="H254" s="26">
        <v>24</v>
      </c>
      <c r="I254" s="23">
        <v>25</v>
      </c>
      <c r="J254" s="46">
        <f>IF(I254&lt;=H254,"Tempat tidur",0)</f>
        <v>0</v>
      </c>
      <c r="K254" s="47" t="str">
        <f>IF(I254&gt;H254,"E1",0)</f>
        <v>E1</v>
      </c>
      <c r="L254" s="16" t="s">
        <v>264</v>
      </c>
      <c r="M254" s="16"/>
      <c r="N254" s="48" t="s">
        <v>262</v>
      </c>
      <c r="O254" s="57"/>
      <c r="P254"/>
    </row>
    <row r="255" spans="2:16" x14ac:dyDescent="0.25">
      <c r="B255" s="134" t="s">
        <v>430</v>
      </c>
      <c r="C255" s="134" t="s">
        <v>188</v>
      </c>
      <c r="D255" s="102" t="s">
        <v>189</v>
      </c>
      <c r="E255" s="118" t="s">
        <v>161</v>
      </c>
      <c r="F255" s="20" t="s">
        <v>14</v>
      </c>
      <c r="G255" s="19" t="s">
        <v>21</v>
      </c>
      <c r="H255" s="20">
        <v>150</v>
      </c>
      <c r="I255" s="19">
        <v>100</v>
      </c>
      <c r="J255" s="35">
        <f>IF(I255&gt;=H255,"RKJ01",0)</f>
        <v>0</v>
      </c>
      <c r="K255" s="36" t="str">
        <f>IF(I255&lt;H255,"L1",0)</f>
        <v>L1</v>
      </c>
      <c r="L255" s="27"/>
      <c r="M255" s="27"/>
      <c r="N255" s="37" t="s">
        <v>271</v>
      </c>
      <c r="O255" s="50"/>
      <c r="P255"/>
    </row>
    <row r="256" spans="2:16" ht="30" x14ac:dyDescent="0.25">
      <c r="B256" s="135"/>
      <c r="C256" s="135"/>
      <c r="D256" s="121"/>
      <c r="E256" s="119"/>
      <c r="F256" s="22" t="s">
        <v>57</v>
      </c>
      <c r="G256" s="21" t="s">
        <v>60</v>
      </c>
      <c r="H256" s="22">
        <v>1</v>
      </c>
      <c r="I256" s="21">
        <v>0.6</v>
      </c>
      <c r="J256" s="38" t="str">
        <f>IF(I256&lt;H256,"Sofa",0)</f>
        <v>Sofa</v>
      </c>
      <c r="K256" s="39">
        <f>IF(I256&gt;=H256,"RKJ01",0)</f>
        <v>0</v>
      </c>
      <c r="L256" s="22"/>
      <c r="M256" s="22"/>
      <c r="N256" s="40" t="s">
        <v>332</v>
      </c>
      <c r="O256" s="42"/>
      <c r="P256"/>
    </row>
    <row r="257" spans="2:16" ht="25.5" x14ac:dyDescent="0.25">
      <c r="B257" s="135"/>
      <c r="C257" s="135"/>
      <c r="D257" s="121"/>
      <c r="E257" s="119"/>
      <c r="F257" s="144" t="s">
        <v>28</v>
      </c>
      <c r="G257" s="21" t="s">
        <v>25</v>
      </c>
      <c r="H257" s="22" t="s">
        <v>8</v>
      </c>
      <c r="I257" s="21" t="s">
        <v>8</v>
      </c>
      <c r="J257" s="38" t="str">
        <f>IF(I257=H257,"Sofa",0)</f>
        <v>Sofa</v>
      </c>
      <c r="K257" s="39">
        <f>IF(I257=H257,0,"Kursi")</f>
        <v>0</v>
      </c>
      <c r="L257" s="17"/>
      <c r="M257" s="17"/>
      <c r="N257" s="40" t="s">
        <v>284</v>
      </c>
      <c r="O257" s="42"/>
      <c r="P257"/>
    </row>
    <row r="258" spans="2:16" ht="25.5" x14ac:dyDescent="0.25">
      <c r="B258" s="135"/>
      <c r="C258" s="135"/>
      <c r="D258" s="121"/>
      <c r="E258" s="119"/>
      <c r="F258" s="141"/>
      <c r="G258" s="21" t="s">
        <v>7</v>
      </c>
      <c r="H258" s="22" t="s">
        <v>8</v>
      </c>
      <c r="I258" s="21" t="s">
        <v>8</v>
      </c>
      <c r="J258" s="38" t="str">
        <f>IF(I258=H258,"Kursi",0)</f>
        <v>Kursi</v>
      </c>
      <c r="K258" s="39">
        <f>IF(I258=H258,0,"Batal")</f>
        <v>0</v>
      </c>
      <c r="L258" s="17"/>
      <c r="M258" s="17"/>
      <c r="N258" s="40" t="s">
        <v>333</v>
      </c>
      <c r="O258" s="42"/>
      <c r="P258"/>
    </row>
    <row r="259" spans="2:16" ht="30.75" thickBot="1" x14ac:dyDescent="0.3">
      <c r="B259" s="136"/>
      <c r="C259" s="136"/>
      <c r="D259" s="121"/>
      <c r="E259" s="119"/>
      <c r="F259" s="58" t="s">
        <v>234</v>
      </c>
      <c r="G259" s="30" t="s">
        <v>64</v>
      </c>
      <c r="H259" s="58">
        <v>25</v>
      </c>
      <c r="I259" s="30">
        <v>25</v>
      </c>
      <c r="J259" s="59" t="str">
        <f>IF(I259&lt;=H259,"Sofa",0)</f>
        <v>Sofa</v>
      </c>
      <c r="K259" s="60">
        <f>IF(I259&gt;H259,"E1",0)</f>
        <v>0</v>
      </c>
      <c r="L259" s="18" t="s">
        <v>264</v>
      </c>
      <c r="M259" s="18"/>
      <c r="N259" s="61" t="s">
        <v>277</v>
      </c>
      <c r="O259" s="42"/>
      <c r="P259"/>
    </row>
    <row r="260" spans="2:16" ht="45" customHeight="1" x14ac:dyDescent="0.25">
      <c r="B260" s="94" t="s">
        <v>430</v>
      </c>
      <c r="C260" s="94" t="s">
        <v>184</v>
      </c>
      <c r="D260" s="102" t="s">
        <v>185</v>
      </c>
      <c r="E260" s="102" t="s">
        <v>40</v>
      </c>
      <c r="F260" s="20" t="s">
        <v>14</v>
      </c>
      <c r="G260" s="19" t="s">
        <v>21</v>
      </c>
      <c r="H260" s="20">
        <v>150</v>
      </c>
      <c r="I260" s="19">
        <v>100</v>
      </c>
      <c r="J260" s="35">
        <f>IF(I260&gt;=H260,"RTS01",0)</f>
        <v>0</v>
      </c>
      <c r="K260" s="36" t="str">
        <f>IF(I260&lt;H260,"L1",0)</f>
        <v>L1</v>
      </c>
      <c r="L260" s="27"/>
      <c r="M260" s="27"/>
      <c r="N260" s="37" t="s">
        <v>334</v>
      </c>
      <c r="O260" s="50"/>
      <c r="P260"/>
    </row>
    <row r="261" spans="2:16" ht="30" x14ac:dyDescent="0.25">
      <c r="B261" s="95"/>
      <c r="C261" s="95"/>
      <c r="D261" s="121"/>
      <c r="E261" s="121"/>
      <c r="F261" s="22" t="s">
        <v>57</v>
      </c>
      <c r="G261" s="21" t="s">
        <v>60</v>
      </c>
      <c r="H261" s="22">
        <v>3</v>
      </c>
      <c r="I261" s="21">
        <v>1</v>
      </c>
      <c r="J261" s="38" t="str">
        <f>IF(I261&lt;=H261,"RTS01",0)</f>
        <v>RTS01</v>
      </c>
      <c r="K261" s="39">
        <f>IF(I261&gt;H261,"Batal",0)</f>
        <v>0</v>
      </c>
      <c r="L261" s="22"/>
      <c r="M261" s="22"/>
      <c r="N261" s="40" t="s">
        <v>335</v>
      </c>
      <c r="O261" s="50"/>
      <c r="P261"/>
    </row>
    <row r="262" spans="2:16" ht="15.75" thickBot="1" x14ac:dyDescent="0.3">
      <c r="B262" s="95"/>
      <c r="C262" s="95"/>
      <c r="D262" s="121"/>
      <c r="E262" s="103"/>
      <c r="F262" s="26" t="s">
        <v>28</v>
      </c>
      <c r="G262" s="23" t="s">
        <v>25</v>
      </c>
      <c r="H262" s="26" t="s">
        <v>8</v>
      </c>
      <c r="I262" s="23" t="s">
        <v>8</v>
      </c>
      <c r="J262" s="46" t="str">
        <f>IF(I262=H262,"Sofa",0)</f>
        <v>Sofa</v>
      </c>
      <c r="K262" s="47">
        <f>IF(I262=H262,0,"RTM01")</f>
        <v>0</v>
      </c>
      <c r="L262" s="16" t="s">
        <v>130</v>
      </c>
      <c r="M262" s="16"/>
      <c r="N262" s="48" t="s">
        <v>336</v>
      </c>
      <c r="O262" s="50"/>
      <c r="P262"/>
    </row>
    <row r="263" spans="2:16" x14ac:dyDescent="0.25">
      <c r="B263" s="95"/>
      <c r="C263" s="95"/>
      <c r="D263" s="121"/>
      <c r="E263" s="121" t="s">
        <v>38</v>
      </c>
      <c r="F263" s="25" t="s">
        <v>14</v>
      </c>
      <c r="G263" s="24" t="s">
        <v>21</v>
      </c>
      <c r="H263" s="25">
        <v>150</v>
      </c>
      <c r="I263" s="24">
        <v>100</v>
      </c>
      <c r="J263" s="43">
        <f>IF(I263&gt;=H263,"RTM01",0)</f>
        <v>0</v>
      </c>
      <c r="K263" s="44" t="str">
        <f>IF(I263&lt;H263,"L1",0)</f>
        <v>L1</v>
      </c>
      <c r="L263" s="31"/>
      <c r="M263" s="31"/>
      <c r="N263" s="45" t="s">
        <v>266</v>
      </c>
      <c r="O263" s="51"/>
      <c r="P263"/>
    </row>
    <row r="264" spans="2:16" ht="30" x14ac:dyDescent="0.25">
      <c r="B264" s="95"/>
      <c r="C264" s="95"/>
      <c r="D264" s="121"/>
      <c r="E264" s="121"/>
      <c r="F264" s="22" t="s">
        <v>57</v>
      </c>
      <c r="G264" s="21" t="s">
        <v>60</v>
      </c>
      <c r="H264" s="22">
        <v>3</v>
      </c>
      <c r="I264" s="21">
        <v>1</v>
      </c>
      <c r="J264" s="38" t="str">
        <f>IF(I264&lt;=H264,"RTM01",0)</f>
        <v>RTM01</v>
      </c>
      <c r="K264" s="39">
        <f>IF(I264&gt;H264,"Batal",0)</f>
        <v>0</v>
      </c>
      <c r="L264" s="22"/>
      <c r="M264" s="22"/>
      <c r="N264" s="40" t="s">
        <v>187</v>
      </c>
      <c r="O264" s="42"/>
    </row>
    <row r="265" spans="2:16" ht="15.75" thickBot="1" x14ac:dyDescent="0.3">
      <c r="B265" s="96"/>
      <c r="C265" s="96"/>
      <c r="D265" s="103"/>
      <c r="E265" s="103"/>
      <c r="F265" s="26" t="s">
        <v>28</v>
      </c>
      <c r="G265" s="23" t="s">
        <v>25</v>
      </c>
      <c r="H265" s="26" t="s">
        <v>8</v>
      </c>
      <c r="I265" s="23" t="s">
        <v>8</v>
      </c>
      <c r="J265" s="46" t="str">
        <f>IF(I265=H265,"Sofa",0)</f>
        <v>Sofa</v>
      </c>
      <c r="K265" s="47">
        <f>IF(I265=H265,0,"Batal")</f>
        <v>0</v>
      </c>
      <c r="L265" s="16" t="s">
        <v>130</v>
      </c>
      <c r="M265" s="16"/>
      <c r="N265" s="48" t="s">
        <v>186</v>
      </c>
      <c r="O265" s="52"/>
    </row>
  </sheetData>
  <mergeCells count="308">
    <mergeCell ref="B180:B184"/>
    <mergeCell ref="C180:C184"/>
    <mergeCell ref="C176:C179"/>
    <mergeCell ref="B176:B179"/>
    <mergeCell ref="B201:B202"/>
    <mergeCell ref="C201:C202"/>
    <mergeCell ref="B199:B200"/>
    <mergeCell ref="C199:C200"/>
    <mergeCell ref="B189:B194"/>
    <mergeCell ref="C189:C194"/>
    <mergeCell ref="B187:B188"/>
    <mergeCell ref="C187:C188"/>
    <mergeCell ref="B185:B186"/>
    <mergeCell ref="C185:C186"/>
    <mergeCell ref="C219:C227"/>
    <mergeCell ref="B219:B227"/>
    <mergeCell ref="B212:B218"/>
    <mergeCell ref="C212:C218"/>
    <mergeCell ref="B209:B211"/>
    <mergeCell ref="C209:C211"/>
    <mergeCell ref="B205:B208"/>
    <mergeCell ref="C205:C208"/>
    <mergeCell ref="B203:B204"/>
    <mergeCell ref="C203:C204"/>
    <mergeCell ref="C195:C196"/>
    <mergeCell ref="B195:B196"/>
    <mergeCell ref="B197:B198"/>
    <mergeCell ref="C197:C198"/>
    <mergeCell ref="B260:B265"/>
    <mergeCell ref="C260:C265"/>
    <mergeCell ref="C255:C259"/>
    <mergeCell ref="B255:B259"/>
    <mergeCell ref="B246:B254"/>
    <mergeCell ref="C246:C254"/>
    <mergeCell ref="B243:B245"/>
    <mergeCell ref="C243:C245"/>
    <mergeCell ref="B240:B242"/>
    <mergeCell ref="C240:C242"/>
    <mergeCell ref="B237:B239"/>
    <mergeCell ref="C237:C239"/>
    <mergeCell ref="B234:B236"/>
    <mergeCell ref="C234:C236"/>
    <mergeCell ref="B232:B233"/>
    <mergeCell ref="C232:C233"/>
    <mergeCell ref="B230:B231"/>
    <mergeCell ref="C230:C231"/>
    <mergeCell ref="B228:B229"/>
    <mergeCell ref="C228:C229"/>
    <mergeCell ref="E164:E165"/>
    <mergeCell ref="D164:D165"/>
    <mergeCell ref="D185:D186"/>
    <mergeCell ref="F257:F258"/>
    <mergeCell ref="E260:E262"/>
    <mergeCell ref="D260:D265"/>
    <mergeCell ref="E35:E38"/>
    <mergeCell ref="E39:E42"/>
    <mergeCell ref="D35:D42"/>
    <mergeCell ref="F107:F108"/>
    <mergeCell ref="D243:D245"/>
    <mergeCell ref="E243:E245"/>
    <mergeCell ref="D43:D45"/>
    <mergeCell ref="E43:E45"/>
    <mergeCell ref="D101:D103"/>
    <mergeCell ref="D59:D61"/>
    <mergeCell ref="E89:E91"/>
    <mergeCell ref="D72:D73"/>
    <mergeCell ref="D205:D208"/>
    <mergeCell ref="E205:E208"/>
    <mergeCell ref="D180:D184"/>
    <mergeCell ref="D64:D66"/>
    <mergeCell ref="E121:E123"/>
    <mergeCell ref="E246:E249"/>
    <mergeCell ref="E3:E5"/>
    <mergeCell ref="E12:E14"/>
    <mergeCell ref="D23:D28"/>
    <mergeCell ref="E26:E28"/>
    <mergeCell ref="E18:E22"/>
    <mergeCell ref="D18:D22"/>
    <mergeCell ref="E23:E25"/>
    <mergeCell ref="E6:E8"/>
    <mergeCell ref="D15:D17"/>
    <mergeCell ref="D3:D8"/>
    <mergeCell ref="D9:D14"/>
    <mergeCell ref="E49:E50"/>
    <mergeCell ref="E51:E52"/>
    <mergeCell ref="D49:D52"/>
    <mergeCell ref="C23:C28"/>
    <mergeCell ref="C15:C17"/>
    <mergeCell ref="C18:C22"/>
    <mergeCell ref="C46:C48"/>
    <mergeCell ref="C43:C45"/>
    <mergeCell ref="C49:C52"/>
    <mergeCell ref="E29:E31"/>
    <mergeCell ref="C29:C34"/>
    <mergeCell ref="C35:C42"/>
    <mergeCell ref="E32:E34"/>
    <mergeCell ref="D29:D34"/>
    <mergeCell ref="D166:D169"/>
    <mergeCell ref="E157:E159"/>
    <mergeCell ref="O64:O66"/>
    <mergeCell ref="D170:D171"/>
    <mergeCell ref="E170:E171"/>
    <mergeCell ref="D187:D188"/>
    <mergeCell ref="F193:F194"/>
    <mergeCell ref="D172:D175"/>
    <mergeCell ref="E172:E175"/>
    <mergeCell ref="E64:E66"/>
    <mergeCell ref="D79:D80"/>
    <mergeCell ref="E79:E80"/>
    <mergeCell ref="D92:D93"/>
    <mergeCell ref="E130:E134"/>
    <mergeCell ref="D87:D88"/>
    <mergeCell ref="E87:E88"/>
    <mergeCell ref="D74:D75"/>
    <mergeCell ref="E74:E75"/>
    <mergeCell ref="D76:D78"/>
    <mergeCell ref="E76:E78"/>
    <mergeCell ref="E151:E153"/>
    <mergeCell ref="E154:E156"/>
    <mergeCell ref="F191:F192"/>
    <mergeCell ref="E187:E188"/>
    <mergeCell ref="D62:D63"/>
    <mergeCell ref="D67:D69"/>
    <mergeCell ref="E67:E69"/>
    <mergeCell ref="C67:C69"/>
    <mergeCell ref="C70:C71"/>
    <mergeCell ref="E56:E58"/>
    <mergeCell ref="D94:D95"/>
    <mergeCell ref="E94:E95"/>
    <mergeCell ref="D84:D86"/>
    <mergeCell ref="E84:E86"/>
    <mergeCell ref="D81:D83"/>
    <mergeCell ref="E81:E83"/>
    <mergeCell ref="D56:D58"/>
    <mergeCell ref="C59:C61"/>
    <mergeCell ref="D54:D55"/>
    <mergeCell ref="E54:E55"/>
    <mergeCell ref="E72:E73"/>
    <mergeCell ref="E62:E63"/>
    <mergeCell ref="D70:D71"/>
    <mergeCell ref="E70:E71"/>
    <mergeCell ref="D46:D48"/>
    <mergeCell ref="E46:E48"/>
    <mergeCell ref="E263:E265"/>
    <mergeCell ref="D255:D259"/>
    <mergeCell ref="E255:E259"/>
    <mergeCell ref="D240:D242"/>
    <mergeCell ref="E240:E242"/>
    <mergeCell ref="E237:E239"/>
    <mergeCell ref="D237:D239"/>
    <mergeCell ref="E223:E227"/>
    <mergeCell ref="E219:E222"/>
    <mergeCell ref="D228:D229"/>
    <mergeCell ref="E232:E233"/>
    <mergeCell ref="D232:D233"/>
    <mergeCell ref="E250:E254"/>
    <mergeCell ref="D246:D254"/>
    <mergeCell ref="E234:E236"/>
    <mergeCell ref="D234:D236"/>
    <mergeCell ref="D230:D231"/>
    <mergeCell ref="E230:E231"/>
    <mergeCell ref="E228:E229"/>
    <mergeCell ref="D219:D227"/>
    <mergeCell ref="E185:E186"/>
    <mergeCell ref="D201:D202"/>
    <mergeCell ref="E201:E202"/>
    <mergeCell ref="D176:D179"/>
    <mergeCell ref="E176:E179"/>
    <mergeCell ref="E216:E218"/>
    <mergeCell ref="E212:E215"/>
    <mergeCell ref="D212:D218"/>
    <mergeCell ref="E189:E194"/>
    <mergeCell ref="D189:D194"/>
    <mergeCell ref="D195:D196"/>
    <mergeCell ref="E195:E196"/>
    <mergeCell ref="E197:E198"/>
    <mergeCell ref="D197:D198"/>
    <mergeCell ref="E180:E184"/>
    <mergeCell ref="D203:D204"/>
    <mergeCell ref="E203:E204"/>
    <mergeCell ref="D209:D211"/>
    <mergeCell ref="E209:E211"/>
    <mergeCell ref="D199:D200"/>
    <mergeCell ref="E199:E200"/>
    <mergeCell ref="E166:E169"/>
    <mergeCell ref="C142:C144"/>
    <mergeCell ref="E9:E11"/>
    <mergeCell ref="E148:E150"/>
    <mergeCell ref="E15:E17"/>
    <mergeCell ref="C111:C114"/>
    <mergeCell ref="C127:C129"/>
    <mergeCell ref="D127:D129"/>
    <mergeCell ref="E127:E129"/>
    <mergeCell ref="D115:D117"/>
    <mergeCell ref="E115:E117"/>
    <mergeCell ref="D142:D144"/>
    <mergeCell ref="E142:E144"/>
    <mergeCell ref="C104:C109"/>
    <mergeCell ref="C94:C95"/>
    <mergeCell ref="C96:C97"/>
    <mergeCell ref="C98:C100"/>
    <mergeCell ref="E59:E61"/>
    <mergeCell ref="D96:D97"/>
    <mergeCell ref="E96:E97"/>
    <mergeCell ref="C62:C63"/>
    <mergeCell ref="C87:C88"/>
    <mergeCell ref="E92:E93"/>
    <mergeCell ref="C81:C83"/>
    <mergeCell ref="D157:D162"/>
    <mergeCell ref="D151:D156"/>
    <mergeCell ref="D148:D150"/>
    <mergeCell ref="D118:D120"/>
    <mergeCell ref="E118:E120"/>
    <mergeCell ref="E135:E136"/>
    <mergeCell ref="E137:E138"/>
    <mergeCell ref="D135:D138"/>
    <mergeCell ref="C151:C156"/>
    <mergeCell ref="C130:C134"/>
    <mergeCell ref="D130:D134"/>
    <mergeCell ref="E160:E162"/>
    <mergeCell ref="E124:E126"/>
    <mergeCell ref="F140:O140"/>
    <mergeCell ref="F141:O141"/>
    <mergeCell ref="E145:E147"/>
    <mergeCell ref="D145:D147"/>
    <mergeCell ref="E111:E114"/>
    <mergeCell ref="C64:C66"/>
    <mergeCell ref="D98:D100"/>
    <mergeCell ref="D124:D126"/>
    <mergeCell ref="D121:D123"/>
    <mergeCell ref="C84:C86"/>
    <mergeCell ref="C92:C93"/>
    <mergeCell ref="C72:C73"/>
    <mergeCell ref="C74:C75"/>
    <mergeCell ref="C89:C91"/>
    <mergeCell ref="D89:D91"/>
    <mergeCell ref="C115:C117"/>
    <mergeCell ref="D104:D109"/>
    <mergeCell ref="C101:C103"/>
    <mergeCell ref="C76:C78"/>
    <mergeCell ref="E98:E100"/>
    <mergeCell ref="E104:E109"/>
    <mergeCell ref="E101:E103"/>
    <mergeCell ref="D111:D114"/>
    <mergeCell ref="C79:C80"/>
    <mergeCell ref="B43:B45"/>
    <mergeCell ref="B46:B48"/>
    <mergeCell ref="B49:B52"/>
    <mergeCell ref="B54:B55"/>
    <mergeCell ref="B56:B58"/>
    <mergeCell ref="B59:B61"/>
    <mergeCell ref="C3:C8"/>
    <mergeCell ref="B3:B8"/>
    <mergeCell ref="B9:B14"/>
    <mergeCell ref="C9:C14"/>
    <mergeCell ref="B15:B17"/>
    <mergeCell ref="B18:B22"/>
    <mergeCell ref="B23:B28"/>
    <mergeCell ref="B29:B34"/>
    <mergeCell ref="B35:B42"/>
    <mergeCell ref="C54:C55"/>
    <mergeCell ref="C56:C58"/>
    <mergeCell ref="B98:B100"/>
    <mergeCell ref="B64:B66"/>
    <mergeCell ref="B67:B69"/>
    <mergeCell ref="B76:B78"/>
    <mergeCell ref="B81:B83"/>
    <mergeCell ref="B62:B63"/>
    <mergeCell ref="B70:B71"/>
    <mergeCell ref="B72:B73"/>
    <mergeCell ref="B74:B75"/>
    <mergeCell ref="B79:B80"/>
    <mergeCell ref="B84:B86"/>
    <mergeCell ref="B87:B88"/>
    <mergeCell ref="B92:B93"/>
    <mergeCell ref="B94:B95"/>
    <mergeCell ref="B96:B97"/>
    <mergeCell ref="B89:B91"/>
    <mergeCell ref="B101:B103"/>
    <mergeCell ref="B104:B109"/>
    <mergeCell ref="B111:B114"/>
    <mergeCell ref="B115:B117"/>
    <mergeCell ref="C118:C120"/>
    <mergeCell ref="B118:B120"/>
    <mergeCell ref="C121:C123"/>
    <mergeCell ref="B121:B123"/>
    <mergeCell ref="C124:C126"/>
    <mergeCell ref="B124:B126"/>
    <mergeCell ref="B127:B129"/>
    <mergeCell ref="B130:B134"/>
    <mergeCell ref="C135:C138"/>
    <mergeCell ref="B135:B138"/>
    <mergeCell ref="B142:B144"/>
    <mergeCell ref="C145:C147"/>
    <mergeCell ref="B145:B147"/>
    <mergeCell ref="C148:C150"/>
    <mergeCell ref="B148:B150"/>
    <mergeCell ref="B151:B156"/>
    <mergeCell ref="C157:C162"/>
    <mergeCell ref="B157:B162"/>
    <mergeCell ref="C164:C165"/>
    <mergeCell ref="B164:B165"/>
    <mergeCell ref="B166:B169"/>
    <mergeCell ref="B170:B171"/>
    <mergeCell ref="C170:C171"/>
    <mergeCell ref="B172:B175"/>
    <mergeCell ref="C166:C169"/>
    <mergeCell ref="C172:C175"/>
  </mergeCells>
  <phoneticPr fontId="9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179DF-AE77-438F-859C-5ECEE5E997EA}">
  <sheetPr codeName="Sheet2"/>
  <dimension ref="B2:D13"/>
  <sheetViews>
    <sheetView workbookViewId="0">
      <selection activeCell="D8" sqref="D8"/>
    </sheetView>
  </sheetViews>
  <sheetFormatPr defaultRowHeight="15" x14ac:dyDescent="0.25"/>
  <cols>
    <col min="2" max="2" width="3.5703125" bestFit="1" customWidth="1"/>
    <col min="3" max="3" width="5.5703125" bestFit="1" customWidth="1"/>
  </cols>
  <sheetData>
    <row r="2" spans="2:4" x14ac:dyDescent="0.25">
      <c r="B2" t="s">
        <v>127</v>
      </c>
      <c r="C2" t="s">
        <v>4</v>
      </c>
      <c r="D2" t="s">
        <v>13</v>
      </c>
    </row>
    <row r="3" spans="2:4" x14ac:dyDescent="0.25">
      <c r="C3" t="s">
        <v>313</v>
      </c>
      <c r="D3" t="s">
        <v>338</v>
      </c>
    </row>
    <row r="4" spans="2:4" x14ac:dyDescent="0.25">
      <c r="C4" t="s">
        <v>343</v>
      </c>
      <c r="D4" t="s">
        <v>344</v>
      </c>
    </row>
    <row r="5" spans="2:4" x14ac:dyDescent="0.25">
      <c r="C5" t="s">
        <v>223</v>
      </c>
      <c r="D5" t="s">
        <v>254</v>
      </c>
    </row>
    <row r="6" spans="2:4" x14ac:dyDescent="0.25">
      <c r="C6" t="s">
        <v>224</v>
      </c>
      <c r="D6" t="s">
        <v>255</v>
      </c>
    </row>
    <row r="7" spans="2:4" x14ac:dyDescent="0.25">
      <c r="C7" t="s">
        <v>374</v>
      </c>
      <c r="D7" t="s">
        <v>375</v>
      </c>
    </row>
    <row r="8" spans="2:4" x14ac:dyDescent="0.25">
      <c r="C8" t="s">
        <v>128</v>
      </c>
      <c r="D8" t="s">
        <v>131</v>
      </c>
    </row>
    <row r="9" spans="2:4" x14ac:dyDescent="0.25">
      <c r="C9" t="s">
        <v>130</v>
      </c>
      <c r="D9" t="s">
        <v>295</v>
      </c>
    </row>
    <row r="10" spans="2:4" x14ac:dyDescent="0.25">
      <c r="C10" t="s">
        <v>228</v>
      </c>
      <c r="D10" t="s">
        <v>229</v>
      </c>
    </row>
    <row r="11" spans="2:4" x14ac:dyDescent="0.25">
      <c r="C11" t="s">
        <v>96</v>
      </c>
      <c r="D11" t="s">
        <v>230</v>
      </c>
    </row>
    <row r="12" spans="2:4" x14ac:dyDescent="0.25">
      <c r="C12" t="s">
        <v>292</v>
      </c>
      <c r="D12" t="s">
        <v>294</v>
      </c>
    </row>
    <row r="13" spans="2:4" x14ac:dyDescent="0.25">
      <c r="C13" t="s">
        <v>293</v>
      </c>
      <c r="D13" t="s">
        <v>291</v>
      </c>
    </row>
  </sheetData>
  <phoneticPr fontId="9" type="noConversion"/>
  <pageMargins left="0.7" right="0.7" top="0.75" bottom="0.75" header="0.3" footer="0.3"/>
  <pageSetup paperSize="8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Prasyarat 3-Agen di depan ruang</vt:lpstr>
      <vt:lpstr>Aktivitas Pendukung</vt:lpstr>
    </vt:vector>
  </TitlesOfParts>
  <Company>VCP Studio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STUDIO_10</dc:creator>
  <cp:lastModifiedBy>ii</cp:lastModifiedBy>
  <dcterms:created xsi:type="dcterms:W3CDTF">2021-08-05T03:22:25Z</dcterms:created>
  <dcterms:modified xsi:type="dcterms:W3CDTF">2021-10-31T13:46:59Z</dcterms:modified>
</cp:coreProperties>
</file>