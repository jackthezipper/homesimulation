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validator\rumah01_100522\"/>
    </mc:Choice>
  </mc:AlternateContent>
  <xr:revisionPtr revIDLastSave="0" documentId="13_ncr:1_{430E0F9F-9D2A-49B4-BBED-16773A65F674}" xr6:coauthVersionLast="47" xr6:coauthVersionMax="47" xr10:uidLastSave="{00000000-0000-0000-0000-000000000000}"/>
  <bookViews>
    <workbookView xWindow="20460" yWindow="3675" windowWidth="17790" windowHeight="7560" activeTab="1" xr2:uid="{00000000-000D-0000-FFFF-FFFF00000000}"/>
  </bookViews>
  <sheets>
    <sheet name="Tingkat IC" sheetId="7" r:id="rId1"/>
    <sheet name="(Hr) Kal.B+Cons" sheetId="5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0" i="5" l="1"/>
  <c r="D93" i="5" s="1"/>
  <c r="D80" i="5"/>
  <c r="D81" i="5"/>
  <c r="D92" i="5"/>
  <c r="D91" i="5" s="1"/>
  <c r="D7" i="5"/>
  <c r="D9" i="5" s="1"/>
  <c r="D8" i="5"/>
  <c r="D12" i="5"/>
  <c r="D14" i="5"/>
  <c r="D15" i="5"/>
  <c r="D17" i="5"/>
  <c r="D19" i="5"/>
  <c r="D20" i="5" s="1"/>
  <c r="D24" i="5"/>
  <c r="D27" i="5"/>
  <c r="D28" i="5"/>
  <c r="D29" i="5" s="1"/>
  <c r="D33" i="5"/>
  <c r="D36" i="5"/>
  <c r="D38" i="5" s="1"/>
  <c r="D40" i="5" s="1"/>
  <c r="D37" i="5"/>
  <c r="D44" i="5"/>
  <c r="D46" i="5"/>
  <c r="D49" i="5" s="1"/>
  <c r="D47" i="5"/>
  <c r="D52" i="5"/>
  <c r="D53" i="5"/>
  <c r="D67" i="5" s="1"/>
  <c r="D57" i="5"/>
  <c r="D60" i="5"/>
  <c r="D62" i="5"/>
  <c r="D63" i="5" s="1"/>
  <c r="D66" i="5" s="1"/>
  <c r="D68" i="5"/>
  <c r="D73" i="5"/>
  <c r="D75" i="5"/>
  <c r="D78" i="5"/>
  <c r="D97" i="5"/>
  <c r="D98" i="5"/>
  <c r="D100" i="5"/>
  <c r="D103" i="5" s="1"/>
  <c r="D102" i="5"/>
  <c r="D82" i="5" l="1"/>
  <c r="D84" i="5" s="1"/>
  <c r="D85" i="5" s="1"/>
  <c r="D89" i="5" s="1"/>
  <c r="C14" i="5" l="1"/>
  <c r="E46" i="5"/>
  <c r="C46" i="5"/>
  <c r="E51" i="5"/>
  <c r="E52" i="5" s="1"/>
  <c r="E78" i="5" l="1"/>
  <c r="E79" i="5" s="1"/>
  <c r="C29" i="7"/>
  <c r="F29" i="7" l="1"/>
  <c r="H29" i="7"/>
  <c r="D29" i="7"/>
  <c r="G29" i="7"/>
  <c r="E29" i="7"/>
  <c r="E57" i="5"/>
  <c r="C5" i="7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CW14" i="5"/>
  <c r="CX14" i="5"/>
  <c r="CY14" i="5"/>
  <c r="CZ14" i="5"/>
  <c r="DA14" i="5"/>
  <c r="DB14" i="5"/>
  <c r="DC14" i="5"/>
  <c r="DD14" i="5"/>
  <c r="DE14" i="5"/>
  <c r="DF14" i="5"/>
  <c r="DG14" i="5"/>
  <c r="DH14" i="5"/>
  <c r="DI14" i="5"/>
  <c r="DJ14" i="5"/>
  <c r="DK14" i="5"/>
  <c r="DL14" i="5"/>
  <c r="DM14" i="5"/>
  <c r="DN14" i="5"/>
  <c r="DO14" i="5"/>
  <c r="DP14" i="5"/>
  <c r="DQ14" i="5"/>
  <c r="DR14" i="5"/>
  <c r="DS14" i="5"/>
  <c r="DT14" i="5"/>
  <c r="E14" i="5"/>
  <c r="F5" i="7" l="1"/>
  <c r="H5" i="7"/>
  <c r="G5" i="7"/>
  <c r="E5" i="7"/>
  <c r="D5" i="7"/>
  <c r="E33" i="5"/>
  <c r="C97" i="5" l="1"/>
  <c r="E97" i="5" s="1"/>
  <c r="E73" i="5"/>
  <c r="L2" i="5" l="1"/>
  <c r="E44" i="5" l="1"/>
  <c r="E12" i="5" s="1"/>
  <c r="F18" i="5"/>
  <c r="F44" i="5" l="1"/>
  <c r="F12" i="5" s="1"/>
  <c r="E92" i="5"/>
  <c r="E102" i="5"/>
  <c r="E91" i="5" l="1"/>
  <c r="E104" i="5"/>
  <c r="E18" i="5" l="1"/>
  <c r="E53" i="5" l="1"/>
  <c r="E25" i="5" l="1"/>
  <c r="E34" i="5" l="1"/>
  <c r="E69" i="5" l="1"/>
  <c r="E72" i="5" s="1"/>
  <c r="E62" i="5"/>
  <c r="E63" i="5" l="1"/>
  <c r="E66" i="5" s="1"/>
  <c r="E75" i="5"/>
  <c r="E7" i="5"/>
  <c r="E67" i="5"/>
  <c r="F69" i="5"/>
  <c r="G69" i="5" s="1"/>
  <c r="H69" i="5" s="1"/>
  <c r="I69" i="5" s="1"/>
  <c r="J69" i="5" s="1"/>
  <c r="K69" i="5" s="1"/>
  <c r="L69" i="5" s="1"/>
  <c r="M69" i="5" s="1"/>
  <c r="N69" i="5" s="1"/>
  <c r="O69" i="5" s="1"/>
  <c r="P69" i="5" s="1"/>
  <c r="Q69" i="5" s="1"/>
  <c r="R69" i="5" s="1"/>
  <c r="S69" i="5" s="1"/>
  <c r="T69" i="5" s="1"/>
  <c r="U69" i="5" s="1"/>
  <c r="V69" i="5" s="1"/>
  <c r="W69" i="5" s="1"/>
  <c r="X69" i="5" s="1"/>
  <c r="Y69" i="5" s="1"/>
  <c r="Z69" i="5" s="1"/>
  <c r="AA69" i="5" s="1"/>
  <c r="AB69" i="5" s="1"/>
  <c r="AC69" i="5" s="1"/>
  <c r="AD69" i="5" s="1"/>
  <c r="AE69" i="5" s="1"/>
  <c r="AF69" i="5" s="1"/>
  <c r="AG69" i="5" s="1"/>
  <c r="AH69" i="5" s="1"/>
  <c r="AI69" i="5" s="1"/>
  <c r="AJ69" i="5" s="1"/>
  <c r="AK69" i="5" s="1"/>
  <c r="AL69" i="5" s="1"/>
  <c r="AM69" i="5" s="1"/>
  <c r="AN69" i="5" s="1"/>
  <c r="AO69" i="5" s="1"/>
  <c r="AP69" i="5" s="1"/>
  <c r="AQ69" i="5" s="1"/>
  <c r="AR69" i="5" s="1"/>
  <c r="AS69" i="5" s="1"/>
  <c r="AT69" i="5" s="1"/>
  <c r="AU69" i="5" s="1"/>
  <c r="AV69" i="5" s="1"/>
  <c r="AW69" i="5" s="1"/>
  <c r="AX69" i="5" s="1"/>
  <c r="AY69" i="5" s="1"/>
  <c r="AZ69" i="5" s="1"/>
  <c r="BA69" i="5" s="1"/>
  <c r="BB69" i="5" s="1"/>
  <c r="BC69" i="5" s="1"/>
  <c r="BD69" i="5" s="1"/>
  <c r="BE69" i="5" s="1"/>
  <c r="BF69" i="5" s="1"/>
  <c r="BG69" i="5" s="1"/>
  <c r="BH69" i="5" s="1"/>
  <c r="BI69" i="5" s="1"/>
  <c r="BJ69" i="5" s="1"/>
  <c r="BK69" i="5" s="1"/>
  <c r="BL69" i="5" s="1"/>
  <c r="BM69" i="5" s="1"/>
  <c r="BN69" i="5" s="1"/>
  <c r="BO69" i="5" s="1"/>
  <c r="BP69" i="5" s="1"/>
  <c r="BQ69" i="5" s="1"/>
  <c r="BR69" i="5" s="1"/>
  <c r="BS69" i="5" s="1"/>
  <c r="BT69" i="5" s="1"/>
  <c r="BU69" i="5" s="1"/>
  <c r="BV69" i="5" s="1"/>
  <c r="BW69" i="5" s="1"/>
  <c r="BX69" i="5" s="1"/>
  <c r="BY69" i="5" s="1"/>
  <c r="BZ69" i="5" s="1"/>
  <c r="CA69" i="5" s="1"/>
  <c r="CB69" i="5" s="1"/>
  <c r="CC69" i="5" s="1"/>
  <c r="CD69" i="5" s="1"/>
  <c r="CE69" i="5" s="1"/>
  <c r="CF69" i="5" s="1"/>
  <c r="CG69" i="5" s="1"/>
  <c r="CH69" i="5" s="1"/>
  <c r="CI69" i="5" s="1"/>
  <c r="CJ69" i="5" s="1"/>
  <c r="CK69" i="5" s="1"/>
  <c r="CL69" i="5" s="1"/>
  <c r="CM69" i="5" s="1"/>
  <c r="CN69" i="5" s="1"/>
  <c r="CO69" i="5" s="1"/>
  <c r="CP69" i="5" s="1"/>
  <c r="CQ69" i="5" s="1"/>
  <c r="CR69" i="5" s="1"/>
  <c r="CS69" i="5" s="1"/>
  <c r="CT69" i="5" s="1"/>
  <c r="CU69" i="5" s="1"/>
  <c r="CV69" i="5" s="1"/>
  <c r="CW69" i="5" s="1"/>
  <c r="CX69" i="5" s="1"/>
  <c r="CY69" i="5" s="1"/>
  <c r="CZ69" i="5" s="1"/>
  <c r="DA69" i="5" s="1"/>
  <c r="DB69" i="5" s="1"/>
  <c r="DC69" i="5" s="1"/>
  <c r="DD69" i="5" s="1"/>
  <c r="DE69" i="5" s="1"/>
  <c r="DF69" i="5" s="1"/>
  <c r="DG69" i="5" s="1"/>
  <c r="DH69" i="5" s="1"/>
  <c r="DI69" i="5" s="1"/>
  <c r="DJ69" i="5" s="1"/>
  <c r="DK69" i="5" s="1"/>
  <c r="DL69" i="5" s="1"/>
  <c r="DM69" i="5" s="1"/>
  <c r="DN69" i="5" s="1"/>
  <c r="DO69" i="5" s="1"/>
  <c r="DP69" i="5" s="1"/>
  <c r="DQ69" i="5" s="1"/>
  <c r="DR69" i="5" s="1"/>
  <c r="DS69" i="5" s="1"/>
  <c r="DT69" i="5" s="1"/>
  <c r="E6" i="5"/>
  <c r="E24" i="5"/>
  <c r="E56" i="5"/>
  <c r="E60" i="5" s="1"/>
  <c r="E68" i="5" l="1"/>
  <c r="E23" i="5"/>
  <c r="E27" i="5" s="1"/>
  <c r="E32" i="5"/>
  <c r="E36" i="5" s="1"/>
  <c r="E37" i="5" s="1"/>
  <c r="E38" i="5" s="1"/>
  <c r="E13" i="5"/>
  <c r="E8" i="5"/>
  <c r="E9" i="5" s="1"/>
  <c r="E96" i="5"/>
  <c r="E40" i="5" l="1"/>
  <c r="E41" i="5" s="1"/>
  <c r="F6" i="5"/>
  <c r="E28" i="5"/>
  <c r="E29" i="5" s="1"/>
  <c r="E47" i="5" l="1"/>
  <c r="F46" i="5"/>
  <c r="F51" i="5"/>
  <c r="E15" i="5"/>
  <c r="E17" i="5" s="1"/>
  <c r="E19" i="5" s="1"/>
  <c r="E20" i="5" s="1"/>
  <c r="F57" i="5"/>
  <c r="E80" i="5"/>
  <c r="E81" i="5" s="1"/>
  <c r="E82" i="5" s="1"/>
  <c r="F97" i="5"/>
  <c r="F73" i="5"/>
  <c r="F92" i="5"/>
  <c r="F72" i="5" s="1"/>
  <c r="F75" i="5" s="1"/>
  <c r="E98" i="5"/>
  <c r="E100" i="5" s="1"/>
  <c r="E103" i="5" s="1"/>
  <c r="F96" i="5" s="1"/>
  <c r="F102" i="5"/>
  <c r="F104" i="5" s="1"/>
  <c r="F33" i="5"/>
  <c r="F25" i="5"/>
  <c r="F7" i="5"/>
  <c r="F23" i="5"/>
  <c r="F32" i="5"/>
  <c r="F52" i="5" l="1"/>
  <c r="F78" i="5"/>
  <c r="F79" i="5" s="1"/>
  <c r="E83" i="5"/>
  <c r="E84" i="5" s="1"/>
  <c r="G18" i="5"/>
  <c r="F91" i="5"/>
  <c r="F53" i="5"/>
  <c r="G44" i="5"/>
  <c r="F8" i="5"/>
  <c r="F9" i="5" s="1"/>
  <c r="F13" i="5"/>
  <c r="F34" i="5"/>
  <c r="F24" i="5"/>
  <c r="F56" i="5"/>
  <c r="F60" i="5" s="1"/>
  <c r="F62" i="5" s="1"/>
  <c r="G12" i="5" l="1"/>
  <c r="F63" i="5"/>
  <c r="F66" i="5" s="1"/>
  <c r="E85" i="5"/>
  <c r="E89" i="5" s="1"/>
  <c r="E90" i="5" s="1"/>
  <c r="G6" i="5"/>
  <c r="F36" i="5"/>
  <c r="E93" i="5" l="1"/>
  <c r="F37" i="5"/>
  <c r="F38" i="5" s="1"/>
  <c r="F40" i="5" s="1"/>
  <c r="F41" i="5" l="1"/>
  <c r="F67" i="5"/>
  <c r="F68" i="5" s="1"/>
  <c r="F27" i="5"/>
  <c r="F28" i="5" s="1"/>
  <c r="F29" i="5" s="1"/>
  <c r="G23" i="5" s="1"/>
  <c r="F47" i="5" l="1"/>
  <c r="G51" i="5"/>
  <c r="G52" i="5" s="1"/>
  <c r="G46" i="5"/>
  <c r="G57" i="5"/>
  <c r="G56" i="5" s="1"/>
  <c r="G60" i="5" s="1"/>
  <c r="G62" i="5" s="1"/>
  <c r="F15" i="5"/>
  <c r="F17" i="5" s="1"/>
  <c r="F19" i="5" s="1"/>
  <c r="F20" i="5" s="1"/>
  <c r="G33" i="5"/>
  <c r="F98" i="5"/>
  <c r="F100" i="5" s="1"/>
  <c r="F103" i="5" s="1"/>
  <c r="G96" i="5" s="1"/>
  <c r="G25" i="5"/>
  <c r="F80" i="5"/>
  <c r="F81" i="5" s="1"/>
  <c r="G97" i="5"/>
  <c r="G92" i="5"/>
  <c r="G72" i="5" s="1"/>
  <c r="G75" i="5" s="1"/>
  <c r="G73" i="5"/>
  <c r="G102" i="5"/>
  <c r="G104" i="5" s="1"/>
  <c r="G32" i="5"/>
  <c r="G7" i="5"/>
  <c r="G24" i="5"/>
  <c r="G34" i="5"/>
  <c r="G63" i="5" l="1"/>
  <c r="G66" i="5" s="1"/>
  <c r="G8" i="5"/>
  <c r="G9" i="5" s="1"/>
  <c r="H6" i="5" s="1"/>
  <c r="G78" i="5"/>
  <c r="G79" i="5" s="1"/>
  <c r="G91" i="5"/>
  <c r="G53" i="5"/>
  <c r="G67" i="5" s="1"/>
  <c r="G13" i="5"/>
  <c r="H44" i="5"/>
  <c r="H12" i="5" s="1"/>
  <c r="H18" i="5"/>
  <c r="F82" i="5"/>
  <c r="F83" i="5" s="1"/>
  <c r="G27" i="5"/>
  <c r="G28" i="5" s="1"/>
  <c r="G29" i="5" s="1"/>
  <c r="G36" i="5"/>
  <c r="G37" i="5" s="1"/>
  <c r="G68" i="5" l="1"/>
  <c r="F84" i="5"/>
  <c r="H23" i="5"/>
  <c r="G38" i="5"/>
  <c r="G40" i="5" s="1"/>
  <c r="F85" i="5" l="1"/>
  <c r="G41" i="5"/>
  <c r="H32" i="5"/>
  <c r="H46" i="5" l="1"/>
  <c r="H51" i="5"/>
  <c r="G47" i="5"/>
  <c r="H52" i="5"/>
  <c r="H57" i="5"/>
  <c r="H56" i="5" s="1"/>
  <c r="H60" i="5" s="1"/>
  <c r="H62" i="5" s="1"/>
  <c r="G15" i="5"/>
  <c r="G17" i="5" s="1"/>
  <c r="G19" i="5" s="1"/>
  <c r="G20" i="5" s="1"/>
  <c r="H33" i="5"/>
  <c r="H97" i="5"/>
  <c r="G98" i="5"/>
  <c r="G100" i="5" s="1"/>
  <c r="G103" i="5" s="1"/>
  <c r="F89" i="5"/>
  <c r="F90" i="5" s="1"/>
  <c r="F93" i="5" s="1"/>
  <c r="H92" i="5"/>
  <c r="H72" i="5" s="1"/>
  <c r="H75" i="5" s="1"/>
  <c r="G80" i="5"/>
  <c r="G81" i="5" s="1"/>
  <c r="H102" i="5"/>
  <c r="H104" i="5" s="1"/>
  <c r="H25" i="5"/>
  <c r="H7" i="5"/>
  <c r="H24" i="5"/>
  <c r="H34" i="5"/>
  <c r="H63" i="5" l="1"/>
  <c r="H66" i="5" s="1"/>
  <c r="H73" i="5"/>
  <c r="I18" i="5"/>
  <c r="I44" i="5"/>
  <c r="I12" i="5" s="1"/>
  <c r="H91" i="5"/>
  <c r="H13" i="5"/>
  <c r="G82" i="5"/>
  <c r="G83" i="5" s="1"/>
  <c r="G84" i="5" s="1"/>
  <c r="G85" i="5" s="1"/>
  <c r="G89" i="5" s="1"/>
  <c r="G90" i="5" s="1"/>
  <c r="H96" i="5"/>
  <c r="H53" i="5"/>
  <c r="H78" i="5"/>
  <c r="H79" i="5" s="1"/>
  <c r="H8" i="5"/>
  <c r="H9" i="5" s="1"/>
  <c r="H36" i="5"/>
  <c r="H37" i="5" s="1"/>
  <c r="H38" i="5" s="1"/>
  <c r="H40" i="5" s="1"/>
  <c r="H41" i="5" l="1"/>
  <c r="H67" i="5"/>
  <c r="H68" i="5" s="1"/>
  <c r="H27" i="5"/>
  <c r="H28" i="5" s="1"/>
  <c r="H29" i="5" s="1"/>
  <c r="I23" i="5" s="1"/>
  <c r="I6" i="5"/>
  <c r="H47" i="5" l="1"/>
  <c r="I46" i="5"/>
  <c r="H80" i="5"/>
  <c r="I51" i="5"/>
  <c r="I52" i="5" s="1"/>
  <c r="I57" i="5"/>
  <c r="I56" i="5" s="1"/>
  <c r="I60" i="5" s="1"/>
  <c r="I62" i="5" s="1"/>
  <c r="H15" i="5"/>
  <c r="H17" i="5" s="1"/>
  <c r="H19" i="5" s="1"/>
  <c r="H20" i="5" s="1"/>
  <c r="I33" i="5"/>
  <c r="I97" i="5"/>
  <c r="H98" i="5"/>
  <c r="H100" i="5" s="1"/>
  <c r="H103" i="5" s="1"/>
  <c r="I32" i="5"/>
  <c r="I92" i="5"/>
  <c r="I72" i="5" s="1"/>
  <c r="I75" i="5" s="1"/>
  <c r="I24" i="5"/>
  <c r="I102" i="5"/>
  <c r="I104" i="5" s="1"/>
  <c r="I34" i="5"/>
  <c r="H81" i="5"/>
  <c r="H82" i="5" s="1"/>
  <c r="I25" i="5"/>
  <c r="G93" i="5"/>
  <c r="I7" i="5"/>
  <c r="I63" i="5" l="1"/>
  <c r="I66" i="5" s="1"/>
  <c r="I73" i="5"/>
  <c r="J18" i="5"/>
  <c r="J44" i="5"/>
  <c r="J12" i="5" s="1"/>
  <c r="I96" i="5"/>
  <c r="I91" i="5"/>
  <c r="I8" i="5"/>
  <c r="I9" i="5" s="1"/>
  <c r="I13" i="5"/>
  <c r="I78" i="5"/>
  <c r="I79" i="5" s="1"/>
  <c r="I53" i="5"/>
  <c r="I67" i="5" s="1"/>
  <c r="H83" i="5"/>
  <c r="H84" i="5" s="1"/>
  <c r="H85" i="5" s="1"/>
  <c r="H89" i="5" s="1"/>
  <c r="H90" i="5" s="1"/>
  <c r="I36" i="5"/>
  <c r="I37" i="5" s="1"/>
  <c r="I38" i="5" s="1"/>
  <c r="I40" i="5" s="1"/>
  <c r="I41" i="5" s="1"/>
  <c r="I47" i="5" s="1"/>
  <c r="I27" i="5"/>
  <c r="I28" i="5" s="1"/>
  <c r="I29" i="5" s="1"/>
  <c r="J23" i="5" s="1"/>
  <c r="I68" i="5" l="1"/>
  <c r="J6" i="5"/>
  <c r="J46" i="5"/>
  <c r="J32" i="5"/>
  <c r="J57" i="5" l="1"/>
  <c r="J56" i="5" s="1"/>
  <c r="I15" i="5"/>
  <c r="I17" i="5" s="1"/>
  <c r="I19" i="5" s="1"/>
  <c r="I20" i="5" s="1"/>
  <c r="J33" i="5"/>
  <c r="J25" i="5"/>
  <c r="I80" i="5"/>
  <c r="I81" i="5" s="1"/>
  <c r="I82" i="5" s="1"/>
  <c r="I83" i="5" s="1"/>
  <c r="I84" i="5" s="1"/>
  <c r="I85" i="5" s="1"/>
  <c r="I89" i="5" s="1"/>
  <c r="I90" i="5" s="1"/>
  <c r="J34" i="5"/>
  <c r="J24" i="5"/>
  <c r="J97" i="5"/>
  <c r="I98" i="5"/>
  <c r="I100" i="5" s="1"/>
  <c r="I103" i="5" s="1"/>
  <c r="J96" i="5" s="1"/>
  <c r="J7" i="5"/>
  <c r="H93" i="5"/>
  <c r="J60" i="5" l="1"/>
  <c r="J62" i="5" s="1"/>
  <c r="J63" i="5" s="1"/>
  <c r="J66" i="5" s="1"/>
  <c r="J8" i="5"/>
  <c r="J9" i="5" s="1"/>
  <c r="K6" i="5" s="1"/>
  <c r="J13" i="5"/>
  <c r="J36" i="5"/>
  <c r="J37" i="5" s="1"/>
  <c r="J38" i="5" s="1"/>
  <c r="J40" i="5" s="1"/>
  <c r="J27" i="5"/>
  <c r="J28" i="5" s="1"/>
  <c r="J29" i="5" s="1"/>
  <c r="K32" i="5" l="1"/>
  <c r="J41" i="5"/>
  <c r="J47" i="5" s="1"/>
  <c r="K23" i="5"/>
  <c r="K57" i="5" l="1"/>
  <c r="K56" i="5" s="1"/>
  <c r="K60" i="5" s="1"/>
  <c r="K62" i="5" s="1"/>
  <c r="J15" i="5"/>
  <c r="J17" i="5" s="1"/>
  <c r="J19" i="5" s="1"/>
  <c r="J20" i="5" s="1"/>
  <c r="J98" i="5"/>
  <c r="J100" i="5" s="1"/>
  <c r="J102" i="5" s="1"/>
  <c r="J104" i="5" s="1"/>
  <c r="K24" i="5"/>
  <c r="K33" i="5"/>
  <c r="K34" i="5"/>
  <c r="K97" i="5"/>
  <c r="K25" i="5"/>
  <c r="K7" i="5"/>
  <c r="I93" i="5"/>
  <c r="K63" i="5" l="1"/>
  <c r="K66" i="5" s="1"/>
  <c r="K8" i="5"/>
  <c r="K9" i="5" s="1"/>
  <c r="L6" i="5" s="1"/>
  <c r="J103" i="5"/>
  <c r="K96" i="5" s="1"/>
  <c r="K36" i="5"/>
  <c r="K37" i="5" s="1"/>
  <c r="K38" i="5" s="1"/>
  <c r="K40" i="5" s="1"/>
  <c r="K41" i="5" s="1"/>
  <c r="K47" i="5" s="1"/>
  <c r="L57" i="5" l="1"/>
  <c r="L56" i="5" s="1"/>
  <c r="L60" i="5" s="1"/>
  <c r="L62" i="5" s="1"/>
  <c r="K15" i="5"/>
  <c r="L97" i="5"/>
  <c r="L24" i="5"/>
  <c r="L25" i="5"/>
  <c r="L32" i="5"/>
  <c r="L34" i="5"/>
  <c r="L33" i="5"/>
  <c r="K98" i="5"/>
  <c r="K100" i="5" s="1"/>
  <c r="K102" i="5" s="1"/>
  <c r="K104" i="5" s="1"/>
  <c r="L63" i="5" l="1"/>
  <c r="L66" i="5" s="1"/>
  <c r="L36" i="5"/>
  <c r="K103" i="5"/>
  <c r="L96" i="5" s="1"/>
  <c r="K27" i="5"/>
  <c r="K28" i="5" s="1"/>
  <c r="K29" i="5" l="1"/>
  <c r="L7" i="5" s="1"/>
  <c r="L23" i="5" l="1"/>
  <c r="L37" i="5"/>
  <c r="L38" i="5" s="1"/>
  <c r="L40" i="5" s="1"/>
  <c r="L41" i="5" l="1"/>
  <c r="L47" i="5" s="1"/>
  <c r="M32" i="5"/>
  <c r="M57" i="5" l="1"/>
  <c r="M56" i="5" s="1"/>
  <c r="M60" i="5" s="1"/>
  <c r="M62" i="5" s="1"/>
  <c r="L15" i="5"/>
  <c r="M33" i="5"/>
  <c r="M25" i="5"/>
  <c r="M24" i="5"/>
  <c r="M97" i="5"/>
  <c r="L98" i="5"/>
  <c r="L100" i="5" s="1"/>
  <c r="L102" i="5" s="1"/>
  <c r="L103" i="5" s="1"/>
  <c r="M34" i="5"/>
  <c r="M63" i="5" l="1"/>
  <c r="M66" i="5" s="1"/>
  <c r="M36" i="5"/>
  <c r="M96" i="5"/>
  <c r="L104" i="5"/>
  <c r="L27" i="5" l="1"/>
  <c r="E45" i="5" l="1"/>
  <c r="E49" i="5" s="1"/>
  <c r="F45" i="5" s="1"/>
  <c r="F49" i="5" s="1"/>
  <c r="G45" i="5" l="1"/>
  <c r="G49" i="5" s="1"/>
  <c r="H45" i="5" s="1"/>
  <c r="H49" i="5" s="1"/>
  <c r="I45" i="5" s="1"/>
  <c r="I49" i="5" s="1"/>
  <c r="J45" i="5" s="1"/>
  <c r="J49" i="5" s="1"/>
  <c r="J51" i="5" s="1"/>
  <c r="J53" i="5" s="1"/>
  <c r="K46" i="5" l="1"/>
  <c r="K18" i="5"/>
  <c r="J52" i="5"/>
  <c r="J67" i="5"/>
  <c r="J68" i="5" s="1"/>
  <c r="J78" i="5"/>
  <c r="J79" i="5" s="1"/>
  <c r="J80" i="5" s="1"/>
  <c r="J81" i="5" s="1"/>
  <c r="K44" i="5"/>
  <c r="K12" i="5" s="1"/>
  <c r="K13" i="5" s="1"/>
  <c r="K17" i="5" s="1"/>
  <c r="K19" i="5" l="1"/>
  <c r="K20" i="5" s="1"/>
  <c r="L28" i="5" s="1"/>
  <c r="L29" i="5" s="1"/>
  <c r="M7" i="5" s="1"/>
  <c r="J82" i="5"/>
  <c r="J83" i="5" s="1"/>
  <c r="J84" i="5" s="1"/>
  <c r="J85" i="5" s="1"/>
  <c r="J89" i="5" s="1"/>
  <c r="J90" i="5" s="1"/>
  <c r="J92" i="5" s="1"/>
  <c r="J72" i="5" s="1"/>
  <c r="K45" i="5"/>
  <c r="K49" i="5" s="1"/>
  <c r="K51" i="5" s="1"/>
  <c r="L46" i="5" s="1"/>
  <c r="M23" i="5" l="1"/>
  <c r="M27" i="5" s="1"/>
  <c r="L8" i="5"/>
  <c r="L9" i="5" s="1"/>
  <c r="M6" i="5" s="1"/>
  <c r="K52" i="5"/>
  <c r="M37" i="5"/>
  <c r="M38" i="5" s="1"/>
  <c r="M40" i="5" s="1"/>
  <c r="N32" i="5" s="1"/>
  <c r="K78" i="5"/>
  <c r="K79" i="5" s="1"/>
  <c r="L18" i="5"/>
  <c r="K53" i="5"/>
  <c r="K67" i="5" s="1"/>
  <c r="K68" i="5" s="1"/>
  <c r="L44" i="5"/>
  <c r="L12" i="5" s="1"/>
  <c r="L13" i="5" s="1"/>
  <c r="L17" i="5" s="1"/>
  <c r="J73" i="5"/>
  <c r="J75" i="5"/>
  <c r="J93" i="5"/>
  <c r="J91" i="5"/>
  <c r="M41" i="5" l="1"/>
  <c r="M47" i="5" s="1"/>
  <c r="L19" i="5"/>
  <c r="L20" i="5" s="1"/>
  <c r="M28" i="5" s="1"/>
  <c r="M29" i="5" s="1"/>
  <c r="N23" i="5" s="1"/>
  <c r="L45" i="5"/>
  <c r="L49" i="5" s="1"/>
  <c r="L51" i="5" s="1"/>
  <c r="K80" i="5"/>
  <c r="K81" i="5" s="1"/>
  <c r="K82" i="5" s="1"/>
  <c r="N97" i="5"/>
  <c r="M98" i="5"/>
  <c r="M100" i="5" s="1"/>
  <c r="N102" i="5"/>
  <c r="N104" i="5" s="1"/>
  <c r="N24" i="5"/>
  <c r="N34" i="5"/>
  <c r="N25" i="5"/>
  <c r="N92" i="5" l="1"/>
  <c r="N91" i="5" s="1"/>
  <c r="N33" i="5"/>
  <c r="M15" i="5"/>
  <c r="N57" i="5"/>
  <c r="N56" i="5" s="1"/>
  <c r="N60" i="5" s="1"/>
  <c r="N62" i="5" s="1"/>
  <c r="N63" i="5" s="1"/>
  <c r="N66" i="5" s="1"/>
  <c r="N46" i="5"/>
  <c r="L52" i="5"/>
  <c r="M46" i="5"/>
  <c r="L53" i="5"/>
  <c r="L67" i="5" s="1"/>
  <c r="L68" i="5" s="1"/>
  <c r="K83" i="5"/>
  <c r="K84" i="5" s="1"/>
  <c r="K85" i="5" s="1"/>
  <c r="K89" i="5" s="1"/>
  <c r="K90" i="5" s="1"/>
  <c r="K92" i="5" s="1"/>
  <c r="K72" i="5" s="1"/>
  <c r="K75" i="5" s="1"/>
  <c r="N7" i="5"/>
  <c r="M8" i="5"/>
  <c r="M9" i="5" s="1"/>
  <c r="N6" i="5" s="1"/>
  <c r="M102" i="5"/>
  <c r="M104" i="5" s="1"/>
  <c r="N27" i="5"/>
  <c r="N36" i="5"/>
  <c r="N37" i="5" s="1"/>
  <c r="N38" i="5" s="1"/>
  <c r="N40" i="5" s="1"/>
  <c r="M18" i="5" l="1"/>
  <c r="L78" i="5"/>
  <c r="L79" i="5" s="1"/>
  <c r="L80" i="5" s="1"/>
  <c r="M44" i="5"/>
  <c r="M12" i="5" s="1"/>
  <c r="M13" i="5" s="1"/>
  <c r="M17" i="5" s="1"/>
  <c r="K91" i="5"/>
  <c r="K93" i="5"/>
  <c r="K73" i="5"/>
  <c r="O32" i="5"/>
  <c r="M103" i="5"/>
  <c r="N96" i="5" s="1"/>
  <c r="N41" i="5"/>
  <c r="N47" i="5" s="1"/>
  <c r="O46" i="5" l="1"/>
  <c r="M45" i="5"/>
  <c r="M49" i="5" s="1"/>
  <c r="M51" i="5" s="1"/>
  <c r="M52" i="5" s="1"/>
  <c r="O51" i="5"/>
  <c r="O52" i="5" s="1"/>
  <c r="L81" i="5"/>
  <c r="L82" i="5" s="1"/>
  <c r="M19" i="5"/>
  <c r="M20" i="5" s="1"/>
  <c r="N8" i="5" s="1"/>
  <c r="N9" i="5" s="1"/>
  <c r="O6" i="5" s="1"/>
  <c r="O57" i="5"/>
  <c r="O56" i="5" s="1"/>
  <c r="O60" i="5" s="1"/>
  <c r="O62" i="5" s="1"/>
  <c r="N15" i="5"/>
  <c r="O33" i="5"/>
  <c r="O97" i="5"/>
  <c r="N98" i="5"/>
  <c r="N100" i="5" s="1"/>
  <c r="N103" i="5" s="1"/>
  <c r="O34" i="5"/>
  <c r="O102" i="5"/>
  <c r="O104" i="5" s="1"/>
  <c r="O92" i="5"/>
  <c r="O25" i="5"/>
  <c r="O24" i="5"/>
  <c r="L83" i="5" l="1"/>
  <c r="L84" i="5" s="1"/>
  <c r="L85" i="5" s="1"/>
  <c r="L89" i="5" s="1"/>
  <c r="L90" i="5" s="1"/>
  <c r="N28" i="5"/>
  <c r="N29" i="5" s="1"/>
  <c r="O23" i="5" s="1"/>
  <c r="O27" i="5" s="1"/>
  <c r="N18" i="5"/>
  <c r="N44" i="5"/>
  <c r="O63" i="5"/>
  <c r="O66" i="5" s="1"/>
  <c r="M78" i="5"/>
  <c r="M79" i="5" s="1"/>
  <c r="M53" i="5"/>
  <c r="M67" i="5" s="1"/>
  <c r="M68" i="5" s="1"/>
  <c r="O36" i="5"/>
  <c r="O96" i="5"/>
  <c r="O91" i="5"/>
  <c r="O37" i="5" l="1"/>
  <c r="O38" i="5" s="1"/>
  <c r="O40" i="5" s="1"/>
  <c r="P32" i="5" s="1"/>
  <c r="O7" i="5"/>
  <c r="N45" i="5"/>
  <c r="N49" i="5" s="1"/>
  <c r="N51" i="5" s="1"/>
  <c r="N52" i="5" s="1"/>
  <c r="N12" i="5"/>
  <c r="N13" i="5" s="1"/>
  <c r="N17" i="5" s="1"/>
  <c r="N19" i="5" s="1"/>
  <c r="N20" i="5" s="1"/>
  <c r="O8" i="5" s="1"/>
  <c r="M80" i="5"/>
  <c r="L93" i="5"/>
  <c r="L92" i="5"/>
  <c r="O41" i="5" l="1"/>
  <c r="O47" i="5" s="1"/>
  <c r="O18" i="5"/>
  <c r="N53" i="5"/>
  <c r="N67" i="5" s="1"/>
  <c r="N68" i="5" s="1"/>
  <c r="N78" i="5"/>
  <c r="N79" i="5" s="1"/>
  <c r="N80" i="5" s="1"/>
  <c r="O44" i="5"/>
  <c r="O12" i="5" s="1"/>
  <c r="O13" i="5" s="1"/>
  <c r="M81" i="5"/>
  <c r="M82" i="5" s="1"/>
  <c r="O9" i="5"/>
  <c r="P6" i="5" s="1"/>
  <c r="O28" i="5"/>
  <c r="O29" i="5" s="1"/>
  <c r="P23" i="5" s="1"/>
  <c r="L72" i="5"/>
  <c r="L91" i="5"/>
  <c r="P46" i="5" l="1"/>
  <c r="P102" i="5"/>
  <c r="P104" i="5" s="1"/>
  <c r="P24" i="5"/>
  <c r="P34" i="5"/>
  <c r="P33" i="5"/>
  <c r="P25" i="5"/>
  <c r="P92" i="5"/>
  <c r="P91" i="5" s="1"/>
  <c r="P97" i="5"/>
  <c r="O15" i="5"/>
  <c r="P57" i="5"/>
  <c r="P56" i="5" s="1"/>
  <c r="P60" i="5" s="1"/>
  <c r="P62" i="5" s="1"/>
  <c r="P63" i="5" s="1"/>
  <c r="P66" i="5" s="1"/>
  <c r="O98" i="5"/>
  <c r="O100" i="5" s="1"/>
  <c r="O103" i="5" s="1"/>
  <c r="P96" i="5" s="1"/>
  <c r="O45" i="5"/>
  <c r="O17" i="5"/>
  <c r="O19" i="5" s="1"/>
  <c r="O20" i="5" s="1"/>
  <c r="P8" i="5" s="1"/>
  <c r="M83" i="5"/>
  <c r="M84" i="5" s="1"/>
  <c r="M85" i="5" s="1"/>
  <c r="M89" i="5" s="1"/>
  <c r="M90" i="5" s="1"/>
  <c r="M92" i="5" s="1"/>
  <c r="M91" i="5" s="1"/>
  <c r="N81" i="5"/>
  <c r="N82" i="5" s="1"/>
  <c r="P7" i="5"/>
  <c r="L73" i="5"/>
  <c r="L75" i="5"/>
  <c r="P27" i="5" l="1"/>
  <c r="P28" i="5" s="1"/>
  <c r="P29" i="5" s="1"/>
  <c r="Q23" i="5" s="1"/>
  <c r="P36" i="5"/>
  <c r="P37" i="5" s="1"/>
  <c r="P38" i="5" s="1"/>
  <c r="P40" i="5" s="1"/>
  <c r="Q32" i="5" s="1"/>
  <c r="O49" i="5"/>
  <c r="N83" i="5"/>
  <c r="N84" i="5" s="1"/>
  <c r="N85" i="5" s="1"/>
  <c r="N89" i="5" s="1"/>
  <c r="N90" i="5" s="1"/>
  <c r="N93" i="5" s="1"/>
  <c r="M93" i="5"/>
  <c r="M72" i="5"/>
  <c r="M73" i="5" s="1"/>
  <c r="N72" i="5" s="1"/>
  <c r="N75" i="5" s="1"/>
  <c r="P9" i="5"/>
  <c r="Q6" i="5" s="1"/>
  <c r="O53" i="5" l="1"/>
  <c r="O67" i="5" s="1"/>
  <c r="O68" i="5" s="1"/>
  <c r="O78" i="5"/>
  <c r="O79" i="5" s="1"/>
  <c r="P18" i="5"/>
  <c r="P44" i="5"/>
  <c r="M75" i="5"/>
  <c r="N73" i="5"/>
  <c r="O72" i="5" s="1"/>
  <c r="O75" i="5" s="1"/>
  <c r="P41" i="5"/>
  <c r="P47" i="5" s="1"/>
  <c r="O80" i="5" l="1"/>
  <c r="O81" i="5" s="1"/>
  <c r="P12" i="5"/>
  <c r="P13" i="5" s="1"/>
  <c r="P45" i="5"/>
  <c r="O73" i="5"/>
  <c r="P72" i="5" s="1"/>
  <c r="P75" i="5" s="1"/>
  <c r="Q57" i="5"/>
  <c r="Q56" i="5" s="1"/>
  <c r="Q60" i="5" s="1"/>
  <c r="Q62" i="5" s="1"/>
  <c r="P15" i="5"/>
  <c r="Q24" i="5"/>
  <c r="Q7" i="5"/>
  <c r="Q92" i="5"/>
  <c r="Q91" i="5" s="1"/>
  <c r="Q97" i="5"/>
  <c r="Q102" i="5"/>
  <c r="Q104" i="5" s="1"/>
  <c r="Q25" i="5"/>
  <c r="P98" i="5"/>
  <c r="P100" i="5" s="1"/>
  <c r="P103" i="5" s="1"/>
  <c r="Q96" i="5" s="1"/>
  <c r="Q34" i="5"/>
  <c r="Q33" i="5"/>
  <c r="P17" i="5" l="1"/>
  <c r="P19" i="5" s="1"/>
  <c r="P20" i="5" s="1"/>
  <c r="Q8" i="5" s="1"/>
  <c r="Q9" i="5" s="1"/>
  <c r="R6" i="5" s="1"/>
  <c r="O82" i="5"/>
  <c r="O83" i="5" s="1"/>
  <c r="O84" i="5" s="1"/>
  <c r="O85" i="5" s="1"/>
  <c r="O89" i="5" s="1"/>
  <c r="O90" i="5" s="1"/>
  <c r="O93" i="5" s="1"/>
  <c r="P73" i="5"/>
  <c r="Q72" i="5" s="1"/>
  <c r="Q73" i="5" s="1"/>
  <c r="P49" i="5"/>
  <c r="Q63" i="5"/>
  <c r="Q66" i="5" s="1"/>
  <c r="Q27" i="5"/>
  <c r="Q36" i="5"/>
  <c r="Q37" i="5" s="1"/>
  <c r="Q38" i="5" s="1"/>
  <c r="Q40" i="5" s="1"/>
  <c r="R32" i="5" s="1"/>
  <c r="P51" i="5" l="1"/>
  <c r="Q46" i="5" s="1"/>
  <c r="Q28" i="5"/>
  <c r="Q29" i="5" s="1"/>
  <c r="R23" i="5" s="1"/>
  <c r="Q75" i="5"/>
  <c r="Q41" i="5"/>
  <c r="Q47" i="5" s="1"/>
  <c r="P52" i="5" l="1"/>
  <c r="P53" i="5"/>
  <c r="P67" i="5" s="1"/>
  <c r="P68" i="5" s="1"/>
  <c r="Q18" i="5"/>
  <c r="P78" i="5"/>
  <c r="P79" i="5" s="1"/>
  <c r="P80" i="5" s="1"/>
  <c r="P81" i="5" s="1"/>
  <c r="Q44" i="5"/>
  <c r="Q12" i="5" s="1"/>
  <c r="Q13" i="5" s="1"/>
  <c r="R57" i="5"/>
  <c r="R56" i="5" s="1"/>
  <c r="R60" i="5" s="1"/>
  <c r="R62" i="5" s="1"/>
  <c r="Q15" i="5"/>
  <c r="R33" i="5"/>
  <c r="R7" i="5"/>
  <c r="R25" i="5"/>
  <c r="R34" i="5"/>
  <c r="R92" i="5"/>
  <c r="R72" i="5" s="1"/>
  <c r="R75" i="5" s="1"/>
  <c r="Q98" i="5"/>
  <c r="Q100" i="5" s="1"/>
  <c r="Q103" i="5" s="1"/>
  <c r="R96" i="5" s="1"/>
  <c r="R97" i="5"/>
  <c r="R102" i="5"/>
  <c r="R104" i="5" s="1"/>
  <c r="R24" i="5"/>
  <c r="P82" i="5" l="1"/>
  <c r="P83" i="5" s="1"/>
  <c r="P84" i="5" s="1"/>
  <c r="P85" i="5" s="1"/>
  <c r="P89" i="5" s="1"/>
  <c r="P90" i="5" s="1"/>
  <c r="P93" i="5" s="1"/>
  <c r="Q45" i="5"/>
  <c r="Q49" i="5" s="1"/>
  <c r="Q51" i="5" s="1"/>
  <c r="R46" i="5" s="1"/>
  <c r="Q17" i="5"/>
  <c r="Q19" i="5" s="1"/>
  <c r="Q20" i="5" s="1"/>
  <c r="R8" i="5" s="1"/>
  <c r="R9" i="5" s="1"/>
  <c r="S6" i="5" s="1"/>
  <c r="R63" i="5"/>
  <c r="R66" i="5" s="1"/>
  <c r="R36" i="5"/>
  <c r="R37" i="5" s="1"/>
  <c r="R38" i="5" s="1"/>
  <c r="R40" i="5" s="1"/>
  <c r="S32" i="5" s="1"/>
  <c r="R27" i="5"/>
  <c r="R73" i="5"/>
  <c r="R91" i="5"/>
  <c r="Q52" i="5" l="1"/>
  <c r="R44" i="5"/>
  <c r="R12" i="5" s="1"/>
  <c r="R13" i="5" s="1"/>
  <c r="R18" i="5"/>
  <c r="R28" i="5"/>
  <c r="R29" i="5" s="1"/>
  <c r="S23" i="5" s="1"/>
  <c r="Q53" i="5"/>
  <c r="Q67" i="5" s="1"/>
  <c r="Q68" i="5" s="1"/>
  <c r="Q78" i="5"/>
  <c r="Q79" i="5" s="1"/>
  <c r="Q80" i="5" s="1"/>
  <c r="Q81" i="5" s="1"/>
  <c r="Q82" i="5" s="1"/>
  <c r="R41" i="5"/>
  <c r="R47" i="5" s="1"/>
  <c r="R45" i="5" l="1"/>
  <c r="S57" i="5"/>
  <c r="S56" i="5" s="1"/>
  <c r="S60" i="5" s="1"/>
  <c r="S62" i="5" s="1"/>
  <c r="R15" i="5"/>
  <c r="R17" i="5" s="1"/>
  <c r="R19" i="5" s="1"/>
  <c r="R20" i="5" s="1"/>
  <c r="Q83" i="5"/>
  <c r="Q84" i="5" s="1"/>
  <c r="Q85" i="5" s="1"/>
  <c r="Q89" i="5" s="1"/>
  <c r="Q90" i="5" s="1"/>
  <c r="Q93" i="5" s="1"/>
  <c r="S34" i="5"/>
  <c r="R98" i="5"/>
  <c r="R100" i="5" s="1"/>
  <c r="R103" i="5" s="1"/>
  <c r="S96" i="5" s="1"/>
  <c r="S25" i="5"/>
  <c r="S97" i="5"/>
  <c r="S92" i="5"/>
  <c r="S72" i="5" s="1"/>
  <c r="S73" i="5" s="1"/>
  <c r="S24" i="5"/>
  <c r="S7" i="5"/>
  <c r="S33" i="5"/>
  <c r="R49" i="5" l="1"/>
  <c r="R51" i="5" s="1"/>
  <c r="S46" i="5" s="1"/>
  <c r="S63" i="5"/>
  <c r="S66" i="5" s="1"/>
  <c r="S8" i="5"/>
  <c r="S9" i="5" s="1"/>
  <c r="T6" i="5" s="1"/>
  <c r="S36" i="5"/>
  <c r="S37" i="5" s="1"/>
  <c r="S38" i="5" s="1"/>
  <c r="S40" i="5" s="1"/>
  <c r="T32" i="5" s="1"/>
  <c r="S91" i="5"/>
  <c r="S75" i="5"/>
  <c r="S27" i="5"/>
  <c r="S28" i="5" s="1"/>
  <c r="S29" i="5" s="1"/>
  <c r="T23" i="5" s="1"/>
  <c r="R52" i="5" l="1"/>
  <c r="S41" i="5"/>
  <c r="S47" i="5" s="1"/>
  <c r="T46" i="5" l="1"/>
  <c r="T51" i="5"/>
  <c r="T52" i="5" s="1"/>
  <c r="T57" i="5"/>
  <c r="T56" i="5" s="1"/>
  <c r="T60" i="5" s="1"/>
  <c r="T62" i="5" s="1"/>
  <c r="S15" i="5"/>
  <c r="R78" i="5"/>
  <c r="R79" i="5" s="1"/>
  <c r="R80" i="5" s="1"/>
  <c r="R81" i="5" s="1"/>
  <c r="S44" i="5"/>
  <c r="S12" i="5" s="1"/>
  <c r="S13" i="5" s="1"/>
  <c r="R53" i="5"/>
  <c r="R67" i="5" s="1"/>
  <c r="R68" i="5" s="1"/>
  <c r="S18" i="5"/>
  <c r="T25" i="5"/>
  <c r="T97" i="5"/>
  <c r="T33" i="5"/>
  <c r="T24" i="5"/>
  <c r="T92" i="5"/>
  <c r="T72" i="5" s="1"/>
  <c r="T73" i="5" s="1"/>
  <c r="T7" i="5"/>
  <c r="T34" i="5"/>
  <c r="S98" i="5"/>
  <c r="S100" i="5" s="1"/>
  <c r="S103" i="5" s="1"/>
  <c r="T96" i="5" s="1"/>
  <c r="T63" i="5" l="1"/>
  <c r="T66" i="5" s="1"/>
  <c r="S17" i="5"/>
  <c r="S19" i="5" s="1"/>
  <c r="S20" i="5" s="1"/>
  <c r="R82" i="5"/>
  <c r="R83" i="5" s="1"/>
  <c r="R84" i="5" s="1"/>
  <c r="R85" i="5" s="1"/>
  <c r="R89" i="5" s="1"/>
  <c r="R90" i="5" s="1"/>
  <c r="R93" i="5" s="1"/>
  <c r="S45" i="5"/>
  <c r="S49" i="5" s="1"/>
  <c r="T78" i="5"/>
  <c r="T36" i="5"/>
  <c r="T37" i="5" s="1"/>
  <c r="T38" i="5" s="1"/>
  <c r="T40" i="5" s="1"/>
  <c r="T41" i="5" s="1"/>
  <c r="T47" i="5" s="1"/>
  <c r="T53" i="5"/>
  <c r="T67" i="5" s="1"/>
  <c r="T27" i="5"/>
  <c r="U18" i="5"/>
  <c r="T75" i="5"/>
  <c r="S102" i="5"/>
  <c r="S104" i="5" s="1"/>
  <c r="T91" i="5"/>
  <c r="U46" i="5" l="1"/>
  <c r="U51" i="5"/>
  <c r="U52" i="5" s="1"/>
  <c r="S51" i="5"/>
  <c r="S52" i="5" s="1"/>
  <c r="U57" i="5"/>
  <c r="U56" i="5" s="1"/>
  <c r="U60" i="5" s="1"/>
  <c r="U62" i="5" s="1"/>
  <c r="T15" i="5"/>
  <c r="T8" i="5"/>
  <c r="T9" i="5" s="1"/>
  <c r="U6" i="5" s="1"/>
  <c r="T28" i="5"/>
  <c r="T29" i="5" s="1"/>
  <c r="U23" i="5" s="1"/>
  <c r="U32" i="5"/>
  <c r="U33" i="5"/>
  <c r="U92" i="5"/>
  <c r="U91" i="5" s="1"/>
  <c r="U97" i="5"/>
  <c r="U25" i="5"/>
  <c r="T98" i="5"/>
  <c r="T100" i="5" s="1"/>
  <c r="T102" i="5" s="1"/>
  <c r="T104" i="5" s="1"/>
  <c r="U24" i="5"/>
  <c r="U34" i="5"/>
  <c r="T44" i="5" l="1"/>
  <c r="T45" i="5" s="1"/>
  <c r="S53" i="5"/>
  <c r="S67" i="5" s="1"/>
  <c r="S68" i="5" s="1"/>
  <c r="T68" i="5" s="1"/>
  <c r="T18" i="5"/>
  <c r="U63" i="5"/>
  <c r="U66" i="5" s="1"/>
  <c r="U7" i="5"/>
  <c r="S78" i="5"/>
  <c r="S79" i="5" s="1"/>
  <c r="S80" i="5" s="1"/>
  <c r="S81" i="5" s="1"/>
  <c r="S82" i="5" s="1"/>
  <c r="V18" i="5"/>
  <c r="U53" i="5"/>
  <c r="U67" i="5" s="1"/>
  <c r="U78" i="5"/>
  <c r="U36" i="5"/>
  <c r="U37" i="5" s="1"/>
  <c r="U38" i="5" s="1"/>
  <c r="U40" i="5" s="1"/>
  <c r="V32" i="5" s="1"/>
  <c r="U72" i="5"/>
  <c r="U75" i="5" s="1"/>
  <c r="U27" i="5"/>
  <c r="T103" i="5"/>
  <c r="U96" i="5" s="1"/>
  <c r="T12" i="5" l="1"/>
  <c r="T13" i="5" s="1"/>
  <c r="T17" i="5" s="1"/>
  <c r="T19" i="5" s="1"/>
  <c r="T20" i="5" s="1"/>
  <c r="U8" i="5" s="1"/>
  <c r="U9" i="5" s="1"/>
  <c r="V6" i="5" s="1"/>
  <c r="U68" i="5"/>
  <c r="T79" i="5"/>
  <c r="T80" i="5" s="1"/>
  <c r="T81" i="5" s="1"/>
  <c r="T82" i="5" s="1"/>
  <c r="S83" i="5"/>
  <c r="S84" i="5" s="1"/>
  <c r="S85" i="5" s="1"/>
  <c r="S89" i="5" s="1"/>
  <c r="S90" i="5" s="1"/>
  <c r="S93" i="5" s="1"/>
  <c r="T49" i="5"/>
  <c r="U44" i="5"/>
  <c r="U41" i="5"/>
  <c r="U47" i="5" s="1"/>
  <c r="U73" i="5"/>
  <c r="V46" i="5" l="1"/>
  <c r="U28" i="5"/>
  <c r="U29" i="5" s="1"/>
  <c r="V23" i="5" s="1"/>
  <c r="V57" i="5"/>
  <c r="V56" i="5" s="1"/>
  <c r="V60" i="5" s="1"/>
  <c r="V62" i="5" s="1"/>
  <c r="U15" i="5"/>
  <c r="U79" i="5"/>
  <c r="U80" i="5" s="1"/>
  <c r="U81" i="5" s="1"/>
  <c r="U82" i="5" s="1"/>
  <c r="U12" i="5"/>
  <c r="U13" i="5" s="1"/>
  <c r="U45" i="5"/>
  <c r="V44" i="5"/>
  <c r="V12" i="5" s="1"/>
  <c r="T83" i="5"/>
  <c r="T84" i="5" s="1"/>
  <c r="T85" i="5" s="1"/>
  <c r="T89" i="5" s="1"/>
  <c r="T90" i="5" s="1"/>
  <c r="T93" i="5" s="1"/>
  <c r="V34" i="5"/>
  <c r="V97" i="5"/>
  <c r="U98" i="5"/>
  <c r="U100" i="5" s="1"/>
  <c r="U102" i="5" s="1"/>
  <c r="U104" i="5" s="1"/>
  <c r="V25" i="5"/>
  <c r="V92" i="5"/>
  <c r="V72" i="5" s="1"/>
  <c r="V73" i="5" s="1"/>
  <c r="V33" i="5"/>
  <c r="V24" i="5"/>
  <c r="V7" i="5" l="1"/>
  <c r="U49" i="5"/>
  <c r="V45" i="5" s="1"/>
  <c r="V63" i="5"/>
  <c r="V66" i="5" s="1"/>
  <c r="U17" i="5"/>
  <c r="U19" i="5" s="1"/>
  <c r="U20" i="5" s="1"/>
  <c r="V8" i="5" s="1"/>
  <c r="U83" i="5"/>
  <c r="U84" i="5" s="1"/>
  <c r="U85" i="5" s="1"/>
  <c r="U89" i="5" s="1"/>
  <c r="U90" i="5" s="1"/>
  <c r="U93" i="5" s="1"/>
  <c r="V36" i="5"/>
  <c r="V37" i="5" s="1"/>
  <c r="V38" i="5" s="1"/>
  <c r="V40" i="5" s="1"/>
  <c r="V41" i="5" s="1"/>
  <c r="V47" i="5" s="1"/>
  <c r="V27" i="5"/>
  <c r="V91" i="5"/>
  <c r="V75" i="5"/>
  <c r="U103" i="5"/>
  <c r="V96" i="5" s="1"/>
  <c r="V9" i="5" l="1"/>
  <c r="W6" i="5" s="1"/>
  <c r="W57" i="5"/>
  <c r="W56" i="5" s="1"/>
  <c r="W60" i="5" s="1"/>
  <c r="W62" i="5" s="1"/>
  <c r="V28" i="5"/>
  <c r="V29" i="5" s="1"/>
  <c r="W23" i="5" s="1"/>
  <c r="V13" i="5"/>
  <c r="V15" i="5"/>
  <c r="W32" i="5"/>
  <c r="W33" i="5"/>
  <c r="V98" i="5"/>
  <c r="V100" i="5" s="1"/>
  <c r="V102" i="5" s="1"/>
  <c r="V104" i="5" s="1"/>
  <c r="W25" i="5"/>
  <c r="W92" i="5"/>
  <c r="W72" i="5" s="1"/>
  <c r="W73" i="5" s="1"/>
  <c r="W97" i="5"/>
  <c r="W34" i="5"/>
  <c r="W24" i="5"/>
  <c r="V49" i="5" l="1"/>
  <c r="V51" i="5" s="1"/>
  <c r="W46" i="5" s="1"/>
  <c r="W63" i="5"/>
  <c r="W66" i="5" s="1"/>
  <c r="W7" i="5"/>
  <c r="V17" i="5"/>
  <c r="V19" i="5" s="1"/>
  <c r="V20" i="5" s="1"/>
  <c r="W8" i="5" s="1"/>
  <c r="W27" i="5"/>
  <c r="W36" i="5"/>
  <c r="W37" i="5" s="1"/>
  <c r="W38" i="5" s="1"/>
  <c r="W40" i="5" s="1"/>
  <c r="X32" i="5" s="1"/>
  <c r="W91" i="5"/>
  <c r="W75" i="5"/>
  <c r="V103" i="5"/>
  <c r="W96" i="5" s="1"/>
  <c r="V52" i="5" l="1"/>
  <c r="V78" i="5"/>
  <c r="V79" i="5" s="1"/>
  <c r="W9" i="5"/>
  <c r="X6" i="5" s="1"/>
  <c r="W28" i="5"/>
  <c r="W29" i="5" s="1"/>
  <c r="X23" i="5" s="1"/>
  <c r="W44" i="5"/>
  <c r="W12" i="5" s="1"/>
  <c r="W13" i="5" s="1"/>
  <c r="W18" i="5"/>
  <c r="V53" i="5"/>
  <c r="V67" i="5" s="1"/>
  <c r="V68" i="5" s="1"/>
  <c r="W41" i="5"/>
  <c r="W47" i="5" s="1"/>
  <c r="V80" i="5" l="1"/>
  <c r="V81" i="5" s="1"/>
  <c r="V82" i="5" s="1"/>
  <c r="V83" i="5" s="1"/>
  <c r="V84" i="5" s="1"/>
  <c r="V85" i="5" s="1"/>
  <c r="V89" i="5" s="1"/>
  <c r="V90" i="5" s="1"/>
  <c r="V93" i="5" s="1"/>
  <c r="X57" i="5"/>
  <c r="X56" i="5" s="1"/>
  <c r="X60" i="5" s="1"/>
  <c r="X62" i="5" s="1"/>
  <c r="W15" i="5"/>
  <c r="W17" i="5" s="1"/>
  <c r="W19" i="5" s="1"/>
  <c r="W20" i="5" s="1"/>
  <c r="W45" i="5"/>
  <c r="X33" i="5"/>
  <c r="X7" i="5"/>
  <c r="X92" i="5"/>
  <c r="X72" i="5" s="1"/>
  <c r="X73" i="5" s="1"/>
  <c r="X24" i="5"/>
  <c r="X34" i="5"/>
  <c r="X97" i="5"/>
  <c r="W98" i="5"/>
  <c r="W100" i="5" s="1"/>
  <c r="W102" i="5" s="1"/>
  <c r="W104" i="5" s="1"/>
  <c r="X25" i="5"/>
  <c r="W49" i="5" l="1"/>
  <c r="W51" i="5" s="1"/>
  <c r="X46" i="5" s="1"/>
  <c r="X63" i="5"/>
  <c r="X66" i="5" s="1"/>
  <c r="X8" i="5"/>
  <c r="X9" i="5" s="1"/>
  <c r="Y6" i="5" s="1"/>
  <c r="X36" i="5"/>
  <c r="X37" i="5" s="1"/>
  <c r="X38" i="5" s="1"/>
  <c r="X40" i="5" s="1"/>
  <c r="X41" i="5" s="1"/>
  <c r="X47" i="5" s="1"/>
  <c r="X91" i="5"/>
  <c r="X27" i="5"/>
  <c r="X28" i="5" s="1"/>
  <c r="X29" i="5" s="1"/>
  <c r="Y23" i="5" s="1"/>
  <c r="X75" i="5"/>
  <c r="W103" i="5"/>
  <c r="X96" i="5" s="1"/>
  <c r="W52" i="5" l="1"/>
  <c r="Y57" i="5"/>
  <c r="Y56" i="5" s="1"/>
  <c r="Y60" i="5" s="1"/>
  <c r="Y62" i="5" s="1"/>
  <c r="X18" i="5"/>
  <c r="X15" i="5"/>
  <c r="W78" i="5"/>
  <c r="W79" i="5" s="1"/>
  <c r="W80" i="5" s="1"/>
  <c r="W81" i="5" s="1"/>
  <c r="W82" i="5" s="1"/>
  <c r="W83" i="5" s="1"/>
  <c r="W84" i="5" s="1"/>
  <c r="W85" i="5" s="1"/>
  <c r="W89" i="5" s="1"/>
  <c r="W90" i="5" s="1"/>
  <c r="W93" i="5" s="1"/>
  <c r="W53" i="5"/>
  <c r="W67" i="5" s="1"/>
  <c r="W68" i="5" s="1"/>
  <c r="X44" i="5"/>
  <c r="X12" i="5" s="1"/>
  <c r="X13" i="5" s="1"/>
  <c r="Y32" i="5"/>
  <c r="Y33" i="5"/>
  <c r="Y24" i="5"/>
  <c r="Y25" i="5"/>
  <c r="X98" i="5"/>
  <c r="X100" i="5" s="1"/>
  <c r="Y34" i="5"/>
  <c r="Y92" i="5"/>
  <c r="Y72" i="5" s="1"/>
  <c r="Y73" i="5" s="1"/>
  <c r="Y102" i="5"/>
  <c r="Y104" i="5" s="1"/>
  <c r="Y97" i="5"/>
  <c r="Y7" i="5"/>
  <c r="X102" i="5"/>
  <c r="X104" i="5" s="1"/>
  <c r="Y63" i="5" l="1"/>
  <c r="Y66" i="5" s="1"/>
  <c r="X45" i="5"/>
  <c r="X49" i="5" s="1"/>
  <c r="X51" i="5" s="1"/>
  <c r="X17" i="5"/>
  <c r="X19" i="5" s="1"/>
  <c r="X20" i="5" s="1"/>
  <c r="Y36" i="5"/>
  <c r="Y37" i="5" s="1"/>
  <c r="Y38" i="5" s="1"/>
  <c r="Y40" i="5" s="1"/>
  <c r="Z32" i="5" s="1"/>
  <c r="Y27" i="5"/>
  <c r="Y75" i="5"/>
  <c r="Y91" i="5"/>
  <c r="X103" i="5"/>
  <c r="Y96" i="5" s="1"/>
  <c r="X52" i="5" l="1"/>
  <c r="Y46" i="5"/>
  <c r="Y8" i="5"/>
  <c r="Y9" i="5" s="1"/>
  <c r="Z6" i="5" s="1"/>
  <c r="Y41" i="5"/>
  <c r="Y47" i="5" s="1"/>
  <c r="Z46" i="5" l="1"/>
  <c r="Z51" i="5"/>
  <c r="Z52" i="5" s="1"/>
  <c r="Z57" i="5"/>
  <c r="Z56" i="5" s="1"/>
  <c r="Z60" i="5" s="1"/>
  <c r="Z62" i="5" s="1"/>
  <c r="Y15" i="5"/>
  <c r="Y28" i="5"/>
  <c r="Y29" i="5" s="1"/>
  <c r="Z23" i="5" s="1"/>
  <c r="X53" i="5"/>
  <c r="X67" i="5" s="1"/>
  <c r="X68" i="5" s="1"/>
  <c r="X78" i="5"/>
  <c r="X79" i="5" s="1"/>
  <c r="X80" i="5" s="1"/>
  <c r="X81" i="5" s="1"/>
  <c r="X82" i="5" s="1"/>
  <c r="X83" i="5" s="1"/>
  <c r="X84" i="5" s="1"/>
  <c r="X85" i="5" s="1"/>
  <c r="X89" i="5" s="1"/>
  <c r="X90" i="5" s="1"/>
  <c r="X93" i="5" s="1"/>
  <c r="Y18" i="5"/>
  <c r="Y44" i="5"/>
  <c r="Z33" i="5"/>
  <c r="Z24" i="5"/>
  <c r="Y98" i="5"/>
  <c r="Y100" i="5" s="1"/>
  <c r="Y103" i="5" s="1"/>
  <c r="Z96" i="5" s="1"/>
  <c r="Z102" i="5"/>
  <c r="Z104" i="5" s="1"/>
  <c r="Z25" i="5"/>
  <c r="Z97" i="5"/>
  <c r="Z92" i="5"/>
  <c r="Z72" i="5" s="1"/>
  <c r="Z75" i="5" s="1"/>
  <c r="Z34" i="5"/>
  <c r="Z63" i="5" l="1"/>
  <c r="Z66" i="5" s="1"/>
  <c r="Z7" i="5"/>
  <c r="Y12" i="5"/>
  <c r="Y13" i="5" s="1"/>
  <c r="Y17" i="5" s="1"/>
  <c r="Y19" i="5" s="1"/>
  <c r="Y20" i="5" s="1"/>
  <c r="Y45" i="5"/>
  <c r="Y49" i="5" s="1"/>
  <c r="Y51" i="5" s="1"/>
  <c r="Y52" i="5" s="1"/>
  <c r="Z27" i="5"/>
  <c r="AA18" i="5"/>
  <c r="Z73" i="5"/>
  <c r="Z53" i="5"/>
  <c r="Z67" i="5" s="1"/>
  <c r="Z78" i="5"/>
  <c r="Z36" i="5"/>
  <c r="Z37" i="5" s="1"/>
  <c r="Z38" i="5" s="1"/>
  <c r="Z40" i="5" s="1"/>
  <c r="Z91" i="5"/>
  <c r="Y53" i="5" l="1"/>
  <c r="Y67" i="5" s="1"/>
  <c r="Y68" i="5" s="1"/>
  <c r="Z68" i="5" s="1"/>
  <c r="Z8" i="5"/>
  <c r="Z9" i="5" s="1"/>
  <c r="AA6" i="5" s="1"/>
  <c r="Z28" i="5"/>
  <c r="Z29" i="5" s="1"/>
  <c r="AA23" i="5" s="1"/>
  <c r="AA32" i="5"/>
  <c r="Z41" i="5"/>
  <c r="Z47" i="5" s="1"/>
  <c r="Z44" i="5"/>
  <c r="AA46" i="5" l="1"/>
  <c r="AA51" i="5"/>
  <c r="AA52" i="5" s="1"/>
  <c r="Y78" i="5"/>
  <c r="Y79" i="5" s="1"/>
  <c r="Z18" i="5"/>
  <c r="AA57" i="5"/>
  <c r="AA56" i="5" s="1"/>
  <c r="AA60" i="5" s="1"/>
  <c r="AA62" i="5" s="1"/>
  <c r="Z15" i="5"/>
  <c r="AA33" i="5"/>
  <c r="AA97" i="5"/>
  <c r="AA102" i="5"/>
  <c r="AA104" i="5" s="1"/>
  <c r="AA25" i="5"/>
  <c r="AA34" i="5"/>
  <c r="AA7" i="5"/>
  <c r="Z98" i="5"/>
  <c r="Z100" i="5" s="1"/>
  <c r="Z103" i="5" s="1"/>
  <c r="AA96" i="5" s="1"/>
  <c r="AA92" i="5"/>
  <c r="AA72" i="5" s="1"/>
  <c r="AA75" i="5" s="1"/>
  <c r="AA24" i="5"/>
  <c r="Z12" i="5"/>
  <c r="Z13" i="5" s="1"/>
  <c r="AA44" i="5"/>
  <c r="Z45" i="5"/>
  <c r="Y80" i="5" l="1"/>
  <c r="Y81" i="5" s="1"/>
  <c r="Y82" i="5" s="1"/>
  <c r="Y83" i="5" s="1"/>
  <c r="Y84" i="5" s="1"/>
  <c r="Y85" i="5" s="1"/>
  <c r="Y89" i="5" s="1"/>
  <c r="Y90" i="5" s="1"/>
  <c r="Y93" i="5" s="1"/>
  <c r="AA63" i="5"/>
  <c r="AA66" i="5" s="1"/>
  <c r="Z17" i="5"/>
  <c r="Z19" i="5" s="1"/>
  <c r="Z20" i="5" s="1"/>
  <c r="AA73" i="5"/>
  <c r="AB18" i="5"/>
  <c r="AA27" i="5"/>
  <c r="AA91" i="5"/>
  <c r="AA36" i="5"/>
  <c r="AA37" i="5" s="1"/>
  <c r="AA38" i="5" s="1"/>
  <c r="AA40" i="5" s="1"/>
  <c r="Z49" i="5"/>
  <c r="AA45" i="5" s="1"/>
  <c r="AA53" i="5"/>
  <c r="AA67" i="5" s="1"/>
  <c r="AA78" i="5"/>
  <c r="AA12" i="5"/>
  <c r="AB44" i="5"/>
  <c r="AB12" i="5" s="1"/>
  <c r="Z79" i="5" l="1"/>
  <c r="Z80" i="5" s="1"/>
  <c r="Z81" i="5" s="1"/>
  <c r="Z82" i="5" s="1"/>
  <c r="Z83" i="5" s="1"/>
  <c r="Z84" i="5" s="1"/>
  <c r="Z85" i="5" s="1"/>
  <c r="Z89" i="5" s="1"/>
  <c r="Z90" i="5" s="1"/>
  <c r="Z93" i="5" s="1"/>
  <c r="AA68" i="5"/>
  <c r="AA8" i="5"/>
  <c r="AA9" i="5" s="1"/>
  <c r="AB6" i="5" s="1"/>
  <c r="AB32" i="5"/>
  <c r="AA41" i="5"/>
  <c r="AA47" i="5" s="1"/>
  <c r="AB46" i="5" l="1"/>
  <c r="AA49" i="5"/>
  <c r="AB51" i="5"/>
  <c r="AB52" i="5" s="1"/>
  <c r="AA79" i="5"/>
  <c r="AA80" i="5" s="1"/>
  <c r="AA81" i="5" s="1"/>
  <c r="AA82" i="5" s="1"/>
  <c r="AA83" i="5" s="1"/>
  <c r="AA84" i="5" s="1"/>
  <c r="AA85" i="5" s="1"/>
  <c r="AA89" i="5" s="1"/>
  <c r="AA90" i="5" s="1"/>
  <c r="AA93" i="5" s="1"/>
  <c r="AB57" i="5"/>
  <c r="AB56" i="5" s="1"/>
  <c r="AB60" i="5" s="1"/>
  <c r="AB62" i="5" s="1"/>
  <c r="AA15" i="5"/>
  <c r="AA28" i="5"/>
  <c r="AA29" i="5" s="1"/>
  <c r="AB23" i="5" s="1"/>
  <c r="AA13" i="5"/>
  <c r="AB33" i="5"/>
  <c r="AB97" i="5"/>
  <c r="AB34" i="5"/>
  <c r="AB92" i="5"/>
  <c r="AB102" i="5"/>
  <c r="AB104" i="5" s="1"/>
  <c r="AB24" i="5"/>
  <c r="AB25" i="5"/>
  <c r="AA98" i="5"/>
  <c r="AA100" i="5" s="1"/>
  <c r="AA103" i="5" s="1"/>
  <c r="AB96" i="5" s="1"/>
  <c r="AB63" i="5" l="1"/>
  <c r="AB66" i="5" s="1"/>
  <c r="AA17" i="5"/>
  <c r="AA19" i="5" s="1"/>
  <c r="AA20" i="5" s="1"/>
  <c r="AB8" i="5" s="1"/>
  <c r="AB7" i="5"/>
  <c r="AB36" i="5"/>
  <c r="AB37" i="5" s="1"/>
  <c r="AB38" i="5" s="1"/>
  <c r="AB40" i="5" s="1"/>
  <c r="AC32" i="5" s="1"/>
  <c r="AB72" i="5"/>
  <c r="AB91" i="5"/>
  <c r="AB45" i="5"/>
  <c r="AB27" i="5"/>
  <c r="AB53" i="5"/>
  <c r="AB67" i="5" s="1"/>
  <c r="AB78" i="5"/>
  <c r="AB79" i="5" s="1"/>
  <c r="AC18" i="5"/>
  <c r="AC44" i="5"/>
  <c r="AC12" i="5" s="1"/>
  <c r="AB68" i="5" l="1"/>
  <c r="AB28" i="5"/>
  <c r="AB29" i="5" s="1"/>
  <c r="AC23" i="5" s="1"/>
  <c r="AB9" i="5"/>
  <c r="AC6" i="5" s="1"/>
  <c r="AB13" i="5"/>
  <c r="AB41" i="5"/>
  <c r="AB47" i="5" s="1"/>
  <c r="AB75" i="5"/>
  <c r="AB73" i="5"/>
  <c r="AC46" i="5" l="1"/>
  <c r="AC51" i="5"/>
  <c r="AC52" i="5" s="1"/>
  <c r="AC57" i="5"/>
  <c r="AC56" i="5" s="1"/>
  <c r="AC60" i="5" s="1"/>
  <c r="AB15" i="5"/>
  <c r="AB17" i="5" s="1"/>
  <c r="AB19" i="5" s="1"/>
  <c r="AB20" i="5" s="1"/>
  <c r="AB49" i="5"/>
  <c r="AC73" i="5"/>
  <c r="AC7" i="5"/>
  <c r="AB80" i="5"/>
  <c r="AB81" i="5" s="1"/>
  <c r="AB82" i="5" s="1"/>
  <c r="AB83" i="5" s="1"/>
  <c r="AB84" i="5" s="1"/>
  <c r="AB85" i="5" s="1"/>
  <c r="AB89" i="5" s="1"/>
  <c r="AB90" i="5" s="1"/>
  <c r="AB93" i="5" s="1"/>
  <c r="AC33" i="5"/>
  <c r="AC92" i="5"/>
  <c r="AC91" i="5" s="1"/>
  <c r="AB98" i="5"/>
  <c r="AB100" i="5" s="1"/>
  <c r="AB103" i="5" s="1"/>
  <c r="AC96" i="5" s="1"/>
  <c r="AC102" i="5"/>
  <c r="AC104" i="5" s="1"/>
  <c r="AC34" i="5"/>
  <c r="AC97" i="5"/>
  <c r="AC25" i="5"/>
  <c r="AC24" i="5"/>
  <c r="AC62" i="5"/>
  <c r="AC63" i="5" l="1"/>
  <c r="AC66" i="5" s="1"/>
  <c r="AC8" i="5"/>
  <c r="AC9" i="5" s="1"/>
  <c r="AD6" i="5" s="1"/>
  <c r="AC36" i="5"/>
  <c r="AC37" i="5" s="1"/>
  <c r="AC38" i="5" s="1"/>
  <c r="AC40" i="5" s="1"/>
  <c r="AC41" i="5" s="1"/>
  <c r="AC47" i="5" s="1"/>
  <c r="AC72" i="5"/>
  <c r="AC75" i="5" s="1"/>
  <c r="AC13" i="5"/>
  <c r="AD18" i="5"/>
  <c r="AC78" i="5"/>
  <c r="AC79" i="5" s="1"/>
  <c r="AD44" i="5"/>
  <c r="AD12" i="5" s="1"/>
  <c r="AC45" i="5"/>
  <c r="AC53" i="5"/>
  <c r="AC67" i="5" s="1"/>
  <c r="AC27" i="5"/>
  <c r="AC28" i="5" s="1"/>
  <c r="AC29" i="5" s="1"/>
  <c r="AD46" i="5" l="1"/>
  <c r="AC49" i="5"/>
  <c r="AD51" i="5"/>
  <c r="AD52" i="5" s="1"/>
  <c r="AD57" i="5"/>
  <c r="AD56" i="5" s="1"/>
  <c r="AD60" i="5" s="1"/>
  <c r="AC68" i="5"/>
  <c r="AC15" i="5"/>
  <c r="AC17" i="5" s="1"/>
  <c r="AC19" i="5" s="1"/>
  <c r="AC20" i="5" s="1"/>
  <c r="AD32" i="5"/>
  <c r="AD97" i="5"/>
  <c r="AD102" i="5"/>
  <c r="AD104" i="5" s="1"/>
  <c r="AD92" i="5"/>
  <c r="AD91" i="5" s="1"/>
  <c r="AD62" i="5"/>
  <c r="AD33" i="5"/>
  <c r="AC98" i="5"/>
  <c r="AC100" i="5" s="1"/>
  <c r="AC103" i="5" s="1"/>
  <c r="AD96" i="5" s="1"/>
  <c r="AD7" i="5"/>
  <c r="AD34" i="5"/>
  <c r="AD25" i="5"/>
  <c r="AD24" i="5"/>
  <c r="AD73" i="5"/>
  <c r="AC80" i="5"/>
  <c r="AC81" i="5" s="1"/>
  <c r="AC82" i="5" s="1"/>
  <c r="AC83" i="5" s="1"/>
  <c r="AC84" i="5" s="1"/>
  <c r="AC85" i="5" s="1"/>
  <c r="AC89" i="5" s="1"/>
  <c r="AC90" i="5" s="1"/>
  <c r="AC93" i="5" s="1"/>
  <c r="AD23" i="5"/>
  <c r="AD63" i="5" l="1"/>
  <c r="AD66" i="5" s="1"/>
  <c r="AD8" i="5"/>
  <c r="AD9" i="5" s="1"/>
  <c r="AE6" i="5" s="1"/>
  <c r="AD72" i="5"/>
  <c r="AD75" i="5" s="1"/>
  <c r="AD36" i="5"/>
  <c r="AD37" i="5" s="1"/>
  <c r="AD38" i="5" s="1"/>
  <c r="AD40" i="5" s="1"/>
  <c r="AD41" i="5" s="1"/>
  <c r="AD47" i="5" s="1"/>
  <c r="AD13" i="5"/>
  <c r="AD45" i="5"/>
  <c r="AE18" i="5"/>
  <c r="AE44" i="5"/>
  <c r="AE12" i="5" s="1"/>
  <c r="AD53" i="5"/>
  <c r="AD67" i="5" s="1"/>
  <c r="AD78" i="5"/>
  <c r="AD79" i="5" s="1"/>
  <c r="AD27" i="5"/>
  <c r="AD28" i="5" s="1"/>
  <c r="AD29" i="5" s="1"/>
  <c r="AE23" i="5" s="1"/>
  <c r="AE46" i="5" l="1"/>
  <c r="AD49" i="5"/>
  <c r="AE51" i="5"/>
  <c r="AE52" i="5" s="1"/>
  <c r="AE57" i="5"/>
  <c r="AE56" i="5" s="1"/>
  <c r="AE60" i="5" s="1"/>
  <c r="AD68" i="5"/>
  <c r="AD15" i="5"/>
  <c r="AD17" i="5" s="1"/>
  <c r="AD19" i="5" s="1"/>
  <c r="AD20" i="5" s="1"/>
  <c r="AE32" i="5"/>
  <c r="AE33" i="5"/>
  <c r="AE7" i="5"/>
  <c r="AE25" i="5"/>
  <c r="AE73" i="5"/>
  <c r="AE102" i="5"/>
  <c r="AE104" i="5" s="1"/>
  <c r="AD98" i="5"/>
  <c r="AD100" i="5" s="1"/>
  <c r="AD103" i="5" s="1"/>
  <c r="AE96" i="5" s="1"/>
  <c r="AD80" i="5"/>
  <c r="AD81" i="5" s="1"/>
  <c r="AD82" i="5" s="1"/>
  <c r="AD83" i="5" s="1"/>
  <c r="AD84" i="5" s="1"/>
  <c r="AD85" i="5" s="1"/>
  <c r="AD89" i="5" s="1"/>
  <c r="AD90" i="5" s="1"/>
  <c r="AD93" i="5" s="1"/>
  <c r="AE97" i="5"/>
  <c r="AE24" i="5"/>
  <c r="AE62" i="5"/>
  <c r="AE92" i="5"/>
  <c r="AE72" i="5" s="1"/>
  <c r="AE75" i="5" s="1"/>
  <c r="AE34" i="5"/>
  <c r="AE63" i="5" l="1"/>
  <c r="AE66" i="5" s="1"/>
  <c r="AE8" i="5"/>
  <c r="AE9" i="5" s="1"/>
  <c r="AF6" i="5" s="1"/>
  <c r="AE36" i="5"/>
  <c r="AE37" i="5" s="1"/>
  <c r="AE38" i="5" s="1"/>
  <c r="AE40" i="5" s="1"/>
  <c r="AF32" i="5" s="1"/>
  <c r="AE91" i="5"/>
  <c r="AE53" i="5"/>
  <c r="AE67" i="5" s="1"/>
  <c r="AE27" i="5"/>
  <c r="AE28" i="5" s="1"/>
  <c r="AE29" i="5" s="1"/>
  <c r="AE45" i="5"/>
  <c r="AF44" i="5"/>
  <c r="AF12" i="5" s="1"/>
  <c r="AE78" i="5"/>
  <c r="AE79" i="5" s="1"/>
  <c r="AF18" i="5"/>
  <c r="AE13" i="5"/>
  <c r="AE68" i="5" l="1"/>
  <c r="AE41" i="5"/>
  <c r="AE47" i="5" s="1"/>
  <c r="AF23" i="5"/>
  <c r="AF46" i="5" l="1"/>
  <c r="AE49" i="5"/>
  <c r="AF51" i="5"/>
  <c r="AF52" i="5" s="1"/>
  <c r="AF57" i="5"/>
  <c r="AF56" i="5" s="1"/>
  <c r="AF60" i="5" s="1"/>
  <c r="AF62" i="5" s="1"/>
  <c r="AE15" i="5"/>
  <c r="AE17" i="5" s="1"/>
  <c r="AE19" i="5" s="1"/>
  <c r="AE20" i="5" s="1"/>
  <c r="AF33" i="5"/>
  <c r="AF34" i="5"/>
  <c r="AF25" i="5"/>
  <c r="AF24" i="5"/>
  <c r="AF97" i="5"/>
  <c r="AE98" i="5"/>
  <c r="AE100" i="5" s="1"/>
  <c r="AE103" i="5" s="1"/>
  <c r="AF96" i="5" s="1"/>
  <c r="AE80" i="5"/>
  <c r="AE81" i="5" s="1"/>
  <c r="AE82" i="5" s="1"/>
  <c r="AE83" i="5" s="1"/>
  <c r="AE84" i="5" s="1"/>
  <c r="AE85" i="5" s="1"/>
  <c r="AE89" i="5" s="1"/>
  <c r="AE90" i="5" s="1"/>
  <c r="AE93" i="5" s="1"/>
  <c r="AF92" i="5"/>
  <c r="AF72" i="5" s="1"/>
  <c r="AF75" i="5" s="1"/>
  <c r="AF7" i="5"/>
  <c r="AF102" i="5"/>
  <c r="AF104" i="5" s="1"/>
  <c r="AF63" i="5" l="1"/>
  <c r="AF66" i="5" s="1"/>
  <c r="AF8" i="5"/>
  <c r="AF9" i="5" s="1"/>
  <c r="AG6" i="5" s="1"/>
  <c r="AF53" i="5"/>
  <c r="AF67" i="5" s="1"/>
  <c r="AG44" i="5"/>
  <c r="AG12" i="5" s="1"/>
  <c r="AG18" i="5"/>
  <c r="AF78" i="5"/>
  <c r="AF79" i="5" s="1"/>
  <c r="AF73" i="5"/>
  <c r="AF45" i="5"/>
  <c r="AF91" i="5"/>
  <c r="AF36" i="5"/>
  <c r="AF37" i="5" s="1"/>
  <c r="AF38" i="5" s="1"/>
  <c r="AF40" i="5" s="1"/>
  <c r="AF27" i="5"/>
  <c r="AF28" i="5" s="1"/>
  <c r="AF29" i="5" s="1"/>
  <c r="AG23" i="5" s="1"/>
  <c r="AF68" i="5" l="1"/>
  <c r="AF13" i="5"/>
  <c r="AG32" i="5"/>
  <c r="AF41" i="5"/>
  <c r="AF47" i="5" s="1"/>
  <c r="AG46" i="5" l="1"/>
  <c r="AF49" i="5"/>
  <c r="AG51" i="5"/>
  <c r="AG52" i="5" s="1"/>
  <c r="AG57" i="5"/>
  <c r="AG56" i="5" s="1"/>
  <c r="AG60" i="5" s="1"/>
  <c r="AG62" i="5" s="1"/>
  <c r="AF15" i="5"/>
  <c r="AF17" i="5" s="1"/>
  <c r="AF19" i="5" s="1"/>
  <c r="AF20" i="5" s="1"/>
  <c r="AG33" i="5"/>
  <c r="AG97" i="5"/>
  <c r="AG24" i="5"/>
  <c r="AF80" i="5"/>
  <c r="AF81" i="5" s="1"/>
  <c r="AF82" i="5" s="1"/>
  <c r="AF83" i="5" s="1"/>
  <c r="AF84" i="5" s="1"/>
  <c r="AF85" i="5" s="1"/>
  <c r="AF89" i="5" s="1"/>
  <c r="AF90" i="5" s="1"/>
  <c r="AF93" i="5" s="1"/>
  <c r="AG25" i="5"/>
  <c r="AF98" i="5"/>
  <c r="AF100" i="5" s="1"/>
  <c r="AF103" i="5" s="1"/>
  <c r="AG96" i="5" s="1"/>
  <c r="AG7" i="5"/>
  <c r="AG92" i="5"/>
  <c r="AG34" i="5"/>
  <c r="AG63" i="5" l="1"/>
  <c r="AG66" i="5" s="1"/>
  <c r="AG78" i="5"/>
  <c r="AG79" i="5" s="1"/>
  <c r="AG45" i="5"/>
  <c r="AG53" i="5"/>
  <c r="AG67" i="5" s="1"/>
  <c r="AG27" i="5"/>
  <c r="AG36" i="5"/>
  <c r="AG37" i="5" s="1"/>
  <c r="AG38" i="5" s="1"/>
  <c r="AG40" i="5" s="1"/>
  <c r="AH44" i="5"/>
  <c r="AH12" i="5" s="1"/>
  <c r="AH18" i="5"/>
  <c r="AG72" i="5"/>
  <c r="AG91" i="5"/>
  <c r="AG13" i="5"/>
  <c r="AG68" i="5" l="1"/>
  <c r="AG75" i="5"/>
  <c r="AG73" i="5"/>
  <c r="AG41" i="5"/>
  <c r="AG47" i="5" s="1"/>
  <c r="AH32" i="5"/>
  <c r="AG8" i="5"/>
  <c r="AG9" i="5" s="1"/>
  <c r="AG28" i="5"/>
  <c r="AG29" i="5" s="1"/>
  <c r="AH23" i="5" s="1"/>
  <c r="AH46" i="5" l="1"/>
  <c r="AG49" i="5"/>
  <c r="AH57" i="5"/>
  <c r="AH56" i="5" s="1"/>
  <c r="AH60" i="5" s="1"/>
  <c r="AH62" i="5" s="1"/>
  <c r="AG15" i="5"/>
  <c r="AG17" i="5" s="1"/>
  <c r="AG19" i="5" s="1"/>
  <c r="AG20" i="5" s="1"/>
  <c r="AH6" i="5"/>
  <c r="AH33" i="5"/>
  <c r="AH7" i="5"/>
  <c r="AH24" i="5"/>
  <c r="AG80" i="5"/>
  <c r="AG81" i="5" s="1"/>
  <c r="AG82" i="5" s="1"/>
  <c r="AG83" i="5" s="1"/>
  <c r="AG84" i="5" s="1"/>
  <c r="AG85" i="5" s="1"/>
  <c r="AG89" i="5" s="1"/>
  <c r="AG90" i="5" s="1"/>
  <c r="AG93" i="5" s="1"/>
  <c r="AH97" i="5"/>
  <c r="AG98" i="5"/>
  <c r="AG100" i="5" s="1"/>
  <c r="AH34" i="5"/>
  <c r="AH25" i="5"/>
  <c r="AH63" i="5" l="1"/>
  <c r="AH66" i="5" s="1"/>
  <c r="AG103" i="5"/>
  <c r="AH96" i="5" s="1"/>
  <c r="AG102" i="5"/>
  <c r="AG104" i="5" s="1"/>
  <c r="AH45" i="5"/>
  <c r="AH27" i="5"/>
  <c r="AH13" i="5"/>
  <c r="AH36" i="5"/>
  <c r="AH37" i="5" s="1"/>
  <c r="AH38" i="5" s="1"/>
  <c r="AH40" i="5" s="1"/>
  <c r="AI32" i="5" l="1"/>
  <c r="AH41" i="5"/>
  <c r="AH47" i="5" s="1"/>
  <c r="AH8" i="5"/>
  <c r="AH9" i="5" s="1"/>
  <c r="AH28" i="5"/>
  <c r="AH29" i="5" s="1"/>
  <c r="AI23" i="5" s="1"/>
  <c r="AH49" i="5" l="1"/>
  <c r="AH51" i="5" s="1"/>
  <c r="AH52" i="5" s="1"/>
  <c r="AI57" i="5"/>
  <c r="AI56" i="5" s="1"/>
  <c r="AI60" i="5" s="1"/>
  <c r="AI62" i="5" s="1"/>
  <c r="AH15" i="5"/>
  <c r="AH17" i="5" s="1"/>
  <c r="AH19" i="5" s="1"/>
  <c r="AH20" i="5" s="1"/>
  <c r="AI6" i="5"/>
  <c r="AI33" i="5"/>
  <c r="AH98" i="5"/>
  <c r="AH100" i="5" s="1"/>
  <c r="AI25" i="5"/>
  <c r="AI24" i="5"/>
  <c r="AI7" i="5"/>
  <c r="AI34" i="5"/>
  <c r="AI97" i="5"/>
  <c r="AI46" i="5" l="1"/>
  <c r="AI63" i="5"/>
  <c r="AI66" i="5" s="1"/>
  <c r="AI8" i="5"/>
  <c r="AI9" i="5" s="1"/>
  <c r="AJ6" i="5" s="1"/>
  <c r="AI27" i="5"/>
  <c r="AI44" i="5"/>
  <c r="AI18" i="5"/>
  <c r="AI36" i="5"/>
  <c r="AI37" i="5" s="1"/>
  <c r="AI38" i="5" s="1"/>
  <c r="AI40" i="5" s="1"/>
  <c r="AH102" i="5"/>
  <c r="AH104" i="5" s="1"/>
  <c r="AI45" i="5" l="1"/>
  <c r="AI28" i="5"/>
  <c r="AI29" i="5" s="1"/>
  <c r="AJ23" i="5" s="1"/>
  <c r="AH53" i="5"/>
  <c r="AH67" i="5" s="1"/>
  <c r="AH68" i="5" s="1"/>
  <c r="AH78" i="5"/>
  <c r="AH79" i="5" s="1"/>
  <c r="AH80" i="5" s="1"/>
  <c r="AH81" i="5" s="1"/>
  <c r="AH82" i="5" s="1"/>
  <c r="AH83" i="5" s="1"/>
  <c r="AH84" i="5" s="1"/>
  <c r="AH85" i="5" s="1"/>
  <c r="AH89" i="5" s="1"/>
  <c r="AH90" i="5" s="1"/>
  <c r="AH92" i="5" s="1"/>
  <c r="AH72" i="5" s="1"/>
  <c r="AH103" i="5"/>
  <c r="AI96" i="5" s="1"/>
  <c r="AI12" i="5"/>
  <c r="AI13" i="5" s="1"/>
  <c r="AJ32" i="5"/>
  <c r="AI41" i="5"/>
  <c r="AI47" i="5" s="1"/>
  <c r="AJ57" i="5" l="1"/>
  <c r="AJ56" i="5" s="1"/>
  <c r="AJ60" i="5" s="1"/>
  <c r="AJ62" i="5" s="1"/>
  <c r="AI15" i="5"/>
  <c r="AI17" i="5" s="1"/>
  <c r="AI19" i="5" s="1"/>
  <c r="AI20" i="5" s="1"/>
  <c r="AH93" i="5"/>
  <c r="AI49" i="5"/>
  <c r="AI51" i="5" s="1"/>
  <c r="AI52" i="5" s="1"/>
  <c r="AJ33" i="5"/>
  <c r="AJ24" i="5"/>
  <c r="AJ7" i="5"/>
  <c r="AJ25" i="5"/>
  <c r="AJ97" i="5"/>
  <c r="AJ34" i="5"/>
  <c r="AI98" i="5"/>
  <c r="AI100" i="5" s="1"/>
  <c r="AI102" i="5" s="1"/>
  <c r="AI104" i="5" s="1"/>
  <c r="AH75" i="5"/>
  <c r="AH73" i="5"/>
  <c r="AH91" i="5"/>
  <c r="AJ46" i="5" l="1"/>
  <c r="AJ63" i="5"/>
  <c r="AJ66" i="5" s="1"/>
  <c r="AJ8" i="5"/>
  <c r="AJ9" i="5" s="1"/>
  <c r="AK6" i="5" s="1"/>
  <c r="AJ44" i="5"/>
  <c r="AJ12" i="5" s="1"/>
  <c r="AJ13" i="5" s="1"/>
  <c r="AI53" i="5"/>
  <c r="AI67" i="5" s="1"/>
  <c r="AI68" i="5" s="1"/>
  <c r="AJ18" i="5"/>
  <c r="AI78" i="5"/>
  <c r="AI79" i="5" s="1"/>
  <c r="AJ36" i="5"/>
  <c r="AJ37" i="5" s="1"/>
  <c r="AJ38" i="5" s="1"/>
  <c r="AJ40" i="5" s="1"/>
  <c r="AK32" i="5" s="1"/>
  <c r="AI103" i="5"/>
  <c r="AJ96" i="5" s="1"/>
  <c r="AJ27" i="5"/>
  <c r="AJ28" i="5" s="1"/>
  <c r="AJ29" i="5" s="1"/>
  <c r="AK23" i="5" s="1"/>
  <c r="AJ45" i="5" l="1"/>
  <c r="AJ41" i="5"/>
  <c r="AJ47" i="5" s="1"/>
  <c r="AI80" i="5"/>
  <c r="AI81" i="5" s="1"/>
  <c r="AI82" i="5" s="1"/>
  <c r="AJ49" i="5" l="1"/>
  <c r="AJ51" i="5" s="1"/>
  <c r="AJ52" i="5" s="1"/>
  <c r="AK57" i="5"/>
  <c r="AK56" i="5" s="1"/>
  <c r="AK60" i="5" s="1"/>
  <c r="AK62" i="5" s="1"/>
  <c r="AJ15" i="5"/>
  <c r="AJ17" i="5" s="1"/>
  <c r="AJ19" i="5" s="1"/>
  <c r="AJ20" i="5" s="1"/>
  <c r="AK33" i="5"/>
  <c r="AK97" i="5"/>
  <c r="AK25" i="5"/>
  <c r="AK7" i="5"/>
  <c r="AK24" i="5"/>
  <c r="AK102" i="5"/>
  <c r="AK104" i="5" s="1"/>
  <c r="AK34" i="5"/>
  <c r="AJ98" i="5"/>
  <c r="AJ100" i="5" s="1"/>
  <c r="AJ102" i="5" s="1"/>
  <c r="AJ104" i="5" s="1"/>
  <c r="AI83" i="5"/>
  <c r="AI84" i="5" s="1"/>
  <c r="AI85" i="5" s="1"/>
  <c r="AI89" i="5" s="1"/>
  <c r="AI90" i="5" s="1"/>
  <c r="AI92" i="5" s="1"/>
  <c r="AK46" i="5" l="1"/>
  <c r="AK63" i="5"/>
  <c r="AK66" i="5" s="1"/>
  <c r="AK8" i="5"/>
  <c r="AK9" i="5" s="1"/>
  <c r="AL6" i="5" s="1"/>
  <c r="AK18" i="5"/>
  <c r="AJ78" i="5"/>
  <c r="AJ79" i="5" s="1"/>
  <c r="AJ80" i="5" s="1"/>
  <c r="AK44" i="5"/>
  <c r="AK12" i="5" s="1"/>
  <c r="AK13" i="5" s="1"/>
  <c r="AJ53" i="5"/>
  <c r="AJ67" i="5" s="1"/>
  <c r="AJ68" i="5" s="1"/>
  <c r="AK36" i="5"/>
  <c r="AK37" i="5" s="1"/>
  <c r="AK38" i="5" s="1"/>
  <c r="AK40" i="5" s="1"/>
  <c r="AL32" i="5" s="1"/>
  <c r="AK27" i="5"/>
  <c r="AK28" i="5" s="1"/>
  <c r="AK29" i="5" s="1"/>
  <c r="AL23" i="5" s="1"/>
  <c r="AJ103" i="5"/>
  <c r="AK96" i="5" s="1"/>
  <c r="AI72" i="5"/>
  <c r="AK45" i="5" l="1"/>
  <c r="AJ81" i="5"/>
  <c r="AJ82" i="5" s="1"/>
  <c r="AK41" i="5"/>
  <c r="AK47" i="5" s="1"/>
  <c r="AI73" i="5"/>
  <c r="AI75" i="5"/>
  <c r="AI93" i="5"/>
  <c r="AL46" i="5" l="1"/>
  <c r="AK49" i="5"/>
  <c r="AK51" i="5" s="1"/>
  <c r="AK52" i="5" s="1"/>
  <c r="AL51" i="5"/>
  <c r="AL52" i="5" s="1"/>
  <c r="AL57" i="5"/>
  <c r="AL56" i="5" s="1"/>
  <c r="AL60" i="5" s="1"/>
  <c r="AL62" i="5" s="1"/>
  <c r="AK15" i="5"/>
  <c r="AK17" i="5" s="1"/>
  <c r="AK19" i="5" s="1"/>
  <c r="AK20" i="5" s="1"/>
  <c r="AL92" i="5"/>
  <c r="AL91" i="5" s="1"/>
  <c r="AL24" i="5"/>
  <c r="AL97" i="5"/>
  <c r="AL7" i="5"/>
  <c r="AL25" i="5"/>
  <c r="AL34" i="5"/>
  <c r="AL102" i="5"/>
  <c r="AL104" i="5" s="1"/>
  <c r="AK98" i="5"/>
  <c r="AK100" i="5" s="1"/>
  <c r="AK103" i="5" s="1"/>
  <c r="AL96" i="5" s="1"/>
  <c r="AL33" i="5"/>
  <c r="AI91" i="5"/>
  <c r="AJ83" i="5"/>
  <c r="AJ84" i="5" s="1"/>
  <c r="AJ85" i="5" s="1"/>
  <c r="AJ89" i="5" s="1"/>
  <c r="AJ90" i="5" s="1"/>
  <c r="AJ92" i="5" s="1"/>
  <c r="AJ72" i="5" s="1"/>
  <c r="AL36" i="5" l="1"/>
  <c r="AL37" i="5" s="1"/>
  <c r="AL38" i="5" s="1"/>
  <c r="AL40" i="5" s="1"/>
  <c r="AM32" i="5" s="1"/>
  <c r="AL63" i="5"/>
  <c r="AL66" i="5" s="1"/>
  <c r="AL8" i="5"/>
  <c r="AL9" i="5" s="1"/>
  <c r="AM6" i="5" s="1"/>
  <c r="AL27" i="5"/>
  <c r="AK78" i="5"/>
  <c r="AK53" i="5"/>
  <c r="AK67" i="5" s="1"/>
  <c r="AK68" i="5" s="1"/>
  <c r="AL44" i="5"/>
  <c r="AJ73" i="5"/>
  <c r="AJ75" i="5"/>
  <c r="AL41" i="5" l="1"/>
  <c r="AL47" i="5" s="1"/>
  <c r="AL28" i="5"/>
  <c r="AL29" i="5" s="1"/>
  <c r="AM23" i="5" s="1"/>
  <c r="AL18" i="5"/>
  <c r="AL12" i="5"/>
  <c r="AL13" i="5" s="1"/>
  <c r="AL45" i="5"/>
  <c r="AK79" i="5"/>
  <c r="AK80" i="5" s="1"/>
  <c r="AJ93" i="5"/>
  <c r="AM46" i="5" l="1"/>
  <c r="AL49" i="5"/>
  <c r="AM51" i="5"/>
  <c r="AM52" i="5" s="1"/>
  <c r="AM102" i="5"/>
  <c r="AM104" i="5" s="1"/>
  <c r="AL98" i="5"/>
  <c r="AL100" i="5" s="1"/>
  <c r="AL103" i="5" s="1"/>
  <c r="AM96" i="5" s="1"/>
  <c r="AM97" i="5"/>
  <c r="AM57" i="5"/>
  <c r="AM56" i="5" s="1"/>
  <c r="AM60" i="5" s="1"/>
  <c r="AM62" i="5" s="1"/>
  <c r="AM63" i="5" s="1"/>
  <c r="AM66" i="5" s="1"/>
  <c r="AM24" i="5"/>
  <c r="AM25" i="5"/>
  <c r="AM33" i="5"/>
  <c r="AL15" i="5"/>
  <c r="AL17" i="5" s="1"/>
  <c r="AL19" i="5" s="1"/>
  <c r="AL20" i="5" s="1"/>
  <c r="AM92" i="5"/>
  <c r="AM91" i="5" s="1"/>
  <c r="AM34" i="5"/>
  <c r="AM7" i="5"/>
  <c r="AK81" i="5"/>
  <c r="AK82" i="5" s="1"/>
  <c r="AJ91" i="5"/>
  <c r="AM27" i="5" l="1"/>
  <c r="AM28" i="5" s="1"/>
  <c r="AM29" i="5" s="1"/>
  <c r="AN23" i="5" s="1"/>
  <c r="AM36" i="5"/>
  <c r="AM37" i="5" s="1"/>
  <c r="AM38" i="5" s="1"/>
  <c r="AM40" i="5" s="1"/>
  <c r="AM41" i="5" s="1"/>
  <c r="AM47" i="5" s="1"/>
  <c r="AM8" i="5"/>
  <c r="AM9" i="5" s="1"/>
  <c r="AN6" i="5" s="1"/>
  <c r="AK83" i="5"/>
  <c r="AK84" i="5" s="1"/>
  <c r="AK85" i="5" s="1"/>
  <c r="AK89" i="5" s="1"/>
  <c r="AK90" i="5" s="1"/>
  <c r="AK92" i="5" s="1"/>
  <c r="AN46" i="5" l="1"/>
  <c r="AN57" i="5"/>
  <c r="AN56" i="5" s="1"/>
  <c r="AN60" i="5" s="1"/>
  <c r="AN62" i="5" s="1"/>
  <c r="AM15" i="5"/>
  <c r="AM18" i="5"/>
  <c r="AL53" i="5"/>
  <c r="AL67" i="5" s="1"/>
  <c r="AL68" i="5" s="1"/>
  <c r="AL78" i="5"/>
  <c r="AL79" i="5" s="1"/>
  <c r="AM44" i="5"/>
  <c r="AN33" i="5"/>
  <c r="AN7" i="5"/>
  <c r="AN24" i="5"/>
  <c r="AN92" i="5"/>
  <c r="AN91" i="5" s="1"/>
  <c r="AM98" i="5"/>
  <c r="AM100" i="5" s="1"/>
  <c r="AM103" i="5" s="1"/>
  <c r="AN96" i="5" s="1"/>
  <c r="AN102" i="5"/>
  <c r="AN104" i="5" s="1"/>
  <c r="AN34" i="5"/>
  <c r="AN97" i="5"/>
  <c r="AN25" i="5"/>
  <c r="AN32" i="5"/>
  <c r="AK91" i="5"/>
  <c r="AK72" i="5"/>
  <c r="AK93" i="5"/>
  <c r="AN63" i="5" l="1"/>
  <c r="AN66" i="5" s="1"/>
  <c r="AM12" i="5"/>
  <c r="AM13" i="5" s="1"/>
  <c r="AM17" i="5" s="1"/>
  <c r="AM19" i="5" s="1"/>
  <c r="AM20" i="5" s="1"/>
  <c r="AM45" i="5"/>
  <c r="AM49" i="5" s="1"/>
  <c r="AL80" i="5"/>
  <c r="AL81" i="5" s="1"/>
  <c r="AN36" i="5"/>
  <c r="AN37" i="5" s="1"/>
  <c r="AN38" i="5" s="1"/>
  <c r="AN40" i="5" s="1"/>
  <c r="AN41" i="5" s="1"/>
  <c r="AN47" i="5" s="1"/>
  <c r="AN27" i="5"/>
  <c r="AK75" i="5"/>
  <c r="AK73" i="5"/>
  <c r="AL72" i="5" s="1"/>
  <c r="AO57" i="5" l="1"/>
  <c r="AO56" i="5" s="1"/>
  <c r="AO60" i="5" s="1"/>
  <c r="AO62" i="5" s="1"/>
  <c r="AN15" i="5"/>
  <c r="AN8" i="5"/>
  <c r="AN9" i="5" s="1"/>
  <c r="AO6" i="5" s="1"/>
  <c r="AN28" i="5"/>
  <c r="AN29" i="5" s="1"/>
  <c r="AO23" i="5" s="1"/>
  <c r="AM78" i="5"/>
  <c r="AN44" i="5"/>
  <c r="AN18" i="5"/>
  <c r="AM53" i="5"/>
  <c r="AM67" i="5" s="1"/>
  <c r="AM68" i="5" s="1"/>
  <c r="AL82" i="5"/>
  <c r="AL83" i="5" s="1"/>
  <c r="AL84" i="5" s="1"/>
  <c r="AL85" i="5" s="1"/>
  <c r="AL89" i="5" s="1"/>
  <c r="AL90" i="5" s="1"/>
  <c r="AL93" i="5" s="1"/>
  <c r="AO33" i="5"/>
  <c r="AN98" i="5"/>
  <c r="AN100" i="5" s="1"/>
  <c r="AN103" i="5" s="1"/>
  <c r="AO96" i="5" s="1"/>
  <c r="AO97" i="5"/>
  <c r="AO34" i="5"/>
  <c r="AO102" i="5"/>
  <c r="AO104" i="5" s="1"/>
  <c r="AO24" i="5"/>
  <c r="AO25" i="5"/>
  <c r="AO32" i="5"/>
  <c r="AO92" i="5"/>
  <c r="AO91" i="5" s="1"/>
  <c r="AL75" i="5"/>
  <c r="AL73" i="5"/>
  <c r="AM72" i="5" s="1"/>
  <c r="AO63" i="5" l="1"/>
  <c r="AO66" i="5" s="1"/>
  <c r="AO7" i="5"/>
  <c r="AN12" i="5"/>
  <c r="AN13" i="5" s="1"/>
  <c r="AN17" i="5" s="1"/>
  <c r="AN19" i="5" s="1"/>
  <c r="AN20" i="5" s="1"/>
  <c r="AN45" i="5"/>
  <c r="AN49" i="5" s="1"/>
  <c r="AN51" i="5" s="1"/>
  <c r="AO46" i="5" s="1"/>
  <c r="AM79" i="5"/>
  <c r="AM80" i="5" s="1"/>
  <c r="AO27" i="5"/>
  <c r="AO36" i="5"/>
  <c r="AO37" i="5" s="1"/>
  <c r="AO38" i="5" s="1"/>
  <c r="AO40" i="5" s="1"/>
  <c r="AM75" i="5"/>
  <c r="AM73" i="5"/>
  <c r="AN72" i="5" s="1"/>
  <c r="AN52" i="5" l="1"/>
  <c r="AO8" i="5"/>
  <c r="AO9" i="5" s="1"/>
  <c r="AP6" i="5" s="1"/>
  <c r="AO18" i="5"/>
  <c r="AN53" i="5"/>
  <c r="AN67" i="5" s="1"/>
  <c r="AN68" i="5" s="1"/>
  <c r="AO44" i="5"/>
  <c r="AO12" i="5" s="1"/>
  <c r="AN78" i="5"/>
  <c r="AN79" i="5" s="1"/>
  <c r="AN80" i="5" s="1"/>
  <c r="AM81" i="5"/>
  <c r="AP32" i="5"/>
  <c r="AO41" i="5"/>
  <c r="AO47" i="5" s="1"/>
  <c r="AN73" i="5"/>
  <c r="AO72" i="5" s="1"/>
  <c r="AN75" i="5"/>
  <c r="AP57" i="5" l="1"/>
  <c r="AP56" i="5" s="1"/>
  <c r="AP60" i="5" s="1"/>
  <c r="AP62" i="5" s="1"/>
  <c r="AO15" i="5"/>
  <c r="AO28" i="5"/>
  <c r="AO29" i="5" s="1"/>
  <c r="AP23" i="5" s="1"/>
  <c r="AO13" i="5"/>
  <c r="AO45" i="5"/>
  <c r="AM82" i="5"/>
  <c r="AN81" i="5" s="1"/>
  <c r="AP33" i="5"/>
  <c r="AO98" i="5"/>
  <c r="AO100" i="5" s="1"/>
  <c r="AO103" i="5" s="1"/>
  <c r="AP96" i="5" s="1"/>
  <c r="AP34" i="5"/>
  <c r="AP25" i="5"/>
  <c r="AP92" i="5"/>
  <c r="AP91" i="5" s="1"/>
  <c r="AP24" i="5"/>
  <c r="AP97" i="5"/>
  <c r="AP102" i="5"/>
  <c r="AP104" i="5" s="1"/>
  <c r="AO73" i="5"/>
  <c r="AO75" i="5"/>
  <c r="AN82" i="5" l="1"/>
  <c r="AP63" i="5"/>
  <c r="AP66" i="5" s="1"/>
  <c r="AO17" i="5"/>
  <c r="AO19" i="5" s="1"/>
  <c r="AO20" i="5" s="1"/>
  <c r="AP8" i="5" s="1"/>
  <c r="AP7" i="5"/>
  <c r="AO49" i="5"/>
  <c r="AO51" i="5" s="1"/>
  <c r="AP46" i="5" s="1"/>
  <c r="AM83" i="5"/>
  <c r="AM84" i="5" s="1"/>
  <c r="AM85" i="5" s="1"/>
  <c r="AM89" i="5" s="1"/>
  <c r="AM90" i="5" s="1"/>
  <c r="AM93" i="5" s="1"/>
  <c r="AP36" i="5"/>
  <c r="AP37" i="5" s="1"/>
  <c r="AP38" i="5" s="1"/>
  <c r="AP40" i="5" s="1"/>
  <c r="AQ32" i="5" s="1"/>
  <c r="AP27" i="5"/>
  <c r="AP72" i="5"/>
  <c r="AP75" i="5" s="1"/>
  <c r="AO52" i="5" l="1"/>
  <c r="AP51" i="5"/>
  <c r="AP52" i="5" s="1"/>
  <c r="AO78" i="5"/>
  <c r="AO79" i="5" s="1"/>
  <c r="AO80" i="5" s="1"/>
  <c r="AO81" i="5" s="1"/>
  <c r="AP28" i="5"/>
  <c r="AP29" i="5" s="1"/>
  <c r="AQ23" i="5" s="1"/>
  <c r="AP9" i="5"/>
  <c r="AQ6" i="5" s="1"/>
  <c r="AP44" i="5"/>
  <c r="AP12" i="5" s="1"/>
  <c r="AP13" i="5" s="1"/>
  <c r="AN83" i="5"/>
  <c r="AN84" i="5" s="1"/>
  <c r="AN85" i="5" s="1"/>
  <c r="AN89" i="5" s="1"/>
  <c r="AN90" i="5" s="1"/>
  <c r="AN93" i="5" s="1"/>
  <c r="AP73" i="5"/>
  <c r="AP41" i="5"/>
  <c r="AP47" i="5" s="1"/>
  <c r="AQ46" i="5" l="1"/>
  <c r="AP18" i="5"/>
  <c r="AO53" i="5"/>
  <c r="AO67" i="5" s="1"/>
  <c r="AO68" i="5" s="1"/>
  <c r="AP45" i="5"/>
  <c r="AQ57" i="5"/>
  <c r="AQ56" i="5" s="1"/>
  <c r="AQ60" i="5" s="1"/>
  <c r="AQ62" i="5" s="1"/>
  <c r="AP15" i="5"/>
  <c r="AP17" i="5" s="1"/>
  <c r="AP19" i="5" s="1"/>
  <c r="AP20" i="5" s="1"/>
  <c r="AO82" i="5"/>
  <c r="AO83" i="5" s="1"/>
  <c r="AO84" i="5" s="1"/>
  <c r="AO85" i="5" s="1"/>
  <c r="AO89" i="5" s="1"/>
  <c r="AO90" i="5" s="1"/>
  <c r="AO93" i="5" s="1"/>
  <c r="AQ33" i="5"/>
  <c r="AP98" i="5"/>
  <c r="AP100" i="5" s="1"/>
  <c r="AP103" i="5" s="1"/>
  <c r="AQ96" i="5" s="1"/>
  <c r="AQ92" i="5"/>
  <c r="AQ72" i="5" s="1"/>
  <c r="AQ73" i="5" s="1"/>
  <c r="AQ7" i="5"/>
  <c r="AQ34" i="5"/>
  <c r="AQ97" i="5"/>
  <c r="AQ25" i="5"/>
  <c r="AQ24" i="5"/>
  <c r="AQ102" i="5"/>
  <c r="AQ104" i="5" s="1"/>
  <c r="AQ63" i="5" l="1"/>
  <c r="AQ66" i="5" s="1"/>
  <c r="AP49" i="5"/>
  <c r="AQ8" i="5"/>
  <c r="AQ9" i="5" s="1"/>
  <c r="AR6" i="5" s="1"/>
  <c r="AQ36" i="5"/>
  <c r="AQ37" i="5" s="1"/>
  <c r="AQ38" i="5" s="1"/>
  <c r="AQ40" i="5" s="1"/>
  <c r="AR32" i="5" s="1"/>
  <c r="AQ27" i="5"/>
  <c r="AQ28" i="5" s="1"/>
  <c r="AQ29" i="5" s="1"/>
  <c r="AR23" i="5" s="1"/>
  <c r="AQ75" i="5"/>
  <c r="AQ91" i="5"/>
  <c r="AQ18" i="5" l="1"/>
  <c r="AQ44" i="5"/>
  <c r="AQ12" i="5" s="1"/>
  <c r="AQ13" i="5" s="1"/>
  <c r="AP78" i="5"/>
  <c r="AP79" i="5" s="1"/>
  <c r="AP80" i="5" s="1"/>
  <c r="AP81" i="5" s="1"/>
  <c r="AP82" i="5" s="1"/>
  <c r="AP83" i="5" s="1"/>
  <c r="AP84" i="5" s="1"/>
  <c r="AP85" i="5" s="1"/>
  <c r="AP89" i="5" s="1"/>
  <c r="AP90" i="5" s="1"/>
  <c r="AP53" i="5"/>
  <c r="AP67" i="5" s="1"/>
  <c r="AP68" i="5" s="1"/>
  <c r="AQ41" i="5"/>
  <c r="AQ47" i="5" s="1"/>
  <c r="AR46" i="5" l="1"/>
  <c r="AR51" i="5"/>
  <c r="AR52" i="5" s="1"/>
  <c r="AR57" i="5"/>
  <c r="AR56" i="5" s="1"/>
  <c r="AR60" i="5" s="1"/>
  <c r="AR62" i="5" s="1"/>
  <c r="AQ15" i="5"/>
  <c r="AQ17" i="5" s="1"/>
  <c r="AQ19" i="5" s="1"/>
  <c r="AQ20" i="5" s="1"/>
  <c r="AQ45" i="5"/>
  <c r="AR33" i="5"/>
  <c r="AR25" i="5"/>
  <c r="AR24" i="5"/>
  <c r="AR92" i="5"/>
  <c r="AR72" i="5" s="1"/>
  <c r="AR75" i="5" s="1"/>
  <c r="AR97" i="5"/>
  <c r="AR34" i="5"/>
  <c r="AQ98" i="5"/>
  <c r="AQ100" i="5" s="1"/>
  <c r="AQ103" i="5" s="1"/>
  <c r="AR96" i="5" s="1"/>
  <c r="AR102" i="5"/>
  <c r="AR104" i="5" s="1"/>
  <c r="AR7" i="5"/>
  <c r="AP93" i="5"/>
  <c r="AR63" i="5" l="1"/>
  <c r="AR66" i="5" s="1"/>
  <c r="AQ49" i="5"/>
  <c r="AQ51" i="5" s="1"/>
  <c r="AQ52" i="5" s="1"/>
  <c r="AR8" i="5"/>
  <c r="AR9" i="5" s="1"/>
  <c r="AS6" i="5" s="1"/>
  <c r="AR27" i="5"/>
  <c r="AR28" i="5" s="1"/>
  <c r="AR29" i="5" s="1"/>
  <c r="AS23" i="5" s="1"/>
  <c r="AR73" i="5"/>
  <c r="AR78" i="5"/>
  <c r="AR91" i="5"/>
  <c r="AR36" i="5"/>
  <c r="AR37" i="5" s="1"/>
  <c r="AR38" i="5" s="1"/>
  <c r="AR40" i="5" s="1"/>
  <c r="AR53" i="5"/>
  <c r="AR67" i="5" s="1"/>
  <c r="AS18" i="5"/>
  <c r="AQ78" i="5" l="1"/>
  <c r="AQ79" i="5" s="1"/>
  <c r="AQ80" i="5" s="1"/>
  <c r="AR79" i="5" s="1"/>
  <c r="AR44" i="5"/>
  <c r="AR12" i="5" s="1"/>
  <c r="AR13" i="5" s="1"/>
  <c r="AQ53" i="5"/>
  <c r="AQ67" i="5" s="1"/>
  <c r="AQ68" i="5" s="1"/>
  <c r="AR68" i="5" s="1"/>
  <c r="AR18" i="5"/>
  <c r="AR41" i="5"/>
  <c r="AR47" i="5" s="1"/>
  <c r="AS32" i="5"/>
  <c r="AS46" i="5" l="1"/>
  <c r="AS51" i="5"/>
  <c r="AS52" i="5" s="1"/>
  <c r="AS57" i="5"/>
  <c r="AS56" i="5" s="1"/>
  <c r="AS60" i="5" s="1"/>
  <c r="AS62" i="5" s="1"/>
  <c r="AR45" i="5"/>
  <c r="AS44" i="5"/>
  <c r="AS12" i="5" s="1"/>
  <c r="AR15" i="5"/>
  <c r="AR17" i="5" s="1"/>
  <c r="AR19" i="5" s="1"/>
  <c r="AR20" i="5" s="1"/>
  <c r="AR80" i="5"/>
  <c r="AS33" i="5"/>
  <c r="AS25" i="5"/>
  <c r="AS92" i="5"/>
  <c r="AS72" i="5" s="1"/>
  <c r="AS73" i="5" s="1"/>
  <c r="AR98" i="5"/>
  <c r="AR100" i="5" s="1"/>
  <c r="AR103" i="5" s="1"/>
  <c r="AS96" i="5" s="1"/>
  <c r="AS102" i="5"/>
  <c r="AS104" i="5" s="1"/>
  <c r="AS7" i="5"/>
  <c r="AS97" i="5"/>
  <c r="AS24" i="5"/>
  <c r="AS34" i="5"/>
  <c r="AQ81" i="5"/>
  <c r="AQ82" i="5" s="1"/>
  <c r="AQ83" i="5" s="1"/>
  <c r="AQ84" i="5" s="1"/>
  <c r="AQ85" i="5" s="1"/>
  <c r="AQ89" i="5" s="1"/>
  <c r="AQ90" i="5" s="1"/>
  <c r="AQ93" i="5" s="1"/>
  <c r="AR49" i="5" l="1"/>
  <c r="AS45" i="5" s="1"/>
  <c r="AS63" i="5"/>
  <c r="AS66" i="5" s="1"/>
  <c r="AS8" i="5"/>
  <c r="AS9" i="5" s="1"/>
  <c r="AT6" i="5" s="1"/>
  <c r="AT44" i="5"/>
  <c r="AT12" i="5" s="1"/>
  <c r="AR81" i="5"/>
  <c r="AR82" i="5" s="1"/>
  <c r="AR83" i="5" s="1"/>
  <c r="AR84" i="5" s="1"/>
  <c r="AR85" i="5" s="1"/>
  <c r="AR89" i="5" s="1"/>
  <c r="AR90" i="5" s="1"/>
  <c r="AR93" i="5" s="1"/>
  <c r="AS53" i="5"/>
  <c r="AS67" i="5" s="1"/>
  <c r="AS75" i="5"/>
  <c r="AS91" i="5"/>
  <c r="AS13" i="5"/>
  <c r="AT18" i="5"/>
  <c r="AS78" i="5"/>
  <c r="AS79" i="5" s="1"/>
  <c r="AS36" i="5"/>
  <c r="AS37" i="5" s="1"/>
  <c r="AS38" i="5" s="1"/>
  <c r="AS40" i="5" s="1"/>
  <c r="AS27" i="5"/>
  <c r="AS28" i="5" s="1"/>
  <c r="AS29" i="5" s="1"/>
  <c r="AT23" i="5" s="1"/>
  <c r="AS68" i="5" l="1"/>
  <c r="AS41" i="5"/>
  <c r="AS47" i="5" s="1"/>
  <c r="AT32" i="5"/>
  <c r="AT46" i="5" l="1"/>
  <c r="AS49" i="5"/>
  <c r="AT57" i="5"/>
  <c r="AT56" i="5" s="1"/>
  <c r="AT60" i="5" s="1"/>
  <c r="AT62" i="5" s="1"/>
  <c r="AS15" i="5"/>
  <c r="AS17" i="5" s="1"/>
  <c r="AS19" i="5" s="1"/>
  <c r="AS20" i="5" s="1"/>
  <c r="AT97" i="5"/>
  <c r="AS80" i="5"/>
  <c r="AS81" i="5" s="1"/>
  <c r="AS82" i="5" s="1"/>
  <c r="AS83" i="5" s="1"/>
  <c r="AS84" i="5" s="1"/>
  <c r="AS85" i="5" s="1"/>
  <c r="AS89" i="5" s="1"/>
  <c r="AS90" i="5" s="1"/>
  <c r="AS93" i="5" s="1"/>
  <c r="AT7" i="5"/>
  <c r="AT92" i="5"/>
  <c r="AT72" i="5" s="1"/>
  <c r="AT73" i="5" s="1"/>
  <c r="AT34" i="5"/>
  <c r="AT24" i="5"/>
  <c r="AT33" i="5"/>
  <c r="AS98" i="5"/>
  <c r="AS100" i="5" s="1"/>
  <c r="AS103" i="5" s="1"/>
  <c r="AT96" i="5" s="1"/>
  <c r="AT25" i="5"/>
  <c r="AT63" i="5" l="1"/>
  <c r="AT66" i="5" s="1"/>
  <c r="AT8" i="5"/>
  <c r="AT9" i="5" s="1"/>
  <c r="AU6" i="5" s="1"/>
  <c r="AT45" i="5"/>
  <c r="AT91" i="5"/>
  <c r="AT75" i="5"/>
  <c r="AT36" i="5"/>
  <c r="AT37" i="5" s="1"/>
  <c r="AT38" i="5" s="1"/>
  <c r="AT40" i="5" s="1"/>
  <c r="AT41" i="5" s="1"/>
  <c r="AT47" i="5" s="1"/>
  <c r="AT27" i="5"/>
  <c r="AT28" i="5" s="1"/>
  <c r="AT29" i="5" s="1"/>
  <c r="AU23" i="5" s="1"/>
  <c r="AT13" i="5"/>
  <c r="AT49" i="5" l="1"/>
  <c r="AT51" i="5" s="1"/>
  <c r="AT52" i="5" s="1"/>
  <c r="AU57" i="5"/>
  <c r="AU56" i="5" s="1"/>
  <c r="AU60" i="5" s="1"/>
  <c r="AU62" i="5" s="1"/>
  <c r="AT15" i="5"/>
  <c r="AT17" i="5" s="1"/>
  <c r="AT19" i="5" s="1"/>
  <c r="AT20" i="5" s="1"/>
  <c r="AU32" i="5"/>
  <c r="AU33" i="5"/>
  <c r="AU97" i="5"/>
  <c r="AU24" i="5"/>
  <c r="AU92" i="5"/>
  <c r="AU72" i="5" s="1"/>
  <c r="AU73" i="5" s="1"/>
  <c r="AU25" i="5"/>
  <c r="AU7" i="5"/>
  <c r="AU34" i="5"/>
  <c r="AT98" i="5"/>
  <c r="AT100" i="5" s="1"/>
  <c r="AT103" i="5" s="1"/>
  <c r="AU46" i="5" l="1"/>
  <c r="AU63" i="5"/>
  <c r="AU66" i="5" s="1"/>
  <c r="AU8" i="5"/>
  <c r="AU9" i="5" s="1"/>
  <c r="AV6" i="5" s="1"/>
  <c r="AU27" i="5"/>
  <c r="AU36" i="5"/>
  <c r="AU37" i="5" s="1"/>
  <c r="AU38" i="5" s="1"/>
  <c r="AU40" i="5" s="1"/>
  <c r="AU75" i="5"/>
  <c r="AU91" i="5"/>
  <c r="AT102" i="5"/>
  <c r="AT104" i="5" s="1"/>
  <c r="AT78" i="5"/>
  <c r="AT79" i="5" s="1"/>
  <c r="AT80" i="5" s="1"/>
  <c r="AU96" i="5"/>
  <c r="AU18" i="5" l="1"/>
  <c r="AU28" i="5"/>
  <c r="AU29" i="5" s="1"/>
  <c r="AV23" i="5" s="1"/>
  <c r="AU44" i="5"/>
  <c r="AU12" i="5" s="1"/>
  <c r="AU13" i="5" s="1"/>
  <c r="AT53" i="5"/>
  <c r="AT67" i="5" s="1"/>
  <c r="AT68" i="5" s="1"/>
  <c r="AV32" i="5"/>
  <c r="AT81" i="5"/>
  <c r="AU45" i="5" l="1"/>
  <c r="AU41" i="5"/>
  <c r="AU47" i="5" s="1"/>
  <c r="AT82" i="5"/>
  <c r="AT83" i="5" s="1"/>
  <c r="AT84" i="5" s="1"/>
  <c r="AT85" i="5" s="1"/>
  <c r="AT89" i="5" s="1"/>
  <c r="AT90" i="5" s="1"/>
  <c r="AU49" i="5" l="1"/>
  <c r="AU51" i="5" s="1"/>
  <c r="AU52" i="5" s="1"/>
  <c r="AV57" i="5"/>
  <c r="AV56" i="5" s="1"/>
  <c r="AV60" i="5" s="1"/>
  <c r="AV62" i="5" s="1"/>
  <c r="AU15" i="5"/>
  <c r="AU17" i="5" s="1"/>
  <c r="AU19" i="5" s="1"/>
  <c r="AU20" i="5" s="1"/>
  <c r="AV92" i="5"/>
  <c r="AV72" i="5" s="1"/>
  <c r="AV75" i="5" s="1"/>
  <c r="AV7" i="5"/>
  <c r="AV24" i="5"/>
  <c r="AV25" i="5"/>
  <c r="AV34" i="5"/>
  <c r="AV97" i="5"/>
  <c r="AU98" i="5"/>
  <c r="AU100" i="5" s="1"/>
  <c r="AU102" i="5" s="1"/>
  <c r="AU104" i="5" s="1"/>
  <c r="AV33" i="5"/>
  <c r="AT93" i="5"/>
  <c r="AV46" i="5" l="1"/>
  <c r="AV63" i="5"/>
  <c r="AV66" i="5" s="1"/>
  <c r="AV8" i="5"/>
  <c r="AV9" i="5" s="1"/>
  <c r="AW6" i="5" s="1"/>
  <c r="AV73" i="5"/>
  <c r="AV27" i="5"/>
  <c r="AV28" i="5" s="1"/>
  <c r="AV29" i="5" s="1"/>
  <c r="AW23" i="5" s="1"/>
  <c r="AV91" i="5"/>
  <c r="AU103" i="5"/>
  <c r="AV96" i="5" s="1"/>
  <c r="AV36" i="5"/>
  <c r="AV37" i="5" s="1"/>
  <c r="AV38" i="5" s="1"/>
  <c r="AV40" i="5" s="1"/>
  <c r="AU53" i="5" l="1"/>
  <c r="AU67" i="5" s="1"/>
  <c r="AU68" i="5" s="1"/>
  <c r="AV18" i="5"/>
  <c r="AV44" i="5"/>
  <c r="AV12" i="5" s="1"/>
  <c r="AV13" i="5" s="1"/>
  <c r="AU78" i="5"/>
  <c r="AU79" i="5" s="1"/>
  <c r="AW32" i="5"/>
  <c r="AV45" i="5" l="1"/>
  <c r="AU80" i="5"/>
  <c r="AU81" i="5" s="1"/>
  <c r="AU82" i="5" s="1"/>
  <c r="AU83" i="5" s="1"/>
  <c r="AU84" i="5" s="1"/>
  <c r="AU85" i="5" s="1"/>
  <c r="AU89" i="5" s="1"/>
  <c r="AU90" i="5" s="1"/>
  <c r="AU93" i="5" s="1"/>
  <c r="AV41" i="5"/>
  <c r="AV47" i="5" s="1"/>
  <c r="AV49" i="5" l="1"/>
  <c r="AV51" i="5" s="1"/>
  <c r="AV52" i="5" s="1"/>
  <c r="AW57" i="5"/>
  <c r="AW56" i="5" s="1"/>
  <c r="AW60" i="5" s="1"/>
  <c r="AW62" i="5" s="1"/>
  <c r="AV15" i="5"/>
  <c r="AV17" i="5" s="1"/>
  <c r="AV19" i="5" s="1"/>
  <c r="AV20" i="5" s="1"/>
  <c r="AW97" i="5"/>
  <c r="AW7" i="5"/>
  <c r="AW25" i="5"/>
  <c r="AV98" i="5"/>
  <c r="AV100" i="5" s="1"/>
  <c r="AV102" i="5" s="1"/>
  <c r="AW102" i="5"/>
  <c r="AW104" i="5" s="1"/>
  <c r="AW33" i="5"/>
  <c r="AW92" i="5"/>
  <c r="AW34" i="5"/>
  <c r="AW24" i="5"/>
  <c r="AW46" i="5" l="1"/>
  <c r="AW63" i="5"/>
  <c r="AW66" i="5" s="1"/>
  <c r="AW27" i="5"/>
  <c r="AW18" i="5"/>
  <c r="AV53" i="5"/>
  <c r="AV67" i="5" s="1"/>
  <c r="AV68" i="5" s="1"/>
  <c r="AV78" i="5"/>
  <c r="AW36" i="5"/>
  <c r="AW37" i="5" s="1"/>
  <c r="AW38" i="5" s="1"/>
  <c r="AW40" i="5" s="1"/>
  <c r="AW41" i="5" s="1"/>
  <c r="AW47" i="5" s="1"/>
  <c r="AW72" i="5"/>
  <c r="AW91" i="5"/>
  <c r="AV103" i="5"/>
  <c r="AW96" i="5" s="1"/>
  <c r="AV104" i="5"/>
  <c r="AX46" i="5" l="1"/>
  <c r="AX51" i="5"/>
  <c r="AX52" i="5" s="1"/>
  <c r="AW44" i="5"/>
  <c r="AW12" i="5" s="1"/>
  <c r="AW13" i="5" s="1"/>
  <c r="AX57" i="5"/>
  <c r="AX56" i="5" s="1"/>
  <c r="AX60" i="5" s="1"/>
  <c r="AX62" i="5" s="1"/>
  <c r="AW15" i="5"/>
  <c r="AV79" i="5"/>
  <c r="AV80" i="5" s="1"/>
  <c r="AV81" i="5" s="1"/>
  <c r="AX32" i="5"/>
  <c r="AX24" i="5"/>
  <c r="AX97" i="5"/>
  <c r="AX102" i="5"/>
  <c r="AX104" i="5" s="1"/>
  <c r="AX25" i="5"/>
  <c r="AX33" i="5"/>
  <c r="AX92" i="5"/>
  <c r="AX34" i="5"/>
  <c r="AW98" i="5"/>
  <c r="AW100" i="5" s="1"/>
  <c r="AW103" i="5" s="1"/>
  <c r="AX96" i="5" s="1"/>
  <c r="AW8" i="5"/>
  <c r="AW9" i="5" s="1"/>
  <c r="AW28" i="5"/>
  <c r="AW29" i="5" s="1"/>
  <c r="AX23" i="5" s="1"/>
  <c r="AW73" i="5"/>
  <c r="AW75" i="5"/>
  <c r="AW45" i="5" l="1"/>
  <c r="AW49" i="5" s="1"/>
  <c r="AW51" i="5" s="1"/>
  <c r="AW52" i="5" s="1"/>
  <c r="AW17" i="5"/>
  <c r="AW19" i="5" s="1"/>
  <c r="AW20" i="5" s="1"/>
  <c r="AX8" i="5" s="1"/>
  <c r="AX63" i="5"/>
  <c r="AX66" i="5" s="1"/>
  <c r="AV82" i="5"/>
  <c r="AV83" i="5" s="1"/>
  <c r="AV84" i="5" s="1"/>
  <c r="AV85" i="5" s="1"/>
  <c r="AV89" i="5" s="1"/>
  <c r="AV90" i="5" s="1"/>
  <c r="AV93" i="5" s="1"/>
  <c r="AX6" i="5"/>
  <c r="AX36" i="5"/>
  <c r="AX37" i="5" s="1"/>
  <c r="AX38" i="5" s="1"/>
  <c r="AX40" i="5" s="1"/>
  <c r="AY32" i="5" s="1"/>
  <c r="AX7" i="5"/>
  <c r="AX27" i="5"/>
  <c r="AX78" i="5"/>
  <c r="AX53" i="5"/>
  <c r="AX67" i="5" s="1"/>
  <c r="AY18" i="5"/>
  <c r="AX72" i="5"/>
  <c r="AX91" i="5"/>
  <c r="AX28" i="5" l="1"/>
  <c r="AX29" i="5" s="1"/>
  <c r="AY23" i="5" s="1"/>
  <c r="AX44" i="5"/>
  <c r="AX12" i="5" s="1"/>
  <c r="AX13" i="5" s="1"/>
  <c r="AX9" i="5"/>
  <c r="AY6" i="5" s="1"/>
  <c r="AX41" i="5"/>
  <c r="AX47" i="5" s="1"/>
  <c r="AX73" i="5"/>
  <c r="AX75" i="5"/>
  <c r="AY46" i="5" l="1"/>
  <c r="AY51" i="5"/>
  <c r="AY52" i="5" s="1"/>
  <c r="AY57" i="5"/>
  <c r="AY56" i="5" s="1"/>
  <c r="AY60" i="5" s="1"/>
  <c r="AY62" i="5" s="1"/>
  <c r="AX15" i="5"/>
  <c r="AX17" i="5" s="1"/>
  <c r="AW53" i="5"/>
  <c r="AW67" i="5" s="1"/>
  <c r="AW68" i="5" s="1"/>
  <c r="AX68" i="5" s="1"/>
  <c r="AX18" i="5"/>
  <c r="AW78" i="5"/>
  <c r="AW79" i="5" s="1"/>
  <c r="AY44" i="5"/>
  <c r="AY12" i="5" s="1"/>
  <c r="AX45" i="5"/>
  <c r="AY7" i="5"/>
  <c r="AX98" i="5"/>
  <c r="AX100" i="5" s="1"/>
  <c r="AX103" i="5" s="1"/>
  <c r="AY96" i="5" s="1"/>
  <c r="AY92" i="5"/>
  <c r="AY91" i="5" s="1"/>
  <c r="AY97" i="5"/>
  <c r="AY102" i="5"/>
  <c r="AY104" i="5" s="1"/>
  <c r="AY25" i="5"/>
  <c r="AY33" i="5"/>
  <c r="AY34" i="5"/>
  <c r="AY24" i="5"/>
  <c r="AY63" i="5" l="1"/>
  <c r="AY66" i="5" s="1"/>
  <c r="AX19" i="5"/>
  <c r="AX20" i="5" s="1"/>
  <c r="AY8" i="5" s="1"/>
  <c r="AY9" i="5" s="1"/>
  <c r="AZ6" i="5" s="1"/>
  <c r="AW80" i="5"/>
  <c r="AW81" i="5" s="1"/>
  <c r="AW82" i="5" s="1"/>
  <c r="AX49" i="5"/>
  <c r="AY45" i="5" s="1"/>
  <c r="AY36" i="5"/>
  <c r="AY37" i="5" s="1"/>
  <c r="AY38" i="5" s="1"/>
  <c r="AY40" i="5" s="1"/>
  <c r="AY27" i="5"/>
  <c r="AY72" i="5"/>
  <c r="AY78" i="5"/>
  <c r="AZ18" i="5"/>
  <c r="AY53" i="5"/>
  <c r="AY67" i="5" s="1"/>
  <c r="AZ44" i="5"/>
  <c r="AZ12" i="5" s="1"/>
  <c r="AY75" i="5" l="1"/>
  <c r="AY73" i="5"/>
  <c r="AY68" i="5"/>
  <c r="AY13" i="5"/>
  <c r="AY28" i="5"/>
  <c r="AY29" i="5" s="1"/>
  <c r="AZ23" i="5" s="1"/>
  <c r="AW83" i="5"/>
  <c r="AW84" i="5" s="1"/>
  <c r="AW85" i="5" s="1"/>
  <c r="AW89" i="5" s="1"/>
  <c r="AW90" i="5" s="1"/>
  <c r="AW93" i="5" s="1"/>
  <c r="AX79" i="5"/>
  <c r="AX80" i="5" s="1"/>
  <c r="AX81" i="5" s="1"/>
  <c r="AX82" i="5" s="1"/>
  <c r="AZ32" i="5"/>
  <c r="AY41" i="5"/>
  <c r="AY47" i="5" s="1"/>
  <c r="AZ46" i="5" l="1"/>
  <c r="AY49" i="5"/>
  <c r="AZ51" i="5"/>
  <c r="AZ52" i="5" s="1"/>
  <c r="AZ57" i="5"/>
  <c r="AZ56" i="5" s="1"/>
  <c r="AZ60" i="5" s="1"/>
  <c r="AY15" i="5"/>
  <c r="AY17" i="5" s="1"/>
  <c r="AY19" i="5" s="1"/>
  <c r="AY20" i="5" s="1"/>
  <c r="AY79" i="5"/>
  <c r="AY80" i="5" s="1"/>
  <c r="AY81" i="5" s="1"/>
  <c r="AY82" i="5" s="1"/>
  <c r="AX83" i="5"/>
  <c r="AX84" i="5" s="1"/>
  <c r="AX85" i="5" s="1"/>
  <c r="AX89" i="5" s="1"/>
  <c r="AX90" i="5" s="1"/>
  <c r="AX93" i="5" s="1"/>
  <c r="AY98" i="5"/>
  <c r="AY100" i="5" s="1"/>
  <c r="AY103" i="5" s="1"/>
  <c r="AZ96" i="5" s="1"/>
  <c r="AZ34" i="5"/>
  <c r="AZ33" i="5"/>
  <c r="AZ73" i="5"/>
  <c r="AZ62" i="5"/>
  <c r="AZ92" i="5"/>
  <c r="AZ24" i="5"/>
  <c r="AZ102" i="5"/>
  <c r="AZ104" i="5" s="1"/>
  <c r="AZ97" i="5"/>
  <c r="AZ25" i="5"/>
  <c r="AZ7" i="5"/>
  <c r="AZ63" i="5" l="1"/>
  <c r="AZ66" i="5" s="1"/>
  <c r="AY83" i="5"/>
  <c r="AY84" i="5" s="1"/>
  <c r="AY85" i="5" s="1"/>
  <c r="AY89" i="5" s="1"/>
  <c r="AY90" i="5" s="1"/>
  <c r="AY93" i="5" s="1"/>
  <c r="AZ36" i="5"/>
  <c r="AZ37" i="5" s="1"/>
  <c r="AZ38" i="5" s="1"/>
  <c r="AZ40" i="5" s="1"/>
  <c r="AZ41" i="5" s="1"/>
  <c r="AZ47" i="5" s="1"/>
  <c r="AZ45" i="5"/>
  <c r="AZ53" i="5"/>
  <c r="AZ67" i="5" s="1"/>
  <c r="AZ78" i="5"/>
  <c r="AZ79" i="5" s="1"/>
  <c r="BA44" i="5"/>
  <c r="BA12" i="5" s="1"/>
  <c r="BA18" i="5"/>
  <c r="AZ13" i="5"/>
  <c r="AZ27" i="5"/>
  <c r="AZ72" i="5"/>
  <c r="AZ75" i="5" s="1"/>
  <c r="AZ91" i="5"/>
  <c r="BA46" i="5" l="1"/>
  <c r="AZ49" i="5"/>
  <c r="BA51" i="5"/>
  <c r="BA52" i="5" s="1"/>
  <c r="BA57" i="5"/>
  <c r="BA56" i="5" s="1"/>
  <c r="BA60" i="5" s="1"/>
  <c r="AZ68" i="5"/>
  <c r="AZ15" i="5"/>
  <c r="AZ17" i="5" s="1"/>
  <c r="AZ19" i="5" s="1"/>
  <c r="AZ20" i="5" s="1"/>
  <c r="BA102" i="5"/>
  <c r="BA104" i="5" s="1"/>
  <c r="BA32" i="5"/>
  <c r="BA33" i="5"/>
  <c r="BA97" i="5"/>
  <c r="AZ98" i="5"/>
  <c r="AZ100" i="5" s="1"/>
  <c r="AZ103" i="5" s="1"/>
  <c r="BA96" i="5" s="1"/>
  <c r="BA62" i="5"/>
  <c r="BA92" i="5"/>
  <c r="BA72" i="5" s="1"/>
  <c r="BA75" i="5" s="1"/>
  <c r="BA25" i="5"/>
  <c r="BA73" i="5"/>
  <c r="BA24" i="5"/>
  <c r="BA34" i="5"/>
  <c r="AZ8" i="5"/>
  <c r="AZ9" i="5" s="1"/>
  <c r="AZ28" i="5"/>
  <c r="AZ29" i="5" s="1"/>
  <c r="AZ80" i="5"/>
  <c r="AZ81" i="5" s="1"/>
  <c r="AZ82" i="5" s="1"/>
  <c r="AZ83" i="5" s="1"/>
  <c r="AZ84" i="5" s="1"/>
  <c r="AZ85" i="5" s="1"/>
  <c r="AZ89" i="5" s="1"/>
  <c r="AZ90" i="5" s="1"/>
  <c r="AZ93" i="5" s="1"/>
  <c r="BA63" i="5" l="1"/>
  <c r="BA66" i="5" s="1"/>
  <c r="BA91" i="5"/>
  <c r="BA78" i="5"/>
  <c r="BA79" i="5" s="1"/>
  <c r="BA53" i="5"/>
  <c r="BA67" i="5" s="1"/>
  <c r="BA36" i="5"/>
  <c r="BA37" i="5" s="1"/>
  <c r="BA38" i="5" s="1"/>
  <c r="BA40" i="5" s="1"/>
  <c r="BB44" i="5"/>
  <c r="BB12" i="5" s="1"/>
  <c r="BB18" i="5"/>
  <c r="BA45" i="5"/>
  <c r="BA6" i="5"/>
  <c r="BA7" i="5"/>
  <c r="BA23" i="5"/>
  <c r="BA27" i="5" s="1"/>
  <c r="BA8" i="5"/>
  <c r="BA13" i="5"/>
  <c r="BA68" i="5" l="1"/>
  <c r="BA9" i="5"/>
  <c r="BB6" i="5" s="1"/>
  <c r="BB32" i="5"/>
  <c r="BA41" i="5"/>
  <c r="BA47" i="5" s="1"/>
  <c r="BA28" i="5"/>
  <c r="BA29" i="5" s="1"/>
  <c r="BB23" i="5" s="1"/>
  <c r="BB46" i="5" l="1"/>
  <c r="BB51" i="5"/>
  <c r="BB52" i="5" s="1"/>
  <c r="BB57" i="5"/>
  <c r="BB56" i="5" s="1"/>
  <c r="BB60" i="5" s="1"/>
  <c r="BA15" i="5"/>
  <c r="BA17" i="5" s="1"/>
  <c r="BA19" i="5" s="1"/>
  <c r="BA20" i="5" s="1"/>
  <c r="BA49" i="5"/>
  <c r="BB34" i="5"/>
  <c r="BB7" i="5"/>
  <c r="BB73" i="5"/>
  <c r="BB92" i="5"/>
  <c r="BB33" i="5"/>
  <c r="BA98" i="5"/>
  <c r="BA100" i="5" s="1"/>
  <c r="BA103" i="5" s="1"/>
  <c r="BB96" i="5" s="1"/>
  <c r="BB25" i="5"/>
  <c r="BB102" i="5"/>
  <c r="BB104" i="5" s="1"/>
  <c r="BA80" i="5"/>
  <c r="BA81" i="5" s="1"/>
  <c r="BA82" i="5" s="1"/>
  <c r="BA83" i="5" s="1"/>
  <c r="BA84" i="5" s="1"/>
  <c r="BA85" i="5" s="1"/>
  <c r="BA89" i="5" s="1"/>
  <c r="BA90" i="5" s="1"/>
  <c r="BA93" i="5" s="1"/>
  <c r="BB24" i="5"/>
  <c r="BB62" i="5"/>
  <c r="BB97" i="5"/>
  <c r="BB63" i="5" l="1"/>
  <c r="BB66" i="5" s="1"/>
  <c r="BB27" i="5"/>
  <c r="BB45" i="5"/>
  <c r="BB72" i="5"/>
  <c r="BB75" i="5" s="1"/>
  <c r="BB91" i="5"/>
  <c r="BB13" i="5"/>
  <c r="BB36" i="5"/>
  <c r="BB37" i="5" s="1"/>
  <c r="BB38" i="5" s="1"/>
  <c r="BB40" i="5" s="1"/>
  <c r="BB41" i="5" s="1"/>
  <c r="BB47" i="5" s="1"/>
  <c r="BB53" i="5"/>
  <c r="BB67" i="5" s="1"/>
  <c r="BC18" i="5"/>
  <c r="BB78" i="5"/>
  <c r="BB79" i="5" s="1"/>
  <c r="BC44" i="5"/>
  <c r="BC12" i="5" s="1"/>
  <c r="BC46" i="5" l="1"/>
  <c r="BC51" i="5"/>
  <c r="BC52" i="5" s="1"/>
  <c r="BC57" i="5"/>
  <c r="BC56" i="5" s="1"/>
  <c r="BC60" i="5" s="1"/>
  <c r="BB68" i="5"/>
  <c r="BB15" i="5"/>
  <c r="BB17" i="5" s="1"/>
  <c r="BB19" i="5" s="1"/>
  <c r="BB20" i="5" s="1"/>
  <c r="BB49" i="5"/>
  <c r="BC73" i="5"/>
  <c r="BC92" i="5"/>
  <c r="BC72" i="5" s="1"/>
  <c r="BC75" i="5" s="1"/>
  <c r="BC32" i="5"/>
  <c r="BC97" i="5"/>
  <c r="BB98" i="5"/>
  <c r="BB100" i="5" s="1"/>
  <c r="BB103" i="5" s="1"/>
  <c r="BC96" i="5" s="1"/>
  <c r="BC62" i="5"/>
  <c r="BC102" i="5"/>
  <c r="BC104" i="5" s="1"/>
  <c r="BC24" i="5"/>
  <c r="BC33" i="5"/>
  <c r="BB28" i="5"/>
  <c r="BB29" i="5" s="1"/>
  <c r="BC7" i="5" s="1"/>
  <c r="BB8" i="5"/>
  <c r="BB9" i="5" s="1"/>
  <c r="BC25" i="5"/>
  <c r="BB80" i="5"/>
  <c r="BB81" i="5" s="1"/>
  <c r="BB82" i="5" s="1"/>
  <c r="BC34" i="5"/>
  <c r="BC63" i="5" l="1"/>
  <c r="BC66" i="5" s="1"/>
  <c r="BC8" i="5"/>
  <c r="BD18" i="5"/>
  <c r="BC45" i="5"/>
  <c r="BC6" i="5"/>
  <c r="BC78" i="5"/>
  <c r="BC79" i="5" s="1"/>
  <c r="BC91" i="5"/>
  <c r="BC53" i="5"/>
  <c r="BC67" i="5" s="1"/>
  <c r="BC23" i="5"/>
  <c r="BC27" i="5" s="1"/>
  <c r="BD44" i="5"/>
  <c r="BD12" i="5" s="1"/>
  <c r="BC36" i="5"/>
  <c r="BC37" i="5" s="1"/>
  <c r="BC38" i="5" s="1"/>
  <c r="BC40" i="5" s="1"/>
  <c r="BC41" i="5" s="1"/>
  <c r="BC47" i="5" s="1"/>
  <c r="BC13" i="5"/>
  <c r="BB83" i="5"/>
  <c r="BB84" i="5" s="1"/>
  <c r="BB85" i="5" s="1"/>
  <c r="BB89" i="5" s="1"/>
  <c r="BB90" i="5" s="1"/>
  <c r="BB93" i="5" s="1"/>
  <c r="BD46" i="5" l="1"/>
  <c r="BD51" i="5"/>
  <c r="BD52" i="5" s="1"/>
  <c r="BD57" i="5"/>
  <c r="BD56" i="5" s="1"/>
  <c r="BD60" i="5" s="1"/>
  <c r="BD62" i="5" s="1"/>
  <c r="BC68" i="5"/>
  <c r="BC15" i="5"/>
  <c r="BC17" i="5" s="1"/>
  <c r="BC19" i="5" s="1"/>
  <c r="BC20" i="5" s="1"/>
  <c r="BC28" i="5"/>
  <c r="BC29" i="5" s="1"/>
  <c r="BD23" i="5" s="1"/>
  <c r="BC49" i="5"/>
  <c r="BC9" i="5"/>
  <c r="BD6" i="5" s="1"/>
  <c r="BD33" i="5"/>
  <c r="BD32" i="5"/>
  <c r="BC98" i="5"/>
  <c r="BC100" i="5" s="1"/>
  <c r="BC103" i="5" s="1"/>
  <c r="BD96" i="5" s="1"/>
  <c r="BD102" i="5"/>
  <c r="BD104" i="5" s="1"/>
  <c r="BD92" i="5"/>
  <c r="BD72" i="5" s="1"/>
  <c r="BD75" i="5" s="1"/>
  <c r="BD97" i="5"/>
  <c r="BD24" i="5"/>
  <c r="BD25" i="5"/>
  <c r="BD73" i="5"/>
  <c r="BD34" i="5"/>
  <c r="BC80" i="5"/>
  <c r="BC81" i="5" s="1"/>
  <c r="BC82" i="5" s="1"/>
  <c r="BC83" i="5" s="1"/>
  <c r="BC84" i="5" s="1"/>
  <c r="BC85" i="5" s="1"/>
  <c r="BC89" i="5" s="1"/>
  <c r="BC90" i="5" s="1"/>
  <c r="BD63" i="5" l="1"/>
  <c r="BD66" i="5" s="1"/>
  <c r="BD7" i="5"/>
  <c r="BE44" i="5"/>
  <c r="BE12" i="5" s="1"/>
  <c r="BD27" i="5"/>
  <c r="BD28" i="5" s="1"/>
  <c r="BD78" i="5"/>
  <c r="BD79" i="5" s="1"/>
  <c r="BD91" i="5"/>
  <c r="BE18" i="5"/>
  <c r="BD53" i="5"/>
  <c r="BD67" i="5" s="1"/>
  <c r="BD36" i="5"/>
  <c r="BD37" i="5" s="1"/>
  <c r="BD38" i="5" s="1"/>
  <c r="BD40" i="5" s="1"/>
  <c r="BD45" i="5"/>
  <c r="BD13" i="5"/>
  <c r="BC93" i="5"/>
  <c r="BD8" i="5"/>
  <c r="BD68" i="5" l="1"/>
  <c r="BD9" i="5"/>
  <c r="BE6" i="5" s="1"/>
  <c r="BE32" i="5"/>
  <c r="BD41" i="5"/>
  <c r="BD47" i="5" s="1"/>
  <c r="BD29" i="5"/>
  <c r="BE46" i="5" l="1"/>
  <c r="BE51" i="5"/>
  <c r="BE52" i="5" s="1"/>
  <c r="BE57" i="5"/>
  <c r="BE56" i="5" s="1"/>
  <c r="BE60" i="5" s="1"/>
  <c r="BE62" i="5" s="1"/>
  <c r="BD15" i="5"/>
  <c r="BD17" i="5" s="1"/>
  <c r="BD19" i="5" s="1"/>
  <c r="BD20" i="5" s="1"/>
  <c r="BD49" i="5"/>
  <c r="BE33" i="5"/>
  <c r="BE97" i="5"/>
  <c r="BD98" i="5"/>
  <c r="BD100" i="5" s="1"/>
  <c r="BD103" i="5" s="1"/>
  <c r="BE34" i="5"/>
  <c r="BD80" i="5"/>
  <c r="BD81" i="5" s="1"/>
  <c r="BD82" i="5" s="1"/>
  <c r="BD83" i="5" s="1"/>
  <c r="BD84" i="5" s="1"/>
  <c r="BD85" i="5" s="1"/>
  <c r="BD89" i="5" s="1"/>
  <c r="BD90" i="5" s="1"/>
  <c r="BE24" i="5"/>
  <c r="BE25" i="5"/>
  <c r="BE92" i="5"/>
  <c r="BE72" i="5" s="1"/>
  <c r="BE75" i="5" s="1"/>
  <c r="BE23" i="5"/>
  <c r="BE7" i="5"/>
  <c r="BE63" i="5" l="1"/>
  <c r="BE66" i="5" s="1"/>
  <c r="BE73" i="5"/>
  <c r="BF18" i="5"/>
  <c r="BE53" i="5"/>
  <c r="BE67" i="5" s="1"/>
  <c r="BE96" i="5"/>
  <c r="BE91" i="5"/>
  <c r="BE8" i="5"/>
  <c r="BE9" i="5" s="1"/>
  <c r="BE13" i="5"/>
  <c r="BD93" i="5"/>
  <c r="BE45" i="5"/>
  <c r="BE36" i="5"/>
  <c r="BE37" i="5" s="1"/>
  <c r="BE38" i="5" s="1"/>
  <c r="BE40" i="5" s="1"/>
  <c r="BE27" i="5"/>
  <c r="BE78" i="5"/>
  <c r="BE79" i="5" s="1"/>
  <c r="BF44" i="5"/>
  <c r="BF12" i="5" s="1"/>
  <c r="BE68" i="5" l="1"/>
  <c r="BF6" i="5"/>
  <c r="BF32" i="5"/>
  <c r="BE28" i="5"/>
  <c r="BE29" i="5" s="1"/>
  <c r="BF23" i="5" s="1"/>
  <c r="BE41" i="5" l="1"/>
  <c r="BE47" i="5" s="1"/>
  <c r="BF46" i="5" l="1"/>
  <c r="BE49" i="5"/>
  <c r="BF57" i="5"/>
  <c r="BF56" i="5" s="1"/>
  <c r="BF60" i="5" s="1"/>
  <c r="BF62" i="5" s="1"/>
  <c r="BE15" i="5"/>
  <c r="BE17" i="5" s="1"/>
  <c r="BE19" i="5" s="1"/>
  <c r="BE20" i="5" s="1"/>
  <c r="BF33" i="5"/>
  <c r="BF97" i="5"/>
  <c r="BF25" i="5"/>
  <c r="BF34" i="5"/>
  <c r="BE80" i="5"/>
  <c r="BE81" i="5" s="1"/>
  <c r="BE82" i="5" s="1"/>
  <c r="BE83" i="5" s="1"/>
  <c r="BE84" i="5" s="1"/>
  <c r="BE85" i="5" s="1"/>
  <c r="BE89" i="5" s="1"/>
  <c r="BE90" i="5" s="1"/>
  <c r="BE93" i="5" s="1"/>
  <c r="BE98" i="5"/>
  <c r="BE100" i="5" s="1"/>
  <c r="BF24" i="5"/>
  <c r="BF7" i="5"/>
  <c r="BF63" i="5" l="1"/>
  <c r="BF66" i="5" s="1"/>
  <c r="BF8" i="5"/>
  <c r="BF9" i="5" s="1"/>
  <c r="BG6" i="5" s="1"/>
  <c r="BF45" i="5"/>
  <c r="BF27" i="5"/>
  <c r="BF13" i="5"/>
  <c r="BF36" i="5"/>
  <c r="BF37" i="5" s="1"/>
  <c r="BF38" i="5" s="1"/>
  <c r="BF40" i="5" s="1"/>
  <c r="BE103" i="5"/>
  <c r="BF96" i="5" s="1"/>
  <c r="BE102" i="5"/>
  <c r="BE104" i="5" s="1"/>
  <c r="BF28" i="5" l="1"/>
  <c r="BF29" i="5" s="1"/>
  <c r="BG23" i="5" s="1"/>
  <c r="BF41" i="5"/>
  <c r="BF47" i="5" s="1"/>
  <c r="BG32" i="5"/>
  <c r="BG57" i="5" l="1"/>
  <c r="BG56" i="5" s="1"/>
  <c r="BG60" i="5" s="1"/>
  <c r="BG62" i="5" s="1"/>
  <c r="BF15" i="5"/>
  <c r="BF17" i="5" s="1"/>
  <c r="BF19" i="5" s="1"/>
  <c r="BF20" i="5" s="1"/>
  <c r="BF49" i="5"/>
  <c r="BF51" i="5" s="1"/>
  <c r="BF52" i="5" s="1"/>
  <c r="BG33" i="5"/>
  <c r="BG25" i="5"/>
  <c r="BG7" i="5"/>
  <c r="BG34" i="5"/>
  <c r="BG24" i="5"/>
  <c r="BG97" i="5"/>
  <c r="BF98" i="5"/>
  <c r="BF100" i="5" s="1"/>
  <c r="BF102" i="5" s="1"/>
  <c r="BF104" i="5" s="1"/>
  <c r="BG46" i="5" l="1"/>
  <c r="BG51" i="5"/>
  <c r="BG52" i="5" s="1"/>
  <c r="BG63" i="5"/>
  <c r="BG66" i="5" s="1"/>
  <c r="BG8" i="5"/>
  <c r="BG9" i="5" s="1"/>
  <c r="BH6" i="5" s="1"/>
  <c r="BG36" i="5"/>
  <c r="BG37" i="5" s="1"/>
  <c r="BG38" i="5" s="1"/>
  <c r="BG40" i="5" s="1"/>
  <c r="BG41" i="5" s="1"/>
  <c r="BG47" i="5" s="1"/>
  <c r="BG27" i="5"/>
  <c r="BG28" i="5" s="1"/>
  <c r="BG29" i="5" s="1"/>
  <c r="BH23" i="5" s="1"/>
  <c r="BG18" i="5"/>
  <c r="BF103" i="5"/>
  <c r="BG96" i="5" s="1"/>
  <c r="BH46" i="5" l="1"/>
  <c r="BH51" i="5"/>
  <c r="BH52" i="5" s="1"/>
  <c r="BH57" i="5"/>
  <c r="BH56" i="5" s="1"/>
  <c r="BH60" i="5" s="1"/>
  <c r="BH62" i="5" s="1"/>
  <c r="BG15" i="5"/>
  <c r="BF53" i="5"/>
  <c r="BF67" i="5" s="1"/>
  <c r="BF68" i="5" s="1"/>
  <c r="BG44" i="5"/>
  <c r="BG12" i="5" s="1"/>
  <c r="BG13" i="5" s="1"/>
  <c r="BF78" i="5"/>
  <c r="BF79" i="5" s="1"/>
  <c r="BF80" i="5" s="1"/>
  <c r="BF81" i="5" s="1"/>
  <c r="BH32" i="5"/>
  <c r="BH33" i="5"/>
  <c r="BH97" i="5"/>
  <c r="BH34" i="5"/>
  <c r="BG98" i="5"/>
  <c r="BG100" i="5" s="1"/>
  <c r="BG102" i="5" s="1"/>
  <c r="BG103" i="5" s="1"/>
  <c r="BH96" i="5" s="1"/>
  <c r="BH24" i="5"/>
  <c r="BH7" i="5"/>
  <c r="BH25" i="5"/>
  <c r="BH63" i="5" l="1"/>
  <c r="BH66" i="5" s="1"/>
  <c r="BF82" i="5"/>
  <c r="BF83" i="5" s="1"/>
  <c r="BF84" i="5" s="1"/>
  <c r="BF85" i="5" s="1"/>
  <c r="BF89" i="5" s="1"/>
  <c r="BF90" i="5" s="1"/>
  <c r="BF92" i="5" s="1"/>
  <c r="BF72" i="5" s="1"/>
  <c r="BF73" i="5" s="1"/>
  <c r="BG45" i="5"/>
  <c r="BG49" i="5" s="1"/>
  <c r="BG17" i="5"/>
  <c r="BG19" i="5" s="1"/>
  <c r="BG20" i="5" s="1"/>
  <c r="BH36" i="5"/>
  <c r="BH37" i="5" s="1"/>
  <c r="BH38" i="5" s="1"/>
  <c r="BH40" i="5" s="1"/>
  <c r="BI32" i="5" s="1"/>
  <c r="BH27" i="5"/>
  <c r="BG104" i="5"/>
  <c r="BH8" i="5" l="1"/>
  <c r="BH9" i="5" s="1"/>
  <c r="BI6" i="5" s="1"/>
  <c r="BF93" i="5"/>
  <c r="BF91" i="5"/>
  <c r="BH28" i="5"/>
  <c r="BH29" i="5" s="1"/>
  <c r="BI23" i="5" s="1"/>
  <c r="BF75" i="5"/>
  <c r="BG53" i="5"/>
  <c r="BG67" i="5" s="1"/>
  <c r="BG68" i="5" s="1"/>
  <c r="BH44" i="5"/>
  <c r="BH18" i="5"/>
  <c r="BG78" i="5"/>
  <c r="BH41" i="5"/>
  <c r="BH47" i="5" s="1"/>
  <c r="BI46" i="5" l="1"/>
  <c r="BI57" i="5"/>
  <c r="BI56" i="5" s="1"/>
  <c r="BI60" i="5" s="1"/>
  <c r="BI62" i="5" s="1"/>
  <c r="BH15" i="5"/>
  <c r="BG79" i="5"/>
  <c r="BG80" i="5" s="1"/>
  <c r="BG81" i="5" s="1"/>
  <c r="BH12" i="5"/>
  <c r="BH13" i="5" s="1"/>
  <c r="BH45" i="5"/>
  <c r="BI25" i="5"/>
  <c r="BH98" i="5"/>
  <c r="BH100" i="5" s="1"/>
  <c r="BH102" i="5" s="1"/>
  <c r="BH104" i="5" s="1"/>
  <c r="BI34" i="5"/>
  <c r="BI7" i="5"/>
  <c r="BI24" i="5"/>
  <c r="BI33" i="5"/>
  <c r="BI97" i="5"/>
  <c r="BI102" i="5"/>
  <c r="BI104" i="5" s="1"/>
  <c r="BG82" i="5" l="1"/>
  <c r="BG83" i="5"/>
  <c r="BI63" i="5"/>
  <c r="BI66" i="5" s="1"/>
  <c r="BH49" i="5"/>
  <c r="BH17" i="5"/>
  <c r="BH19" i="5" s="1"/>
  <c r="BH20" i="5" s="1"/>
  <c r="BH103" i="5"/>
  <c r="BI96" i="5" s="1"/>
  <c r="BI27" i="5"/>
  <c r="BI36" i="5"/>
  <c r="BI37" i="5" s="1"/>
  <c r="BI38" i="5" s="1"/>
  <c r="BI40" i="5" s="1"/>
  <c r="BJ32" i="5" s="1"/>
  <c r="BG84" i="5" l="1"/>
  <c r="BG85" i="5" s="1"/>
  <c r="BG89" i="5" s="1"/>
  <c r="BG90" i="5" s="1"/>
  <c r="BI8" i="5"/>
  <c r="BI9" i="5" s="1"/>
  <c r="BJ6" i="5" s="1"/>
  <c r="BI41" i="5"/>
  <c r="BI47" i="5" s="1"/>
  <c r="BG92" i="5" l="1"/>
  <c r="BG93" i="5"/>
  <c r="BJ46" i="5"/>
  <c r="BJ51" i="5"/>
  <c r="BJ52" i="5" s="1"/>
  <c r="BJ57" i="5"/>
  <c r="BJ56" i="5" s="1"/>
  <c r="BJ60" i="5" s="1"/>
  <c r="BJ62" i="5" s="1"/>
  <c r="BI15" i="5"/>
  <c r="BI28" i="5"/>
  <c r="BI29" i="5" s="1"/>
  <c r="BJ23" i="5" s="1"/>
  <c r="BH53" i="5"/>
  <c r="BH67" i="5" s="1"/>
  <c r="BH68" i="5" s="1"/>
  <c r="BI18" i="5"/>
  <c r="BI44" i="5"/>
  <c r="BH78" i="5"/>
  <c r="BJ33" i="5"/>
  <c r="BJ34" i="5"/>
  <c r="BI98" i="5"/>
  <c r="BI100" i="5" s="1"/>
  <c r="BI103" i="5" s="1"/>
  <c r="BJ96" i="5" s="1"/>
  <c r="BJ25" i="5"/>
  <c r="BJ24" i="5"/>
  <c r="BJ92" i="5"/>
  <c r="BJ91" i="5" s="1"/>
  <c r="BJ102" i="5"/>
  <c r="BJ104" i="5" s="1"/>
  <c r="BJ97" i="5"/>
  <c r="BG72" i="5" l="1"/>
  <c r="BG91" i="5"/>
  <c r="BJ63" i="5"/>
  <c r="BJ66" i="5" s="1"/>
  <c r="BJ7" i="5"/>
  <c r="BI12" i="5"/>
  <c r="BI13" i="5" s="1"/>
  <c r="BI17" i="5" s="1"/>
  <c r="BI19" i="5" s="1"/>
  <c r="BI20" i="5" s="1"/>
  <c r="BI45" i="5"/>
  <c r="BI49" i="5" s="1"/>
  <c r="BI51" i="5" s="1"/>
  <c r="BI52" i="5" s="1"/>
  <c r="BH79" i="5"/>
  <c r="BH80" i="5" s="1"/>
  <c r="BH81" i="5" s="1"/>
  <c r="BH82" i="5" s="1"/>
  <c r="BH83" i="5" s="1"/>
  <c r="BH84" i="5" s="1"/>
  <c r="BH85" i="5" s="1"/>
  <c r="BH89" i="5" s="1"/>
  <c r="BH90" i="5" s="1"/>
  <c r="BH92" i="5" s="1"/>
  <c r="BJ78" i="5"/>
  <c r="BJ36" i="5"/>
  <c r="BJ37" i="5" s="1"/>
  <c r="BJ38" i="5" s="1"/>
  <c r="BJ40" i="5" s="1"/>
  <c r="BK32" i="5" s="1"/>
  <c r="BJ27" i="5"/>
  <c r="BK18" i="5"/>
  <c r="BJ53" i="5"/>
  <c r="BJ67" i="5" s="1"/>
  <c r="BG75" i="5" l="1"/>
  <c r="BG73" i="5"/>
  <c r="BH72" i="5" s="1"/>
  <c r="BI78" i="5"/>
  <c r="BI79" i="5" s="1"/>
  <c r="BI80" i="5" s="1"/>
  <c r="BJ8" i="5"/>
  <c r="BJ9" i="5" s="1"/>
  <c r="BK6" i="5" s="1"/>
  <c r="BI53" i="5"/>
  <c r="BI67" i="5" s="1"/>
  <c r="BI68" i="5" s="1"/>
  <c r="BJ68" i="5" s="1"/>
  <c r="BJ28" i="5"/>
  <c r="BJ29" i="5" s="1"/>
  <c r="BK23" i="5" s="1"/>
  <c r="BJ44" i="5"/>
  <c r="BJ45" i="5" s="1"/>
  <c r="BJ41" i="5"/>
  <c r="BJ47" i="5" s="1"/>
  <c r="BH73" i="5" l="1"/>
  <c r="BH75" i="5"/>
  <c r="BK46" i="5"/>
  <c r="BK51" i="5"/>
  <c r="BK52" i="5" s="1"/>
  <c r="BJ18" i="5"/>
  <c r="BK57" i="5"/>
  <c r="BK56" i="5" s="1"/>
  <c r="BK60" i="5" s="1"/>
  <c r="BK62" i="5" s="1"/>
  <c r="BJ15" i="5"/>
  <c r="BK44" i="5"/>
  <c r="BK12" i="5" s="1"/>
  <c r="BJ12" i="5"/>
  <c r="BJ13" i="5" s="1"/>
  <c r="BJ49" i="5"/>
  <c r="BK24" i="5"/>
  <c r="BK92" i="5"/>
  <c r="BK91" i="5" s="1"/>
  <c r="BK7" i="5"/>
  <c r="BK97" i="5"/>
  <c r="BK34" i="5"/>
  <c r="BK33" i="5"/>
  <c r="BK102" i="5"/>
  <c r="BK104" i="5" s="1"/>
  <c r="BK25" i="5"/>
  <c r="BJ98" i="5"/>
  <c r="BJ100" i="5" s="1"/>
  <c r="BJ103" i="5" s="1"/>
  <c r="BK96" i="5" s="1"/>
  <c r="BI81" i="5"/>
  <c r="BI82" i="5" s="1"/>
  <c r="BJ79" i="5"/>
  <c r="BJ80" i="5" s="1"/>
  <c r="BH93" i="5"/>
  <c r="BK63" i="5" l="1"/>
  <c r="BK66" i="5" s="1"/>
  <c r="BJ17" i="5"/>
  <c r="BJ19" i="5" s="1"/>
  <c r="BJ20" i="5" s="1"/>
  <c r="BK8" i="5" s="1"/>
  <c r="BK9" i="5" s="1"/>
  <c r="BL6" i="5" s="1"/>
  <c r="BK27" i="5"/>
  <c r="BK45" i="5"/>
  <c r="BK36" i="5"/>
  <c r="BK37" i="5" s="1"/>
  <c r="BK38" i="5" s="1"/>
  <c r="BK40" i="5" s="1"/>
  <c r="BL32" i="5" s="1"/>
  <c r="BK78" i="5"/>
  <c r="BK79" i="5" s="1"/>
  <c r="BL44" i="5"/>
  <c r="BL12" i="5" s="1"/>
  <c r="BK53" i="5"/>
  <c r="BK67" i="5" s="1"/>
  <c r="BL18" i="5"/>
  <c r="BJ81" i="5"/>
  <c r="BJ82" i="5" s="1"/>
  <c r="BI83" i="5"/>
  <c r="BI84" i="5" s="1"/>
  <c r="BI85" i="5" s="1"/>
  <c r="BI89" i="5" s="1"/>
  <c r="BI90" i="5" s="1"/>
  <c r="BI92" i="5" s="1"/>
  <c r="BH91" i="5"/>
  <c r="BK13" i="5" l="1"/>
  <c r="BK68" i="5"/>
  <c r="BK28" i="5"/>
  <c r="BK29" i="5" s="1"/>
  <c r="BL23" i="5" s="1"/>
  <c r="BK41" i="5"/>
  <c r="BK47" i="5" s="1"/>
  <c r="BI91" i="5"/>
  <c r="BI72" i="5"/>
  <c r="BJ83" i="5"/>
  <c r="BJ84" i="5" s="1"/>
  <c r="BJ85" i="5" s="1"/>
  <c r="BJ89" i="5" s="1"/>
  <c r="BJ90" i="5" s="1"/>
  <c r="BI93" i="5"/>
  <c r="BL46" i="5" l="1"/>
  <c r="BL57" i="5"/>
  <c r="BL56" i="5" s="1"/>
  <c r="BL60" i="5" s="1"/>
  <c r="BL62" i="5" s="1"/>
  <c r="BK15" i="5"/>
  <c r="BK17" i="5" s="1"/>
  <c r="BK19" i="5" s="1"/>
  <c r="BK20" i="5" s="1"/>
  <c r="BK49" i="5"/>
  <c r="BK80" i="5"/>
  <c r="BK81" i="5" s="1"/>
  <c r="BK82" i="5" s="1"/>
  <c r="BL24" i="5"/>
  <c r="BK98" i="5"/>
  <c r="BK100" i="5" s="1"/>
  <c r="BK103" i="5" s="1"/>
  <c r="BL96" i="5" s="1"/>
  <c r="BL34" i="5"/>
  <c r="BL97" i="5"/>
  <c r="BL102" i="5"/>
  <c r="BL104" i="5" s="1"/>
  <c r="BL33" i="5"/>
  <c r="BL25" i="5"/>
  <c r="BL7" i="5"/>
  <c r="BL92" i="5"/>
  <c r="BL91" i="5" s="1"/>
  <c r="BI75" i="5"/>
  <c r="BI73" i="5"/>
  <c r="BJ72" i="5" s="1"/>
  <c r="BJ93" i="5"/>
  <c r="BL63" i="5" l="1"/>
  <c r="BL66" i="5" s="1"/>
  <c r="BL8" i="5"/>
  <c r="BL9" i="5" s="1"/>
  <c r="BM6" i="5" s="1"/>
  <c r="BL45" i="5"/>
  <c r="BL36" i="5"/>
  <c r="BL37" i="5" s="1"/>
  <c r="BL38" i="5" s="1"/>
  <c r="BL40" i="5" s="1"/>
  <c r="BM32" i="5" s="1"/>
  <c r="BL13" i="5"/>
  <c r="BK83" i="5"/>
  <c r="BK84" i="5" s="1"/>
  <c r="BK85" i="5" s="1"/>
  <c r="BK89" i="5" s="1"/>
  <c r="BK90" i="5" s="1"/>
  <c r="BK93" i="5" s="1"/>
  <c r="BL27" i="5"/>
  <c r="BL28" i="5" s="1"/>
  <c r="BL29" i="5" s="1"/>
  <c r="BM23" i="5" s="1"/>
  <c r="BJ75" i="5"/>
  <c r="BJ73" i="5"/>
  <c r="BK72" i="5" s="1"/>
  <c r="BL41" i="5" l="1"/>
  <c r="BL47" i="5" s="1"/>
  <c r="BK75" i="5"/>
  <c r="BK73" i="5"/>
  <c r="BL72" i="5" s="1"/>
  <c r="BM57" i="5" l="1"/>
  <c r="BM56" i="5" s="1"/>
  <c r="BM60" i="5" s="1"/>
  <c r="BM62" i="5" s="1"/>
  <c r="BL15" i="5"/>
  <c r="BL17" i="5" s="1"/>
  <c r="BL19" i="5" s="1"/>
  <c r="BL20" i="5" s="1"/>
  <c r="BL49" i="5"/>
  <c r="BL51" i="5" s="1"/>
  <c r="BL52" i="5" s="1"/>
  <c r="BL98" i="5"/>
  <c r="BL100" i="5" s="1"/>
  <c r="BL103" i="5" s="1"/>
  <c r="BM96" i="5" s="1"/>
  <c r="BM102" i="5"/>
  <c r="BM104" i="5" s="1"/>
  <c r="BM34" i="5"/>
  <c r="BM24" i="5"/>
  <c r="BM92" i="5"/>
  <c r="BM91" i="5" s="1"/>
  <c r="BM33" i="5"/>
  <c r="BM25" i="5"/>
  <c r="BM7" i="5"/>
  <c r="BM97" i="5"/>
  <c r="BL73" i="5"/>
  <c r="BL75" i="5"/>
  <c r="BM46" i="5" l="1"/>
  <c r="BM63" i="5"/>
  <c r="BM66" i="5" s="1"/>
  <c r="BM8" i="5"/>
  <c r="BM9" i="5" s="1"/>
  <c r="BN6" i="5" s="1"/>
  <c r="BM36" i="5"/>
  <c r="BM37" i="5" s="1"/>
  <c r="BM38" i="5" s="1"/>
  <c r="BM40" i="5" s="1"/>
  <c r="BM41" i="5" s="1"/>
  <c r="BM47" i="5" s="1"/>
  <c r="BM27" i="5"/>
  <c r="BL78" i="5"/>
  <c r="BL79" i="5" s="1"/>
  <c r="BM72" i="5"/>
  <c r="BM75" i="5" s="1"/>
  <c r="BM18" i="5"/>
  <c r="BN57" i="5" l="1"/>
  <c r="BN56" i="5" s="1"/>
  <c r="BN60" i="5" s="1"/>
  <c r="BN62" i="5" s="1"/>
  <c r="BM15" i="5"/>
  <c r="BM28" i="5"/>
  <c r="BM29" i="5" s="1"/>
  <c r="BN23" i="5" s="1"/>
  <c r="BL53" i="5"/>
  <c r="BL67" i="5" s="1"/>
  <c r="BL68" i="5" s="1"/>
  <c r="BM44" i="5"/>
  <c r="BM12" i="5" s="1"/>
  <c r="BM13" i="5" s="1"/>
  <c r="BL80" i="5"/>
  <c r="BL81" i="5" s="1"/>
  <c r="BL82" i="5" s="1"/>
  <c r="BM73" i="5"/>
  <c r="BN33" i="5"/>
  <c r="BM98" i="5"/>
  <c r="BM100" i="5" s="1"/>
  <c r="BM103" i="5" s="1"/>
  <c r="BN96" i="5" s="1"/>
  <c r="BN25" i="5"/>
  <c r="BN34" i="5"/>
  <c r="BN102" i="5"/>
  <c r="BN104" i="5" s="1"/>
  <c r="BN24" i="5"/>
  <c r="BN92" i="5"/>
  <c r="BN91" i="5" s="1"/>
  <c r="BN97" i="5"/>
  <c r="BN32" i="5"/>
  <c r="BN63" i="5" l="1"/>
  <c r="BN66" i="5" s="1"/>
  <c r="BM45" i="5"/>
  <c r="BM49" i="5" s="1"/>
  <c r="BM51" i="5" s="1"/>
  <c r="BN46" i="5" s="1"/>
  <c r="BM17" i="5"/>
  <c r="BM19" i="5" s="1"/>
  <c r="BM20" i="5" s="1"/>
  <c r="BN8" i="5" s="1"/>
  <c r="BN7" i="5"/>
  <c r="BL83" i="5"/>
  <c r="BL84" i="5" s="1"/>
  <c r="BL85" i="5" s="1"/>
  <c r="BL89" i="5" s="1"/>
  <c r="BL90" i="5" s="1"/>
  <c r="BL93" i="5" s="1"/>
  <c r="BN72" i="5"/>
  <c r="BN75" i="5" s="1"/>
  <c r="BN27" i="5"/>
  <c r="BN36" i="5"/>
  <c r="BN37" i="5" s="1"/>
  <c r="BN38" i="5" s="1"/>
  <c r="BM52" i="5" l="1"/>
  <c r="BN9" i="5"/>
  <c r="BO6" i="5" s="1"/>
  <c r="BN28" i="5"/>
  <c r="BN29" i="5" s="1"/>
  <c r="BO23" i="5" s="1"/>
  <c r="BM53" i="5"/>
  <c r="BM67" i="5" s="1"/>
  <c r="BM68" i="5" s="1"/>
  <c r="BN44" i="5"/>
  <c r="BN12" i="5" s="1"/>
  <c r="BN13" i="5" s="1"/>
  <c r="BN73" i="5"/>
  <c r="BN40" i="5"/>
  <c r="BN41" i="5" s="1"/>
  <c r="BN47" i="5" s="1"/>
  <c r="BN18" i="5" l="1"/>
  <c r="BM78" i="5"/>
  <c r="BM79" i="5" s="1"/>
  <c r="BM80" i="5" s="1"/>
  <c r="BM81" i="5" s="1"/>
  <c r="BM82" i="5" s="1"/>
  <c r="BM83" i="5" s="1"/>
  <c r="BM84" i="5" s="1"/>
  <c r="BM85" i="5" s="1"/>
  <c r="BM89" i="5" s="1"/>
  <c r="BM90" i="5" s="1"/>
  <c r="BM93" i="5" s="1"/>
  <c r="BN45" i="5"/>
  <c r="BO57" i="5"/>
  <c r="BO56" i="5" s="1"/>
  <c r="BO60" i="5" s="1"/>
  <c r="BO62" i="5" s="1"/>
  <c r="BN15" i="5"/>
  <c r="BN17" i="5" s="1"/>
  <c r="BO34" i="5"/>
  <c r="BO7" i="5"/>
  <c r="BO24" i="5"/>
  <c r="BO32" i="5"/>
  <c r="BO97" i="5"/>
  <c r="BO92" i="5"/>
  <c r="BO72" i="5" s="1"/>
  <c r="BO75" i="5" s="1"/>
  <c r="BN98" i="5"/>
  <c r="BN100" i="5" s="1"/>
  <c r="BN103" i="5" s="1"/>
  <c r="BO96" i="5" s="1"/>
  <c r="BO33" i="5"/>
  <c r="BO25" i="5"/>
  <c r="BO102" i="5"/>
  <c r="BO104" i="5" s="1"/>
  <c r="BN19" i="5" l="1"/>
  <c r="BN20" i="5" s="1"/>
  <c r="BO8" i="5" s="1"/>
  <c r="BO9" i="5" s="1"/>
  <c r="BO63" i="5"/>
  <c r="BO66" i="5" s="1"/>
  <c r="BO27" i="5"/>
  <c r="BN49" i="5"/>
  <c r="BN51" i="5" s="1"/>
  <c r="BO36" i="5"/>
  <c r="BO37" i="5" s="1"/>
  <c r="BO38" i="5" s="1"/>
  <c r="BO40" i="5" s="1"/>
  <c r="BP32" i="5" s="1"/>
  <c r="BO91" i="5"/>
  <c r="BO73" i="5"/>
  <c r="BN52" i="5" l="1"/>
  <c r="BO46" i="5"/>
  <c r="BO28" i="5"/>
  <c r="BO29" i="5" s="1"/>
  <c r="BP23" i="5" s="1"/>
  <c r="BO41" i="5"/>
  <c r="BO47" i="5" s="1"/>
  <c r="BP6" i="5"/>
  <c r="BP46" i="5" l="1"/>
  <c r="BP51" i="5"/>
  <c r="BP52" i="5" s="1"/>
  <c r="BP57" i="5"/>
  <c r="BP56" i="5" s="1"/>
  <c r="BP60" i="5" s="1"/>
  <c r="BP62" i="5" s="1"/>
  <c r="BO15" i="5"/>
  <c r="BO44" i="5"/>
  <c r="BO12" i="5" s="1"/>
  <c r="BO13" i="5" s="1"/>
  <c r="BN78" i="5"/>
  <c r="BN79" i="5" s="1"/>
  <c r="BN80" i="5" s="1"/>
  <c r="BO18" i="5"/>
  <c r="BN53" i="5"/>
  <c r="BN67" i="5" s="1"/>
  <c r="BN68" i="5" s="1"/>
  <c r="BP102" i="5"/>
  <c r="BP104" i="5" s="1"/>
  <c r="BP33" i="5"/>
  <c r="BO98" i="5"/>
  <c r="BO100" i="5" s="1"/>
  <c r="BO103" i="5" s="1"/>
  <c r="BP96" i="5" s="1"/>
  <c r="BP24" i="5"/>
  <c r="BP92" i="5"/>
  <c r="BP72" i="5" s="1"/>
  <c r="BP73" i="5" s="1"/>
  <c r="BP97" i="5"/>
  <c r="BP25" i="5"/>
  <c r="BP34" i="5"/>
  <c r="BP7" i="5"/>
  <c r="BP63" i="5" l="1"/>
  <c r="BP66" i="5" s="1"/>
  <c r="BO17" i="5"/>
  <c r="BO19" i="5" s="1"/>
  <c r="BO20" i="5" s="1"/>
  <c r="BP8" i="5" s="1"/>
  <c r="BP9" i="5" s="1"/>
  <c r="BQ6" i="5" s="1"/>
  <c r="BP36" i="5"/>
  <c r="BP37" i="5" s="1"/>
  <c r="BP38" i="5" s="1"/>
  <c r="BP40" i="5" s="1"/>
  <c r="BQ32" i="5" s="1"/>
  <c r="BO45" i="5"/>
  <c r="BO49" i="5" s="1"/>
  <c r="BO51" i="5" s="1"/>
  <c r="BO52" i="5" s="1"/>
  <c r="BN81" i="5"/>
  <c r="BN82" i="5" s="1"/>
  <c r="BN83" i="5" s="1"/>
  <c r="BN84" i="5" s="1"/>
  <c r="BN85" i="5" s="1"/>
  <c r="BN89" i="5" s="1"/>
  <c r="BN90" i="5" s="1"/>
  <c r="BN93" i="5" s="1"/>
  <c r="BP27" i="5"/>
  <c r="BP75" i="5"/>
  <c r="BP91" i="5"/>
  <c r="BP53" i="5"/>
  <c r="BP67" i="5" s="1"/>
  <c r="BP78" i="5"/>
  <c r="BQ18" i="5"/>
  <c r="BP41" i="5" l="1"/>
  <c r="BP47" i="5" s="1"/>
  <c r="BP28" i="5"/>
  <c r="BP29" i="5" s="1"/>
  <c r="BQ23" i="5" s="1"/>
  <c r="BP18" i="5"/>
  <c r="BQ46" i="5" l="1"/>
  <c r="BQ51" i="5"/>
  <c r="BQ52" i="5" s="1"/>
  <c r="BQ57" i="5"/>
  <c r="BQ56" i="5" s="1"/>
  <c r="BQ60" i="5" s="1"/>
  <c r="BQ62" i="5" s="1"/>
  <c r="BP15" i="5"/>
  <c r="BP98" i="5"/>
  <c r="BP100" i="5" s="1"/>
  <c r="BP103" i="5" s="1"/>
  <c r="BQ96" i="5" s="1"/>
  <c r="BQ92" i="5"/>
  <c r="BQ72" i="5" s="1"/>
  <c r="BQ34" i="5"/>
  <c r="BQ24" i="5"/>
  <c r="BQ102" i="5"/>
  <c r="BQ104" i="5" s="1"/>
  <c r="BQ25" i="5"/>
  <c r="BQ97" i="5"/>
  <c r="BQ33" i="5"/>
  <c r="BQ7" i="5"/>
  <c r="BO53" i="5"/>
  <c r="BO67" i="5" s="1"/>
  <c r="BO68" i="5" s="1"/>
  <c r="BP68" i="5" s="1"/>
  <c r="BO78" i="5"/>
  <c r="BO79" i="5" s="1"/>
  <c r="BO80" i="5" s="1"/>
  <c r="BP44" i="5"/>
  <c r="BP12" i="5" s="1"/>
  <c r="BP13" i="5" s="1"/>
  <c r="BP17" i="5" l="1"/>
  <c r="BP19" i="5" s="1"/>
  <c r="BP20" i="5" s="1"/>
  <c r="BQ8" i="5" s="1"/>
  <c r="BQ9" i="5" s="1"/>
  <c r="BR6" i="5" s="1"/>
  <c r="BQ36" i="5"/>
  <c r="BQ37" i="5" s="1"/>
  <c r="BQ38" i="5" s="1"/>
  <c r="BQ40" i="5" s="1"/>
  <c r="BQ41" i="5" s="1"/>
  <c r="BQ47" i="5" s="1"/>
  <c r="BQ63" i="5"/>
  <c r="BQ66" i="5" s="1"/>
  <c r="BQ78" i="5"/>
  <c r="BQ91" i="5"/>
  <c r="BQ27" i="5"/>
  <c r="BR18" i="5"/>
  <c r="BQ53" i="5"/>
  <c r="BQ67" i="5" s="1"/>
  <c r="BQ44" i="5"/>
  <c r="BQ12" i="5" s="1"/>
  <c r="BP45" i="5"/>
  <c r="BP49" i="5" s="1"/>
  <c r="BO81" i="5"/>
  <c r="BP79" i="5"/>
  <c r="BP80" i="5" s="1"/>
  <c r="BQ75" i="5"/>
  <c r="BQ73" i="5"/>
  <c r="BR46" i="5" l="1"/>
  <c r="BR32" i="5"/>
  <c r="BQ28" i="5"/>
  <c r="BQ29" i="5" s="1"/>
  <c r="BR23" i="5" s="1"/>
  <c r="BQ13" i="5"/>
  <c r="BR57" i="5"/>
  <c r="BR56" i="5" s="1"/>
  <c r="BR60" i="5" s="1"/>
  <c r="BR62" i="5" s="1"/>
  <c r="BQ68" i="5"/>
  <c r="BQ15" i="5"/>
  <c r="BQ45" i="5"/>
  <c r="BR44" i="5"/>
  <c r="BR12" i="5" s="1"/>
  <c r="BO82" i="5"/>
  <c r="BO83" i="5" s="1"/>
  <c r="BO84" i="5" s="1"/>
  <c r="BO85" i="5" s="1"/>
  <c r="BO89" i="5" s="1"/>
  <c r="BO90" i="5" s="1"/>
  <c r="BO93" i="5" s="1"/>
  <c r="BP81" i="5"/>
  <c r="BQ79" i="5"/>
  <c r="BQ80" i="5" s="1"/>
  <c r="BR92" i="5"/>
  <c r="BR91" i="5" s="1"/>
  <c r="BR33" i="5"/>
  <c r="BR97" i="5"/>
  <c r="BQ98" i="5"/>
  <c r="BQ100" i="5" s="1"/>
  <c r="BQ103" i="5" s="1"/>
  <c r="BR96" i="5" s="1"/>
  <c r="BR34" i="5"/>
  <c r="BR25" i="5"/>
  <c r="BR24" i="5"/>
  <c r="BR7" i="5" l="1"/>
  <c r="BQ17" i="5"/>
  <c r="BQ19" i="5" s="1"/>
  <c r="BQ20" i="5" s="1"/>
  <c r="BR8" i="5" s="1"/>
  <c r="BR63" i="5"/>
  <c r="BR66" i="5" s="1"/>
  <c r="BQ49" i="5"/>
  <c r="BR45" i="5" s="1"/>
  <c r="BP82" i="5"/>
  <c r="BP83" i="5" s="1"/>
  <c r="BP84" i="5" s="1"/>
  <c r="BP85" i="5" s="1"/>
  <c r="BP89" i="5" s="1"/>
  <c r="BP90" i="5" s="1"/>
  <c r="BP93" i="5" s="1"/>
  <c r="BQ81" i="5"/>
  <c r="BR72" i="5"/>
  <c r="BR75" i="5" s="1"/>
  <c r="BR27" i="5"/>
  <c r="BR36" i="5"/>
  <c r="BR37" i="5" s="1"/>
  <c r="BR38" i="5" s="1"/>
  <c r="BR40" i="5" s="1"/>
  <c r="BS32" i="5" s="1"/>
  <c r="BR9" i="5" l="1"/>
  <c r="BS6" i="5" s="1"/>
  <c r="BR13" i="5"/>
  <c r="BR28" i="5"/>
  <c r="BR29" i="5" s="1"/>
  <c r="BS23" i="5" s="1"/>
  <c r="BQ82" i="5"/>
  <c r="BQ83" i="5" s="1"/>
  <c r="BQ84" i="5" s="1"/>
  <c r="BQ85" i="5" s="1"/>
  <c r="BQ89" i="5" s="1"/>
  <c r="BQ90" i="5" s="1"/>
  <c r="BQ93" i="5" s="1"/>
  <c r="BR73" i="5"/>
  <c r="BR41" i="5"/>
  <c r="BR47" i="5" s="1"/>
  <c r="BS57" i="5" l="1"/>
  <c r="BS56" i="5" s="1"/>
  <c r="BS60" i="5" s="1"/>
  <c r="BS62" i="5" s="1"/>
  <c r="BR15" i="5"/>
  <c r="BR17" i="5" s="1"/>
  <c r="BR19" i="5" s="1"/>
  <c r="BR20" i="5" s="1"/>
  <c r="BR49" i="5"/>
  <c r="BR51" i="5" s="1"/>
  <c r="BR52" i="5" s="1"/>
  <c r="BS33" i="5"/>
  <c r="BS97" i="5"/>
  <c r="BS24" i="5"/>
  <c r="BS92" i="5"/>
  <c r="BS72" i="5" s="1"/>
  <c r="BS73" i="5" s="1"/>
  <c r="BS7" i="5"/>
  <c r="BS25" i="5"/>
  <c r="BS34" i="5"/>
  <c r="BR98" i="5"/>
  <c r="BR100" i="5" s="1"/>
  <c r="BR103" i="5" s="1"/>
  <c r="BS46" i="5" l="1"/>
  <c r="BS63" i="5"/>
  <c r="BS66" i="5" s="1"/>
  <c r="BS8" i="5"/>
  <c r="BS9" i="5" s="1"/>
  <c r="BT6" i="5" s="1"/>
  <c r="BS36" i="5"/>
  <c r="BS37" i="5" s="1"/>
  <c r="BS38" i="5" s="1"/>
  <c r="BS40" i="5" s="1"/>
  <c r="BT32" i="5" s="1"/>
  <c r="BS27" i="5"/>
  <c r="BS28" i="5" s="1"/>
  <c r="BS29" i="5" s="1"/>
  <c r="BT23" i="5" s="1"/>
  <c r="BS75" i="5"/>
  <c r="BS91" i="5"/>
  <c r="BR102" i="5"/>
  <c r="BR104" i="5" s="1"/>
  <c r="BS44" i="5"/>
  <c r="BS12" i="5" s="1"/>
  <c r="BS13" i="5" s="1"/>
  <c r="BR78" i="5"/>
  <c r="BR79" i="5" s="1"/>
  <c r="BR80" i="5" s="1"/>
  <c r="BR53" i="5"/>
  <c r="BR67" i="5" s="1"/>
  <c r="BR68" i="5" s="1"/>
  <c r="BS18" i="5"/>
  <c r="BS96" i="5"/>
  <c r="BS45" i="5" l="1"/>
  <c r="BS41" i="5"/>
  <c r="BS47" i="5" s="1"/>
  <c r="BR81" i="5"/>
  <c r="BT57" i="5" l="1"/>
  <c r="BT56" i="5" s="1"/>
  <c r="BT60" i="5" s="1"/>
  <c r="BT62" i="5" s="1"/>
  <c r="BS15" i="5"/>
  <c r="BS17" i="5" s="1"/>
  <c r="BS19" i="5" s="1"/>
  <c r="BS20" i="5" s="1"/>
  <c r="BT92" i="5"/>
  <c r="BT72" i="5" s="1"/>
  <c r="BT75" i="5" s="1"/>
  <c r="BS49" i="5"/>
  <c r="BS51" i="5" s="1"/>
  <c r="BS52" i="5" s="1"/>
  <c r="BS98" i="5"/>
  <c r="BS100" i="5" s="1"/>
  <c r="BS102" i="5" s="1"/>
  <c r="BS104" i="5" s="1"/>
  <c r="BT25" i="5"/>
  <c r="BT33" i="5"/>
  <c r="BT24" i="5"/>
  <c r="BT34" i="5"/>
  <c r="BT7" i="5"/>
  <c r="BT97" i="5"/>
  <c r="BR82" i="5"/>
  <c r="BR83" i="5" s="1"/>
  <c r="BR84" i="5" s="1"/>
  <c r="BR85" i="5" s="1"/>
  <c r="BR89" i="5" s="1"/>
  <c r="BR90" i="5" s="1"/>
  <c r="BR93" i="5" s="1"/>
  <c r="BT46" i="5" l="1"/>
  <c r="BT63" i="5"/>
  <c r="BT66" i="5" s="1"/>
  <c r="BT8" i="5"/>
  <c r="BT9" i="5" s="1"/>
  <c r="BU6" i="5" s="1"/>
  <c r="BT73" i="5"/>
  <c r="BT91" i="5"/>
  <c r="BS78" i="5"/>
  <c r="BS53" i="5"/>
  <c r="BS67" i="5" s="1"/>
  <c r="BS68" i="5" s="1"/>
  <c r="BT18" i="5"/>
  <c r="BT27" i="5"/>
  <c r="BT28" i="5" s="1"/>
  <c r="BT29" i="5" s="1"/>
  <c r="BU23" i="5" s="1"/>
  <c r="BT36" i="5"/>
  <c r="BT37" i="5" s="1"/>
  <c r="BT38" i="5" s="1"/>
  <c r="BT40" i="5" s="1"/>
  <c r="BT41" i="5" s="1"/>
  <c r="BT47" i="5" s="1"/>
  <c r="BS103" i="5"/>
  <c r="BT96" i="5" s="1"/>
  <c r="BT44" i="5" l="1"/>
  <c r="BT12" i="5" s="1"/>
  <c r="BT13" i="5" s="1"/>
  <c r="BU57" i="5"/>
  <c r="BU56" i="5" s="1"/>
  <c r="BU60" i="5" s="1"/>
  <c r="BU62" i="5" s="1"/>
  <c r="BT15" i="5"/>
  <c r="BS79" i="5"/>
  <c r="BS80" i="5" s="1"/>
  <c r="BS81" i="5" s="1"/>
  <c r="BU33" i="5"/>
  <c r="BU32" i="5"/>
  <c r="BT98" i="5"/>
  <c r="BT100" i="5" s="1"/>
  <c r="BT102" i="5" s="1"/>
  <c r="BT103" i="5" s="1"/>
  <c r="BU25" i="5"/>
  <c r="BU34" i="5"/>
  <c r="BU24" i="5"/>
  <c r="BU97" i="5"/>
  <c r="BU102" i="5"/>
  <c r="BU104" i="5" s="1"/>
  <c r="BU92" i="5"/>
  <c r="BU72" i="5" s="1"/>
  <c r="BU73" i="5" s="1"/>
  <c r="BU7" i="5"/>
  <c r="BT45" i="5" l="1"/>
  <c r="BT49" i="5" s="1"/>
  <c r="BT51" i="5" s="1"/>
  <c r="BT17" i="5"/>
  <c r="BT19" i="5" s="1"/>
  <c r="BT20" i="5" s="1"/>
  <c r="BU8" i="5" s="1"/>
  <c r="BU9" i="5" s="1"/>
  <c r="BV6" i="5" s="1"/>
  <c r="BU63" i="5"/>
  <c r="BU66" i="5" s="1"/>
  <c r="BU27" i="5"/>
  <c r="BS82" i="5"/>
  <c r="BS83" i="5" s="1"/>
  <c r="BS84" i="5" s="1"/>
  <c r="BS85" i="5" s="1"/>
  <c r="BS89" i="5" s="1"/>
  <c r="BS90" i="5" s="1"/>
  <c r="BS93" i="5" s="1"/>
  <c r="BU36" i="5"/>
  <c r="BU37" i="5" s="1"/>
  <c r="BU38" i="5" s="1"/>
  <c r="BU40" i="5" s="1"/>
  <c r="BU91" i="5"/>
  <c r="BU75" i="5"/>
  <c r="BT104" i="5"/>
  <c r="BU96" i="5"/>
  <c r="BT52" i="5" l="1"/>
  <c r="BU46" i="5"/>
  <c r="BU28" i="5"/>
  <c r="BU29" i="5" s="1"/>
  <c r="BV23" i="5" s="1"/>
  <c r="BU41" i="5"/>
  <c r="BU47" i="5" s="1"/>
  <c r="BV46" i="5" l="1"/>
  <c r="BV51" i="5"/>
  <c r="BV52" i="5" s="1"/>
  <c r="BV57" i="5"/>
  <c r="BV56" i="5" s="1"/>
  <c r="BV60" i="5" s="1"/>
  <c r="BV62" i="5" s="1"/>
  <c r="BU15" i="5"/>
  <c r="BT78" i="5"/>
  <c r="BT53" i="5"/>
  <c r="BT67" i="5" s="1"/>
  <c r="BT68" i="5" s="1"/>
  <c r="BU44" i="5"/>
  <c r="BU18" i="5"/>
  <c r="BV33" i="5"/>
  <c r="BV32" i="5"/>
  <c r="BV97" i="5"/>
  <c r="BV34" i="5"/>
  <c r="BV102" i="5"/>
  <c r="BV104" i="5" s="1"/>
  <c r="BV7" i="5"/>
  <c r="BV92" i="5"/>
  <c r="BV72" i="5" s="1"/>
  <c r="BV75" i="5" s="1"/>
  <c r="BU98" i="5"/>
  <c r="BU100" i="5" s="1"/>
  <c r="BU103" i="5" s="1"/>
  <c r="BV96" i="5" s="1"/>
  <c r="BV24" i="5"/>
  <c r="BV25" i="5"/>
  <c r="BV63" i="5" l="1"/>
  <c r="BV66" i="5" s="1"/>
  <c r="BT79" i="5"/>
  <c r="BT80" i="5" s="1"/>
  <c r="BT81" i="5" s="1"/>
  <c r="BT82" i="5" s="1"/>
  <c r="BT83" i="5" s="1"/>
  <c r="BT84" i="5" s="1"/>
  <c r="BT85" i="5" s="1"/>
  <c r="BT89" i="5" s="1"/>
  <c r="BT90" i="5" s="1"/>
  <c r="BT93" i="5" s="1"/>
  <c r="BU12" i="5"/>
  <c r="BU13" i="5" s="1"/>
  <c r="BU17" i="5" s="1"/>
  <c r="BU19" i="5" s="1"/>
  <c r="BU20" i="5" s="1"/>
  <c r="BU45" i="5"/>
  <c r="BU49" i="5" s="1"/>
  <c r="BU51" i="5" s="1"/>
  <c r="BU52" i="5" s="1"/>
  <c r="BV27" i="5"/>
  <c r="BV36" i="5"/>
  <c r="BV37" i="5" s="1"/>
  <c r="BV38" i="5" s="1"/>
  <c r="BV40" i="5" s="1"/>
  <c r="BV78" i="5"/>
  <c r="BW18" i="5"/>
  <c r="BV73" i="5"/>
  <c r="BV91" i="5"/>
  <c r="BV53" i="5"/>
  <c r="BV67" i="5" s="1"/>
  <c r="BV8" i="5" l="1"/>
  <c r="BV9" i="5" s="1"/>
  <c r="BW6" i="5" s="1"/>
  <c r="BV18" i="5"/>
  <c r="BU53" i="5"/>
  <c r="BU67" i="5" s="1"/>
  <c r="BU68" i="5" s="1"/>
  <c r="BV68" i="5" s="1"/>
  <c r="BW32" i="5"/>
  <c r="BV41" i="5"/>
  <c r="BV47" i="5" s="1"/>
  <c r="BW46" i="5" l="1"/>
  <c r="BW51" i="5"/>
  <c r="BW52" i="5" s="1"/>
  <c r="BV44" i="5"/>
  <c r="BV12" i="5" s="1"/>
  <c r="BV13" i="5" s="1"/>
  <c r="BU78" i="5"/>
  <c r="BU79" i="5" s="1"/>
  <c r="BU80" i="5" s="1"/>
  <c r="BV79" i="5" s="1"/>
  <c r="BV80" i="5" s="1"/>
  <c r="BW57" i="5"/>
  <c r="BW56" i="5" s="1"/>
  <c r="BW60" i="5" s="1"/>
  <c r="BW62" i="5" s="1"/>
  <c r="BV15" i="5"/>
  <c r="BV28" i="5"/>
  <c r="BV29" i="5" s="1"/>
  <c r="BW23" i="5" s="1"/>
  <c r="BW73" i="5"/>
  <c r="BW33" i="5"/>
  <c r="BW24" i="5"/>
  <c r="BW25" i="5"/>
  <c r="BW102" i="5"/>
  <c r="BW104" i="5" s="1"/>
  <c r="BW92" i="5"/>
  <c r="BW72" i="5" s="1"/>
  <c r="BW75" i="5" s="1"/>
  <c r="BW97" i="5"/>
  <c r="BW34" i="5"/>
  <c r="BV98" i="5"/>
  <c r="BV100" i="5" s="1"/>
  <c r="BV103" i="5" s="1"/>
  <c r="BW96" i="5" s="1"/>
  <c r="BW44" i="5" l="1"/>
  <c r="BW12" i="5" s="1"/>
  <c r="BV17" i="5"/>
  <c r="BV19" i="5" s="1"/>
  <c r="BV20" i="5" s="1"/>
  <c r="BW8" i="5" s="1"/>
  <c r="BV45" i="5"/>
  <c r="BV49" i="5" s="1"/>
  <c r="BW63" i="5"/>
  <c r="BW66" i="5" s="1"/>
  <c r="BW7" i="5"/>
  <c r="BU81" i="5"/>
  <c r="BU82" i="5" s="1"/>
  <c r="BU83" i="5" s="1"/>
  <c r="BU84" i="5" s="1"/>
  <c r="BU85" i="5" s="1"/>
  <c r="BU89" i="5" s="1"/>
  <c r="BU90" i="5" s="1"/>
  <c r="BU93" i="5" s="1"/>
  <c r="BW91" i="5"/>
  <c r="BW27" i="5"/>
  <c r="BX18" i="5"/>
  <c r="BW36" i="5"/>
  <c r="BW37" i="5" s="1"/>
  <c r="BW38" i="5" s="1"/>
  <c r="BW40" i="5" s="1"/>
  <c r="BW41" i="5" s="1"/>
  <c r="BW47" i="5" s="1"/>
  <c r="BW53" i="5"/>
  <c r="BW67" i="5" s="1"/>
  <c r="BW78" i="5"/>
  <c r="BW79" i="5" s="1"/>
  <c r="BX46" i="5" l="1"/>
  <c r="BW28" i="5"/>
  <c r="BW29" i="5" s="1"/>
  <c r="BX23" i="5" s="1"/>
  <c r="BW13" i="5"/>
  <c r="BW45" i="5"/>
  <c r="BX44" i="5"/>
  <c r="BX12" i="5" s="1"/>
  <c r="BX51" i="5"/>
  <c r="BX52" i="5" s="1"/>
  <c r="BX57" i="5"/>
  <c r="BX56" i="5" s="1"/>
  <c r="BX60" i="5" s="1"/>
  <c r="BW68" i="5"/>
  <c r="BW9" i="5"/>
  <c r="BX6" i="5" s="1"/>
  <c r="BW15" i="5"/>
  <c r="BV81" i="5"/>
  <c r="BV82" i="5" s="1"/>
  <c r="BV83" i="5" s="1"/>
  <c r="BV84" i="5" s="1"/>
  <c r="BV85" i="5" s="1"/>
  <c r="BV89" i="5" s="1"/>
  <c r="BV90" i="5" s="1"/>
  <c r="BV93" i="5" s="1"/>
  <c r="BX25" i="5"/>
  <c r="BX97" i="5"/>
  <c r="BX92" i="5"/>
  <c r="BX91" i="5" s="1"/>
  <c r="BW80" i="5"/>
  <c r="BX73" i="5"/>
  <c r="BW98" i="5"/>
  <c r="BW100" i="5" s="1"/>
  <c r="BW103" i="5" s="1"/>
  <c r="BX96" i="5" s="1"/>
  <c r="BX24" i="5"/>
  <c r="BX34" i="5"/>
  <c r="BX62" i="5"/>
  <c r="BX33" i="5"/>
  <c r="BX102" i="5"/>
  <c r="BX104" i="5" s="1"/>
  <c r="BX32" i="5"/>
  <c r="BX7" i="5" l="1"/>
  <c r="BW17" i="5"/>
  <c r="BW19" i="5" s="1"/>
  <c r="BW20" i="5" s="1"/>
  <c r="BX8" i="5" s="1"/>
  <c r="BW49" i="5"/>
  <c r="BX45" i="5" s="1"/>
  <c r="BX63" i="5"/>
  <c r="BX66" i="5" s="1"/>
  <c r="BW81" i="5"/>
  <c r="BW82" i="5" s="1"/>
  <c r="BW83" i="5" s="1"/>
  <c r="BW84" i="5" s="1"/>
  <c r="BW85" i="5" s="1"/>
  <c r="BW89" i="5" s="1"/>
  <c r="BW90" i="5" s="1"/>
  <c r="BW93" i="5" s="1"/>
  <c r="BY44" i="5"/>
  <c r="BY12" i="5" s="1"/>
  <c r="BX78" i="5"/>
  <c r="BX79" i="5" s="1"/>
  <c r="BX27" i="5"/>
  <c r="BX36" i="5"/>
  <c r="BX37" i="5" s="1"/>
  <c r="BX38" i="5" s="1"/>
  <c r="BX40" i="5" s="1"/>
  <c r="BY32" i="5" s="1"/>
  <c r="BX72" i="5"/>
  <c r="BX75" i="5" s="1"/>
  <c r="BY18" i="5"/>
  <c r="BX53" i="5"/>
  <c r="BX67" i="5" s="1"/>
  <c r="BX9" i="5" l="1"/>
  <c r="BY6" i="5" s="1"/>
  <c r="BX28" i="5"/>
  <c r="BX29" i="5" s="1"/>
  <c r="BY23" i="5" s="1"/>
  <c r="BX13" i="5"/>
  <c r="BX68" i="5"/>
  <c r="BX41" i="5"/>
  <c r="BX47" i="5" s="1"/>
  <c r="BY46" i="5" l="1"/>
  <c r="BY51" i="5"/>
  <c r="BY52" i="5" s="1"/>
  <c r="BY57" i="5"/>
  <c r="BY56" i="5" s="1"/>
  <c r="BY60" i="5" s="1"/>
  <c r="BX15" i="5"/>
  <c r="BX17" i="5" s="1"/>
  <c r="BX19" i="5" s="1"/>
  <c r="BX20" i="5" s="1"/>
  <c r="BX49" i="5"/>
  <c r="BY33" i="5"/>
  <c r="BY97" i="5"/>
  <c r="BY62" i="5"/>
  <c r="BY7" i="5"/>
  <c r="BY34" i="5"/>
  <c r="BY92" i="5"/>
  <c r="BY25" i="5"/>
  <c r="BX80" i="5"/>
  <c r="BX81" i="5" s="1"/>
  <c r="BX82" i="5" s="1"/>
  <c r="BX83" i="5" s="1"/>
  <c r="BX84" i="5" s="1"/>
  <c r="BX85" i="5" s="1"/>
  <c r="BX89" i="5" s="1"/>
  <c r="BX90" i="5" s="1"/>
  <c r="BX93" i="5" s="1"/>
  <c r="BY73" i="5"/>
  <c r="BY102" i="5"/>
  <c r="BY104" i="5" s="1"/>
  <c r="BX98" i="5"/>
  <c r="BX100" i="5" s="1"/>
  <c r="BX103" i="5" s="1"/>
  <c r="BY96" i="5" s="1"/>
  <c r="BY24" i="5"/>
  <c r="BY63" i="5" l="1"/>
  <c r="BY66" i="5" s="1"/>
  <c r="BY8" i="5"/>
  <c r="BY9" i="5" s="1"/>
  <c r="BZ6" i="5" s="1"/>
  <c r="BY36" i="5"/>
  <c r="BY37" i="5" s="1"/>
  <c r="BY38" i="5" s="1"/>
  <c r="BY40" i="5" s="1"/>
  <c r="BZ32" i="5" s="1"/>
  <c r="BY78" i="5"/>
  <c r="BY79" i="5" s="1"/>
  <c r="BY45" i="5"/>
  <c r="BY27" i="5"/>
  <c r="BY28" i="5" s="1"/>
  <c r="BY29" i="5" s="1"/>
  <c r="BZ23" i="5" s="1"/>
  <c r="BY13" i="5"/>
  <c r="BZ44" i="5"/>
  <c r="BZ12" i="5" s="1"/>
  <c r="BZ18" i="5"/>
  <c r="BY72" i="5"/>
  <c r="BY75" i="5" s="1"/>
  <c r="BY91" i="5"/>
  <c r="BY53" i="5"/>
  <c r="BY67" i="5" s="1"/>
  <c r="BY68" i="5" l="1"/>
  <c r="BY41" i="5"/>
  <c r="BY47" i="5" s="1"/>
  <c r="BZ46" i="5" l="1"/>
  <c r="BZ51" i="5"/>
  <c r="BZ52" i="5" s="1"/>
  <c r="BZ57" i="5"/>
  <c r="BZ56" i="5" s="1"/>
  <c r="BZ60" i="5" s="1"/>
  <c r="BY15" i="5"/>
  <c r="BY17" i="5" s="1"/>
  <c r="BY19" i="5" s="1"/>
  <c r="BY20" i="5" s="1"/>
  <c r="BY80" i="5"/>
  <c r="BY81" i="5" s="1"/>
  <c r="BY82" i="5" s="1"/>
  <c r="BY83" i="5" s="1"/>
  <c r="BY84" i="5" s="1"/>
  <c r="BY85" i="5" s="1"/>
  <c r="BY89" i="5" s="1"/>
  <c r="BY90" i="5" s="1"/>
  <c r="BY93" i="5" s="1"/>
  <c r="BZ92" i="5"/>
  <c r="BZ72" i="5" s="1"/>
  <c r="BZ75" i="5" s="1"/>
  <c r="BZ73" i="5"/>
  <c r="BZ24" i="5"/>
  <c r="BY98" i="5"/>
  <c r="BY100" i="5" s="1"/>
  <c r="BY103" i="5" s="1"/>
  <c r="BZ96" i="5" s="1"/>
  <c r="BZ25" i="5"/>
  <c r="BZ7" i="5"/>
  <c r="BZ62" i="5"/>
  <c r="BZ97" i="5"/>
  <c r="BZ102" i="5"/>
  <c r="BZ104" i="5" s="1"/>
  <c r="BZ34" i="5"/>
  <c r="BY49" i="5"/>
  <c r="BZ33" i="5"/>
  <c r="BZ45" i="5" l="1"/>
  <c r="BZ63" i="5"/>
  <c r="BZ66" i="5" s="1"/>
  <c r="BZ27" i="5"/>
  <c r="BZ36" i="5"/>
  <c r="BZ37" i="5" s="1"/>
  <c r="BZ38" i="5" s="1"/>
  <c r="BZ40" i="5" s="1"/>
  <c r="CA32" i="5" s="1"/>
  <c r="BZ91" i="5"/>
  <c r="BZ78" i="5"/>
  <c r="BZ79" i="5" s="1"/>
  <c r="CA44" i="5"/>
  <c r="CA12" i="5" s="1"/>
  <c r="CA18" i="5"/>
  <c r="BZ53" i="5"/>
  <c r="BZ67" i="5" s="1"/>
  <c r="BZ68" i="5" l="1"/>
  <c r="BZ41" i="5"/>
  <c r="BZ47" i="5" s="1"/>
  <c r="BZ13" i="5"/>
  <c r="CA46" i="5" l="1"/>
  <c r="CA51" i="5"/>
  <c r="CA52" i="5" s="1"/>
  <c r="CA57" i="5"/>
  <c r="CA56" i="5" s="1"/>
  <c r="CA60" i="5" s="1"/>
  <c r="CA102" i="5"/>
  <c r="CA104" i="5" s="1"/>
  <c r="CA34" i="5"/>
  <c r="CA24" i="5"/>
  <c r="BZ80" i="5"/>
  <c r="BZ81" i="5" s="1"/>
  <c r="BZ82" i="5" s="1"/>
  <c r="BZ83" i="5" s="1"/>
  <c r="BZ84" i="5" s="1"/>
  <c r="BZ85" i="5" s="1"/>
  <c r="BZ89" i="5" s="1"/>
  <c r="BZ90" i="5" s="1"/>
  <c r="BZ93" i="5" s="1"/>
  <c r="CA92" i="5"/>
  <c r="CA72" i="5" s="1"/>
  <c r="CA75" i="5" s="1"/>
  <c r="CA33" i="5"/>
  <c r="BZ98" i="5"/>
  <c r="BZ100" i="5" s="1"/>
  <c r="BZ103" i="5" s="1"/>
  <c r="CA96" i="5" s="1"/>
  <c r="CA97" i="5"/>
  <c r="CA25" i="5"/>
  <c r="CA62" i="5"/>
  <c r="CA73" i="5"/>
  <c r="BZ49" i="5"/>
  <c r="BZ15" i="5"/>
  <c r="BZ17" i="5" s="1"/>
  <c r="BZ19" i="5" s="1"/>
  <c r="BZ20" i="5" s="1"/>
  <c r="CA8" i="5" s="1"/>
  <c r="BZ8" i="5"/>
  <c r="BZ9" i="5" s="1"/>
  <c r="CA6" i="5" s="1"/>
  <c r="BZ28" i="5"/>
  <c r="BZ29" i="5" s="1"/>
  <c r="CA45" i="5" l="1"/>
  <c r="CA63" i="5"/>
  <c r="CA66" i="5" s="1"/>
  <c r="CA36" i="5"/>
  <c r="CA37" i="5" s="1"/>
  <c r="CA38" i="5" s="1"/>
  <c r="CA40" i="5" s="1"/>
  <c r="CA41" i="5" s="1"/>
  <c r="CA47" i="5" s="1"/>
  <c r="CA91" i="5"/>
  <c r="CB18" i="5"/>
  <c r="CA53" i="5"/>
  <c r="CA67" i="5" s="1"/>
  <c r="CA78" i="5"/>
  <c r="CA79" i="5" s="1"/>
  <c r="CB44" i="5"/>
  <c r="CB12" i="5" s="1"/>
  <c r="CA23" i="5"/>
  <c r="CA27" i="5" s="1"/>
  <c r="CA28" i="5" s="1"/>
  <c r="CA29" i="5" s="1"/>
  <c r="CB23" i="5" s="1"/>
  <c r="CA7" i="5"/>
  <c r="CA9" i="5" s="1"/>
  <c r="CB6" i="5" s="1"/>
  <c r="CA13" i="5"/>
  <c r="CB46" i="5" l="1"/>
  <c r="CB51" i="5"/>
  <c r="CB52" i="5" s="1"/>
  <c r="CB57" i="5"/>
  <c r="CB56" i="5" s="1"/>
  <c r="CB60" i="5" s="1"/>
  <c r="CB62" i="5" s="1"/>
  <c r="CA68" i="5"/>
  <c r="CA15" i="5"/>
  <c r="CA17" i="5" s="1"/>
  <c r="CA19" i="5" s="1"/>
  <c r="CB7" i="5"/>
  <c r="CA49" i="5"/>
  <c r="CB73" i="5"/>
  <c r="CA80" i="5"/>
  <c r="CA81" i="5" s="1"/>
  <c r="CA82" i="5" s="1"/>
  <c r="CA83" i="5" s="1"/>
  <c r="CA84" i="5" s="1"/>
  <c r="CA85" i="5" s="1"/>
  <c r="CA89" i="5" s="1"/>
  <c r="CA90" i="5" s="1"/>
  <c r="CA93" i="5" s="1"/>
  <c r="CB92" i="5"/>
  <c r="CB72" i="5" s="1"/>
  <c r="CB75" i="5" s="1"/>
  <c r="CB25" i="5"/>
  <c r="CB32" i="5"/>
  <c r="CB97" i="5"/>
  <c r="CB102" i="5"/>
  <c r="CB104" i="5" s="1"/>
  <c r="CB34" i="5"/>
  <c r="CA98" i="5"/>
  <c r="CA100" i="5" s="1"/>
  <c r="CA103" i="5" s="1"/>
  <c r="CB96" i="5" s="1"/>
  <c r="CB24" i="5"/>
  <c r="CB33" i="5"/>
  <c r="CB63" i="5" l="1"/>
  <c r="CB66" i="5" s="1"/>
  <c r="CA20" i="5"/>
  <c r="CB8" i="5" s="1"/>
  <c r="CB9" i="5" s="1"/>
  <c r="CC6" i="5" s="1"/>
  <c r="CB13" i="5"/>
  <c r="CB36" i="5"/>
  <c r="CB37" i="5" s="1"/>
  <c r="CB38" i="5" s="1"/>
  <c r="CB40" i="5" s="1"/>
  <c r="CC32" i="5" s="1"/>
  <c r="CB45" i="5"/>
  <c r="CB27" i="5"/>
  <c r="CC44" i="5"/>
  <c r="CC12" i="5" s="1"/>
  <c r="CC18" i="5"/>
  <c r="CB78" i="5"/>
  <c r="CB79" i="5" s="1"/>
  <c r="CB53" i="5"/>
  <c r="CB67" i="5" s="1"/>
  <c r="CB91" i="5"/>
  <c r="CB28" i="5" l="1"/>
  <c r="CB29" i="5" s="1"/>
  <c r="CC23" i="5" s="1"/>
  <c r="CB68" i="5"/>
  <c r="CB41" i="5"/>
  <c r="CB47" i="5" s="1"/>
  <c r="CC46" i="5" l="1"/>
  <c r="CC51" i="5"/>
  <c r="CC52" i="5" s="1"/>
  <c r="CC57" i="5"/>
  <c r="CC56" i="5" s="1"/>
  <c r="CC60" i="5" s="1"/>
  <c r="CC62" i="5" s="1"/>
  <c r="CC97" i="5"/>
  <c r="CB98" i="5"/>
  <c r="CB100" i="5" s="1"/>
  <c r="CB103" i="5" s="1"/>
  <c r="CC96" i="5" s="1"/>
  <c r="CC92" i="5"/>
  <c r="CC72" i="5" s="1"/>
  <c r="CC75" i="5" s="1"/>
  <c r="CB80" i="5"/>
  <c r="CB81" i="5" s="1"/>
  <c r="CB82" i="5" s="1"/>
  <c r="CB83" i="5" s="1"/>
  <c r="CB84" i="5" s="1"/>
  <c r="CB85" i="5" s="1"/>
  <c r="CB89" i="5" s="1"/>
  <c r="CB90" i="5" s="1"/>
  <c r="CB93" i="5" s="1"/>
  <c r="CC25" i="5"/>
  <c r="CB49" i="5"/>
  <c r="CC7" i="5"/>
  <c r="CC34" i="5"/>
  <c r="CC24" i="5"/>
  <c r="CC33" i="5"/>
  <c r="CB15" i="5"/>
  <c r="CB17" i="5" s="1"/>
  <c r="CB19" i="5" s="1"/>
  <c r="CB20" i="5" s="1"/>
  <c r="CC8" i="5" s="1"/>
  <c r="CC9" i="5" s="1"/>
  <c r="CD6" i="5" s="1"/>
  <c r="CC63" i="5" l="1"/>
  <c r="CC66" i="5" s="1"/>
  <c r="CC91" i="5"/>
  <c r="CC73" i="5"/>
  <c r="CC27" i="5"/>
  <c r="CC28" i="5" s="1"/>
  <c r="CC29" i="5" s="1"/>
  <c r="CD23" i="5" s="1"/>
  <c r="CC53" i="5"/>
  <c r="CC67" i="5" s="1"/>
  <c r="CC45" i="5"/>
  <c r="CD44" i="5"/>
  <c r="CD12" i="5" s="1"/>
  <c r="CC78" i="5"/>
  <c r="CC79" i="5" s="1"/>
  <c r="CD18" i="5"/>
  <c r="CC36" i="5"/>
  <c r="CC37" i="5" s="1"/>
  <c r="CC38" i="5" s="1"/>
  <c r="CC40" i="5" s="1"/>
  <c r="CD32" i="5" s="1"/>
  <c r="CC13" i="5"/>
  <c r="CC68" i="5" l="1"/>
  <c r="CC41" i="5"/>
  <c r="CC47" i="5" s="1"/>
  <c r="CD46" i="5" l="1"/>
  <c r="CD57" i="5"/>
  <c r="CD56" i="5" s="1"/>
  <c r="CD60" i="5" s="1"/>
  <c r="CD62" i="5" s="1"/>
  <c r="CC80" i="5"/>
  <c r="CC81" i="5" s="1"/>
  <c r="CC82" i="5" s="1"/>
  <c r="CC83" i="5" s="1"/>
  <c r="CC84" i="5" s="1"/>
  <c r="CC85" i="5" s="1"/>
  <c r="CC89" i="5" s="1"/>
  <c r="CC90" i="5" s="1"/>
  <c r="CC93" i="5" s="1"/>
  <c r="CD25" i="5"/>
  <c r="CC98" i="5"/>
  <c r="CC100" i="5" s="1"/>
  <c r="CC103" i="5" s="1"/>
  <c r="CD96" i="5" s="1"/>
  <c r="CD7" i="5"/>
  <c r="CD24" i="5"/>
  <c r="CD33" i="5"/>
  <c r="CD34" i="5"/>
  <c r="CC49" i="5"/>
  <c r="CD97" i="5"/>
  <c r="CC15" i="5"/>
  <c r="CC17" i="5" s="1"/>
  <c r="CC19" i="5" s="1"/>
  <c r="CC20" i="5" s="1"/>
  <c r="CD8" i="5" s="1"/>
  <c r="CD63" i="5" l="1"/>
  <c r="CD66" i="5" s="1"/>
  <c r="CD36" i="5"/>
  <c r="CD37" i="5" s="1"/>
  <c r="CD38" i="5" s="1"/>
  <c r="CD40" i="5" s="1"/>
  <c r="CD41" i="5" s="1"/>
  <c r="CD47" i="5" s="1"/>
  <c r="CD9" i="5"/>
  <c r="CE6" i="5" s="1"/>
  <c r="CD27" i="5"/>
  <c r="CD28" i="5" s="1"/>
  <c r="CD29" i="5" s="1"/>
  <c r="CE23" i="5" s="1"/>
  <c r="CC102" i="5"/>
  <c r="CC104" i="5" s="1"/>
  <c r="CD45" i="5"/>
  <c r="CD13" i="5"/>
  <c r="CE57" i="5" l="1"/>
  <c r="CE56" i="5" s="1"/>
  <c r="CE60" i="5" s="1"/>
  <c r="CE62" i="5" s="1"/>
  <c r="CE32" i="5"/>
  <c r="CD15" i="5"/>
  <c r="CD17" i="5" s="1"/>
  <c r="CD19" i="5" s="1"/>
  <c r="CD20" i="5" s="1"/>
  <c r="CE33" i="5"/>
  <c r="CD98" i="5"/>
  <c r="CD100" i="5" s="1"/>
  <c r="CD102" i="5" s="1"/>
  <c r="CD104" i="5" s="1"/>
  <c r="CE34" i="5"/>
  <c r="CE25" i="5"/>
  <c r="CE7" i="5"/>
  <c r="CE97" i="5"/>
  <c r="CE24" i="5"/>
  <c r="CE27" i="5" l="1"/>
  <c r="CD49" i="5"/>
  <c r="CD51" i="5" s="1"/>
  <c r="CE46" i="5" s="1"/>
  <c r="CE63" i="5"/>
  <c r="CE66" i="5" s="1"/>
  <c r="CE8" i="5"/>
  <c r="CE9" i="5" s="1"/>
  <c r="CF6" i="5" s="1"/>
  <c r="CE36" i="5"/>
  <c r="CE37" i="5" s="1"/>
  <c r="CE38" i="5" s="1"/>
  <c r="CE40" i="5" s="1"/>
  <c r="CE41" i="5" s="1"/>
  <c r="CE47" i="5" s="1"/>
  <c r="CD103" i="5"/>
  <c r="CE96" i="5" s="1"/>
  <c r="CD52" i="5" l="1"/>
  <c r="CE44" i="5"/>
  <c r="CE12" i="5" s="1"/>
  <c r="CE13" i="5" s="1"/>
  <c r="CE18" i="5"/>
  <c r="CD53" i="5"/>
  <c r="CD67" i="5" s="1"/>
  <c r="CD68" i="5" s="1"/>
  <c r="CD78" i="5"/>
  <c r="CD79" i="5" s="1"/>
  <c r="CD80" i="5" s="1"/>
  <c r="CD81" i="5" s="1"/>
  <c r="CD82" i="5" s="1"/>
  <c r="CD83" i="5" s="1"/>
  <c r="CD84" i="5" s="1"/>
  <c r="CD85" i="5" s="1"/>
  <c r="CD89" i="5" s="1"/>
  <c r="CD90" i="5" s="1"/>
  <c r="CD92" i="5" s="1"/>
  <c r="CD72" i="5" s="1"/>
  <c r="CF57" i="5"/>
  <c r="CF56" i="5" s="1"/>
  <c r="CF60" i="5" s="1"/>
  <c r="CF62" i="5" s="1"/>
  <c r="CE15" i="5"/>
  <c r="CE28" i="5"/>
  <c r="CE29" i="5" s="1"/>
  <c r="CF23" i="5" s="1"/>
  <c r="CF33" i="5"/>
  <c r="CF32" i="5"/>
  <c r="CF97" i="5"/>
  <c r="CE98" i="5"/>
  <c r="CE100" i="5" s="1"/>
  <c r="CF25" i="5"/>
  <c r="CF34" i="5"/>
  <c r="CF24" i="5"/>
  <c r="CE17" i="5" l="1"/>
  <c r="CE19" i="5" s="1"/>
  <c r="CE20" i="5" s="1"/>
  <c r="CF8" i="5" s="1"/>
  <c r="CE45" i="5"/>
  <c r="CE49" i="5" s="1"/>
  <c r="CE51" i="5" s="1"/>
  <c r="CF46" i="5" s="1"/>
  <c r="CF7" i="5"/>
  <c r="CF63" i="5"/>
  <c r="CF66" i="5" s="1"/>
  <c r="CF36" i="5"/>
  <c r="CF37" i="5" s="1"/>
  <c r="CF38" i="5" s="1"/>
  <c r="CF40" i="5" s="1"/>
  <c r="CF41" i="5" s="1"/>
  <c r="CF47" i="5" s="1"/>
  <c r="CF27" i="5"/>
  <c r="CD73" i="5"/>
  <c r="CD75" i="5"/>
  <c r="CE102" i="5"/>
  <c r="CE104" i="5" s="1"/>
  <c r="CD93" i="5"/>
  <c r="CE52" i="5" l="1"/>
  <c r="CE78" i="5"/>
  <c r="CE79" i="5" s="1"/>
  <c r="CE80" i="5" s="1"/>
  <c r="CF28" i="5"/>
  <c r="CF29" i="5" s="1"/>
  <c r="CE53" i="5"/>
  <c r="CE67" i="5" s="1"/>
  <c r="CE68" i="5" s="1"/>
  <c r="CF9" i="5"/>
  <c r="CG6" i="5" s="1"/>
  <c r="CF18" i="5"/>
  <c r="CF44" i="5"/>
  <c r="CF12" i="5" s="1"/>
  <c r="CF13" i="5" s="1"/>
  <c r="CG57" i="5"/>
  <c r="CG56" i="5" s="1"/>
  <c r="CG60" i="5" s="1"/>
  <c r="CG62" i="5" s="1"/>
  <c r="CF15" i="5"/>
  <c r="CG33" i="5"/>
  <c r="CG25" i="5"/>
  <c r="CG102" i="5"/>
  <c r="CG104" i="5" s="1"/>
  <c r="CF98" i="5"/>
  <c r="CG97" i="5"/>
  <c r="CG24" i="5"/>
  <c r="CG34" i="5"/>
  <c r="CG32" i="5"/>
  <c r="CE103" i="5"/>
  <c r="CF96" i="5" s="1"/>
  <c r="CD91" i="5"/>
  <c r="CE81" i="5" l="1"/>
  <c r="CE82" i="5" s="1"/>
  <c r="CE83" i="5" s="1"/>
  <c r="CE84" i="5" s="1"/>
  <c r="CE85" i="5" s="1"/>
  <c r="CE89" i="5" s="1"/>
  <c r="CE90" i="5" s="1"/>
  <c r="CE92" i="5" s="1"/>
  <c r="CE72" i="5" s="1"/>
  <c r="CF17" i="5"/>
  <c r="CF19" i="5" s="1"/>
  <c r="CF20" i="5" s="1"/>
  <c r="CG8" i="5" s="1"/>
  <c r="CF45" i="5"/>
  <c r="CG63" i="5"/>
  <c r="CG66" i="5" s="1"/>
  <c r="CG36" i="5"/>
  <c r="CG37" i="5" s="1"/>
  <c r="CG38" i="5" s="1"/>
  <c r="CG40" i="5" s="1"/>
  <c r="CF100" i="5"/>
  <c r="CF102" i="5" s="1"/>
  <c r="CF104" i="5" s="1"/>
  <c r="CG23" i="5"/>
  <c r="CG27" i="5" s="1"/>
  <c r="CG7" i="5"/>
  <c r="CF51" i="5" l="1"/>
  <c r="CF49" i="5"/>
  <c r="CG28" i="5"/>
  <c r="CG29" i="5" s="1"/>
  <c r="CH23" i="5" s="1"/>
  <c r="CG9" i="5"/>
  <c r="CH6" i="5" s="1"/>
  <c r="CH32" i="5"/>
  <c r="CE73" i="5"/>
  <c r="CE75" i="5"/>
  <c r="CF103" i="5"/>
  <c r="CG96" i="5" s="1"/>
  <c r="CF52" i="5" l="1"/>
  <c r="CG46" i="5"/>
  <c r="CG44" i="5"/>
  <c r="CG12" i="5" s="1"/>
  <c r="CG13" i="5" s="1"/>
  <c r="CF53" i="5"/>
  <c r="CF67" i="5" s="1"/>
  <c r="CF68" i="5" s="1"/>
  <c r="CG18" i="5"/>
  <c r="CF78" i="5"/>
  <c r="CF79" i="5" s="1"/>
  <c r="CF80" i="5" s="1"/>
  <c r="CF81" i="5" s="1"/>
  <c r="CF82" i="5" s="1"/>
  <c r="CG41" i="5"/>
  <c r="CG47" i="5" s="1"/>
  <c r="CE93" i="5"/>
  <c r="CE91" i="5"/>
  <c r="CH46" i="5" l="1"/>
  <c r="CG45" i="5"/>
  <c r="CH51" i="5"/>
  <c r="CH52" i="5" s="1"/>
  <c r="CH57" i="5"/>
  <c r="CH56" i="5" s="1"/>
  <c r="CH60" i="5" s="1"/>
  <c r="CH62" i="5" s="1"/>
  <c r="CG15" i="5"/>
  <c r="CG17" i="5" s="1"/>
  <c r="CG19" i="5" s="1"/>
  <c r="CG20" i="5" s="1"/>
  <c r="CH33" i="5"/>
  <c r="CH97" i="5"/>
  <c r="CH92" i="5"/>
  <c r="CH91" i="5" s="1"/>
  <c r="CH25" i="5"/>
  <c r="CH102" i="5"/>
  <c r="CH104" i="5" s="1"/>
  <c r="CH34" i="5"/>
  <c r="CG98" i="5"/>
  <c r="CG100" i="5" s="1"/>
  <c r="CG103" i="5" s="1"/>
  <c r="CH96" i="5" s="1"/>
  <c r="CH24" i="5"/>
  <c r="CH7" i="5"/>
  <c r="CF83" i="5"/>
  <c r="CF84" i="5" s="1"/>
  <c r="CF85" i="5" s="1"/>
  <c r="CF89" i="5" s="1"/>
  <c r="CF90" i="5" s="1"/>
  <c r="CG49" i="5" l="1"/>
  <c r="CG51" i="5" s="1"/>
  <c r="CG52" i="5" s="1"/>
  <c r="CH63" i="5"/>
  <c r="CH66" i="5" s="1"/>
  <c r="CH8" i="5"/>
  <c r="CH9" i="5" s="1"/>
  <c r="CI6" i="5" s="1"/>
  <c r="CH36" i="5"/>
  <c r="CH37" i="5" s="1"/>
  <c r="CH38" i="5" s="1"/>
  <c r="CH40" i="5" s="1"/>
  <c r="CH41" i="5" s="1"/>
  <c r="CH47" i="5" s="1"/>
  <c r="CH27" i="5"/>
  <c r="CH78" i="5"/>
  <c r="CH53" i="5"/>
  <c r="CH67" i="5" s="1"/>
  <c r="CI18" i="5"/>
  <c r="CI46" i="5" l="1"/>
  <c r="CI51" i="5"/>
  <c r="CI52" i="5" s="1"/>
  <c r="CH18" i="5"/>
  <c r="CI57" i="5"/>
  <c r="CI56" i="5" s="1"/>
  <c r="CI60" i="5" s="1"/>
  <c r="CI62" i="5" s="1"/>
  <c r="CH15" i="5"/>
  <c r="CH28" i="5"/>
  <c r="CH29" i="5" s="1"/>
  <c r="CI23" i="5" s="1"/>
  <c r="CG53" i="5"/>
  <c r="CG67" i="5" s="1"/>
  <c r="CG68" i="5" s="1"/>
  <c r="CH68" i="5" s="1"/>
  <c r="CH44" i="5"/>
  <c r="CH12" i="5" s="1"/>
  <c r="CH13" i="5" s="1"/>
  <c r="CG78" i="5"/>
  <c r="CI32" i="5"/>
  <c r="CI33" i="5"/>
  <c r="CI97" i="5"/>
  <c r="CH98" i="5"/>
  <c r="CH100" i="5" s="1"/>
  <c r="CH103" i="5" s="1"/>
  <c r="CF93" i="5"/>
  <c r="CF92" i="5"/>
  <c r="CF72" i="5" s="1"/>
  <c r="CI92" i="5"/>
  <c r="CI34" i="5"/>
  <c r="CI24" i="5"/>
  <c r="CI102" i="5"/>
  <c r="CI104" i="5" s="1"/>
  <c r="CI25" i="5"/>
  <c r="CI63" i="5" l="1"/>
  <c r="CI66" i="5" s="1"/>
  <c r="CI7" i="5"/>
  <c r="CH17" i="5"/>
  <c r="CH19" i="5" s="1"/>
  <c r="CH20" i="5" s="1"/>
  <c r="CH45" i="5"/>
  <c r="CH49" i="5" s="1"/>
  <c r="CI44" i="5"/>
  <c r="CI12" i="5" s="1"/>
  <c r="CG79" i="5"/>
  <c r="CG80" i="5" s="1"/>
  <c r="CF73" i="5"/>
  <c r="CF75" i="5"/>
  <c r="CJ18" i="5"/>
  <c r="CI36" i="5"/>
  <c r="CI37" i="5" s="1"/>
  <c r="CI38" i="5" s="1"/>
  <c r="CI40" i="5" s="1"/>
  <c r="CI96" i="5"/>
  <c r="CI91" i="5"/>
  <c r="CF91" i="5"/>
  <c r="CI27" i="5"/>
  <c r="CI53" i="5"/>
  <c r="CI67" i="5" s="1"/>
  <c r="CI78" i="5"/>
  <c r="CI68" i="5" l="1"/>
  <c r="CI8" i="5"/>
  <c r="CI9" i="5" s="1"/>
  <c r="CJ6" i="5" s="1"/>
  <c r="CI13" i="5"/>
  <c r="CJ44" i="5"/>
  <c r="CJ12" i="5" s="1"/>
  <c r="CI45" i="5"/>
  <c r="CH79" i="5"/>
  <c r="CG81" i="5"/>
  <c r="CJ32" i="5"/>
  <c r="CI28" i="5" l="1"/>
  <c r="CI29" i="5" s="1"/>
  <c r="CJ23" i="5" s="1"/>
  <c r="CG82" i="5"/>
  <c r="CG83" i="5" s="1"/>
  <c r="CG84" i="5" s="1"/>
  <c r="CG85" i="5" s="1"/>
  <c r="CG89" i="5" s="1"/>
  <c r="CG90" i="5" s="1"/>
  <c r="CH80" i="5"/>
  <c r="CI79" i="5" s="1"/>
  <c r="CI41" i="5"/>
  <c r="CI47" i="5" s="1"/>
  <c r="CJ46" i="5" l="1"/>
  <c r="CI49" i="5"/>
  <c r="CJ57" i="5"/>
  <c r="CJ56" i="5" s="1"/>
  <c r="CJ60" i="5" s="1"/>
  <c r="CJ62" i="5" s="1"/>
  <c r="CI15" i="5"/>
  <c r="CI17" i="5" s="1"/>
  <c r="CI19" i="5" s="1"/>
  <c r="CI20" i="5" s="1"/>
  <c r="CH81" i="5"/>
  <c r="CH82" i="5" s="1"/>
  <c r="CG92" i="5"/>
  <c r="CG93" i="5"/>
  <c r="CJ33" i="5"/>
  <c r="CJ97" i="5"/>
  <c r="CJ92" i="5"/>
  <c r="CJ91" i="5" s="1"/>
  <c r="CI98" i="5"/>
  <c r="CI100" i="5" s="1"/>
  <c r="CI103" i="5" s="1"/>
  <c r="CJ96" i="5" s="1"/>
  <c r="CJ25" i="5"/>
  <c r="CJ102" i="5"/>
  <c r="CJ104" i="5" s="1"/>
  <c r="CI80" i="5"/>
  <c r="CJ34" i="5"/>
  <c r="CJ7" i="5"/>
  <c r="CJ24" i="5"/>
  <c r="CJ63" i="5" l="1"/>
  <c r="CJ66" i="5" s="1"/>
  <c r="CJ8" i="5"/>
  <c r="CJ9" i="5" s="1"/>
  <c r="CK6" i="5" s="1"/>
  <c r="CI81" i="5"/>
  <c r="CI82" i="5" s="1"/>
  <c r="CG91" i="5"/>
  <c r="CG72" i="5"/>
  <c r="CH83" i="5"/>
  <c r="CH84" i="5" s="1"/>
  <c r="CH85" i="5" s="1"/>
  <c r="CH89" i="5" s="1"/>
  <c r="CH90" i="5" s="1"/>
  <c r="CH93" i="5" s="1"/>
  <c r="CJ36" i="5"/>
  <c r="CJ37" i="5" s="1"/>
  <c r="CJ38" i="5" s="1"/>
  <c r="CJ40" i="5" s="1"/>
  <c r="CK32" i="5" s="1"/>
  <c r="CJ45" i="5"/>
  <c r="CJ27" i="5"/>
  <c r="CJ13" i="5"/>
  <c r="CJ28" i="5" l="1"/>
  <c r="CJ29" i="5" s="1"/>
  <c r="CK23" i="5" s="1"/>
  <c r="CG75" i="5"/>
  <c r="CG73" i="5"/>
  <c r="CH72" i="5" s="1"/>
  <c r="CI83" i="5"/>
  <c r="CI84" i="5" s="1"/>
  <c r="CI85" i="5" s="1"/>
  <c r="CI89" i="5" s="1"/>
  <c r="CI90" i="5" s="1"/>
  <c r="CI93" i="5" s="1"/>
  <c r="CJ41" i="5"/>
  <c r="CJ47" i="5" s="1"/>
  <c r="CK57" i="5" l="1"/>
  <c r="CK56" i="5" s="1"/>
  <c r="CK60" i="5" s="1"/>
  <c r="CK62" i="5" s="1"/>
  <c r="CJ15" i="5"/>
  <c r="CJ17" i="5" s="1"/>
  <c r="CJ19" i="5" s="1"/>
  <c r="CJ20" i="5" s="1"/>
  <c r="CJ49" i="5"/>
  <c r="CJ51" i="5" s="1"/>
  <c r="CJ52" i="5" s="1"/>
  <c r="CH75" i="5"/>
  <c r="CH73" i="5"/>
  <c r="CI72" i="5" s="1"/>
  <c r="CK33" i="5"/>
  <c r="CK97" i="5"/>
  <c r="CK92" i="5"/>
  <c r="CK7" i="5"/>
  <c r="CK24" i="5"/>
  <c r="CK102" i="5"/>
  <c r="CK104" i="5" s="1"/>
  <c r="CK34" i="5"/>
  <c r="CJ98" i="5"/>
  <c r="CJ100" i="5" s="1"/>
  <c r="CJ103" i="5" s="1"/>
  <c r="CK96" i="5" s="1"/>
  <c r="CK25" i="5"/>
  <c r="CK46" i="5" l="1"/>
  <c r="CK63" i="5"/>
  <c r="CK66" i="5" s="1"/>
  <c r="CK8" i="5"/>
  <c r="CK9" i="5" s="1"/>
  <c r="CL6" i="5" s="1"/>
  <c r="CI75" i="5"/>
  <c r="CI73" i="5"/>
  <c r="CJ72" i="5" s="1"/>
  <c r="CK36" i="5"/>
  <c r="CK37" i="5" s="1"/>
  <c r="CK38" i="5" s="1"/>
  <c r="CK40" i="5" s="1"/>
  <c r="CL32" i="5" s="1"/>
  <c r="CK91" i="5"/>
  <c r="CK27" i="5"/>
  <c r="CK28" i="5" s="1"/>
  <c r="CK29" i="5" s="1"/>
  <c r="CL23" i="5" s="1"/>
  <c r="CK44" i="5"/>
  <c r="CK12" i="5" s="1"/>
  <c r="CK13" i="5" s="1"/>
  <c r="CJ78" i="5"/>
  <c r="CJ79" i="5" s="1"/>
  <c r="CJ80" i="5" s="1"/>
  <c r="CJ81" i="5" s="1"/>
  <c r="CJ53" i="5"/>
  <c r="CJ67" i="5" s="1"/>
  <c r="CJ68" i="5" s="1"/>
  <c r="CK18" i="5" l="1"/>
  <c r="CJ73" i="5"/>
  <c r="CK72" i="5" s="1"/>
  <c r="CJ75" i="5"/>
  <c r="CK45" i="5"/>
  <c r="CJ82" i="5"/>
  <c r="CJ83" i="5" s="1"/>
  <c r="CJ84" i="5" s="1"/>
  <c r="CJ85" i="5" s="1"/>
  <c r="CJ89" i="5" s="1"/>
  <c r="CJ90" i="5" s="1"/>
  <c r="CJ93" i="5" s="1"/>
  <c r="CK41" i="5"/>
  <c r="CK47" i="5" s="1"/>
  <c r="CL57" i="5" l="1"/>
  <c r="CL56" i="5" s="1"/>
  <c r="CL60" i="5" s="1"/>
  <c r="CL62" i="5" s="1"/>
  <c r="CK15" i="5"/>
  <c r="CK17" i="5" s="1"/>
  <c r="CK19" i="5" s="1"/>
  <c r="CK20" i="5" s="1"/>
  <c r="CK49" i="5"/>
  <c r="CK51" i="5" s="1"/>
  <c r="CK52" i="5" s="1"/>
  <c r="CK75" i="5"/>
  <c r="CK73" i="5"/>
  <c r="CL33" i="5"/>
  <c r="CL97" i="5"/>
  <c r="CL25" i="5"/>
  <c r="CL102" i="5"/>
  <c r="CL104" i="5" s="1"/>
  <c r="CL92" i="5"/>
  <c r="CL34" i="5"/>
  <c r="CK98" i="5"/>
  <c r="CK100" i="5" s="1"/>
  <c r="CK103" i="5" s="1"/>
  <c r="CL96" i="5" s="1"/>
  <c r="CL7" i="5"/>
  <c r="CL24" i="5"/>
  <c r="CL46" i="5" l="1"/>
  <c r="CL63" i="5"/>
  <c r="CL66" i="5" s="1"/>
  <c r="CL8" i="5"/>
  <c r="CL9" i="5" s="1"/>
  <c r="CM6" i="5" s="1"/>
  <c r="CL72" i="5"/>
  <c r="CL73" i="5" s="1"/>
  <c r="CL91" i="5"/>
  <c r="CL27" i="5"/>
  <c r="CL36" i="5"/>
  <c r="CL37" i="5" s="1"/>
  <c r="CL38" i="5" s="1"/>
  <c r="CL40" i="5" s="1"/>
  <c r="CK78" i="5" l="1"/>
  <c r="CK79" i="5" s="1"/>
  <c r="CK80" i="5" s="1"/>
  <c r="CK53" i="5"/>
  <c r="CK67" i="5" s="1"/>
  <c r="CK68" i="5" s="1"/>
  <c r="CL44" i="5"/>
  <c r="CL18" i="5"/>
  <c r="CL28" i="5"/>
  <c r="CL29" i="5" s="1"/>
  <c r="CM23" i="5" s="1"/>
  <c r="CL75" i="5"/>
  <c r="CL41" i="5"/>
  <c r="CL47" i="5" s="1"/>
  <c r="CK81" i="5" l="1"/>
  <c r="CK82" i="5" s="1"/>
  <c r="CK83" i="5" s="1"/>
  <c r="CK84" i="5" s="1"/>
  <c r="CK85" i="5" s="1"/>
  <c r="CK89" i="5" s="1"/>
  <c r="CK90" i="5" s="1"/>
  <c r="CK93" i="5" s="1"/>
  <c r="CL12" i="5"/>
  <c r="CL13" i="5" s="1"/>
  <c r="CL45" i="5"/>
  <c r="CM57" i="5"/>
  <c r="CM56" i="5" s="1"/>
  <c r="CM60" i="5" s="1"/>
  <c r="CM62" i="5" s="1"/>
  <c r="CL15" i="5"/>
  <c r="CM33" i="5"/>
  <c r="CL98" i="5"/>
  <c r="CL100" i="5" s="1"/>
  <c r="CL103" i="5" s="1"/>
  <c r="CM96" i="5" s="1"/>
  <c r="CM24" i="5"/>
  <c r="CM102" i="5"/>
  <c r="CM104" i="5" s="1"/>
  <c r="CM97" i="5"/>
  <c r="CM7" i="5"/>
  <c r="CM34" i="5"/>
  <c r="CM25" i="5"/>
  <c r="CM92" i="5"/>
  <c r="CM72" i="5" s="1"/>
  <c r="CM73" i="5" s="1"/>
  <c r="CM32" i="5"/>
  <c r="CL17" i="5" l="1"/>
  <c r="CL19" i="5" s="1"/>
  <c r="CL20" i="5" s="1"/>
  <c r="CM8" i="5" s="1"/>
  <c r="CM9" i="5" s="1"/>
  <c r="CN6" i="5" s="1"/>
  <c r="CL49" i="5"/>
  <c r="CL51" i="5" s="1"/>
  <c r="CM63" i="5"/>
  <c r="CM66" i="5" s="1"/>
  <c r="CM27" i="5"/>
  <c r="CM36" i="5"/>
  <c r="CM37" i="5" s="1"/>
  <c r="CM38" i="5" s="1"/>
  <c r="CM40" i="5" s="1"/>
  <c r="CN32" i="5" s="1"/>
  <c r="CM91" i="5"/>
  <c r="CM75" i="5"/>
  <c r="CL52" i="5" l="1"/>
  <c r="CM46" i="5"/>
  <c r="CM44" i="5"/>
  <c r="CM12" i="5" s="1"/>
  <c r="CM13" i="5" s="1"/>
  <c r="CM28" i="5"/>
  <c r="CM29" i="5" s="1"/>
  <c r="CN23" i="5" s="1"/>
  <c r="CM41" i="5"/>
  <c r="CM47" i="5" s="1"/>
  <c r="CN46" i="5" l="1"/>
  <c r="CN51" i="5"/>
  <c r="CN52" i="5" s="1"/>
  <c r="CM45" i="5"/>
  <c r="CM18" i="5"/>
  <c r="CL78" i="5"/>
  <c r="CL79" i="5" s="1"/>
  <c r="CL80" i="5" s="1"/>
  <c r="CL81" i="5" s="1"/>
  <c r="CL53" i="5"/>
  <c r="CL67" i="5" s="1"/>
  <c r="CL68" i="5" s="1"/>
  <c r="CN57" i="5"/>
  <c r="CN56" i="5" s="1"/>
  <c r="CN60" i="5" s="1"/>
  <c r="CN62" i="5" s="1"/>
  <c r="CM15" i="5"/>
  <c r="CM17" i="5" s="1"/>
  <c r="CN33" i="5"/>
  <c r="CN102" i="5"/>
  <c r="CN104" i="5" s="1"/>
  <c r="CN25" i="5"/>
  <c r="CM98" i="5"/>
  <c r="CM100" i="5" s="1"/>
  <c r="CM103" i="5" s="1"/>
  <c r="CN96" i="5" s="1"/>
  <c r="CN34" i="5"/>
  <c r="CN24" i="5"/>
  <c r="CN97" i="5"/>
  <c r="CN92" i="5"/>
  <c r="CN72" i="5" s="1"/>
  <c r="CN75" i="5" s="1"/>
  <c r="CN7" i="5"/>
  <c r="CL82" i="5" l="1"/>
  <c r="CL83" i="5" s="1"/>
  <c r="CL84" i="5" s="1"/>
  <c r="CL85" i="5" s="1"/>
  <c r="CL89" i="5" s="1"/>
  <c r="CL90" i="5" s="1"/>
  <c r="CL93" i="5" s="1"/>
  <c r="CM19" i="5"/>
  <c r="CM20" i="5" s="1"/>
  <c r="CN8" i="5" s="1"/>
  <c r="CN9" i="5" s="1"/>
  <c r="CO6" i="5" s="1"/>
  <c r="CM49" i="5"/>
  <c r="CM51" i="5" s="1"/>
  <c r="CM52" i="5" s="1"/>
  <c r="CN63" i="5"/>
  <c r="CN66" i="5" s="1"/>
  <c r="CN27" i="5"/>
  <c r="CN36" i="5"/>
  <c r="CN37" i="5" s="1"/>
  <c r="CN38" i="5" s="1"/>
  <c r="CN40" i="5" s="1"/>
  <c r="CO32" i="5" s="1"/>
  <c r="CN73" i="5"/>
  <c r="CN53" i="5"/>
  <c r="CN67" i="5" s="1"/>
  <c r="CN78" i="5"/>
  <c r="CO18" i="5"/>
  <c r="CN91" i="5"/>
  <c r="CN28" i="5" l="1"/>
  <c r="CN29" i="5" s="1"/>
  <c r="CO23" i="5" s="1"/>
  <c r="CN41" i="5"/>
  <c r="CN47" i="5" s="1"/>
  <c r="CN18" i="5"/>
  <c r="CN44" i="5"/>
  <c r="CO46" i="5" l="1"/>
  <c r="CO51" i="5"/>
  <c r="CO52" i="5" s="1"/>
  <c r="CM53" i="5"/>
  <c r="CM67" i="5" s="1"/>
  <c r="CM68" i="5" s="1"/>
  <c r="CN68" i="5" s="1"/>
  <c r="CM78" i="5"/>
  <c r="CM79" i="5" s="1"/>
  <c r="CM80" i="5" s="1"/>
  <c r="CN79" i="5" s="1"/>
  <c r="CN80" i="5" s="1"/>
  <c r="CO57" i="5"/>
  <c r="CO56" i="5" s="1"/>
  <c r="CO60" i="5" s="1"/>
  <c r="CO62" i="5" s="1"/>
  <c r="CN15" i="5"/>
  <c r="CN98" i="5"/>
  <c r="CN100" i="5" s="1"/>
  <c r="CN103" i="5" s="1"/>
  <c r="CO96" i="5" s="1"/>
  <c r="CO7" i="5"/>
  <c r="CO92" i="5"/>
  <c r="CO72" i="5" s="1"/>
  <c r="CO75" i="5" s="1"/>
  <c r="CO24" i="5"/>
  <c r="CO25" i="5"/>
  <c r="CO97" i="5"/>
  <c r="CO102" i="5"/>
  <c r="CO104" i="5" s="1"/>
  <c r="CO34" i="5"/>
  <c r="CO33" i="5"/>
  <c r="CN45" i="5"/>
  <c r="CO44" i="5"/>
  <c r="CO12" i="5" s="1"/>
  <c r="CN12" i="5"/>
  <c r="CN13" i="5" s="1"/>
  <c r="CO63" i="5" l="1"/>
  <c r="CO66" i="5" s="1"/>
  <c r="CM81" i="5"/>
  <c r="CN81" i="5" s="1"/>
  <c r="CN49" i="5"/>
  <c r="CO45" i="5" s="1"/>
  <c r="CO73" i="5"/>
  <c r="CO27" i="5"/>
  <c r="CO91" i="5"/>
  <c r="CN17" i="5"/>
  <c r="CN19" i="5" s="1"/>
  <c r="CN20" i="5" s="1"/>
  <c r="CO36" i="5"/>
  <c r="CO37" i="5" s="1"/>
  <c r="CO38" i="5" s="1"/>
  <c r="CO40" i="5" s="1"/>
  <c r="CP32" i="5" s="1"/>
  <c r="CO78" i="5"/>
  <c r="CO79" i="5" s="1"/>
  <c r="CP18" i="5"/>
  <c r="CO53" i="5"/>
  <c r="CO67" i="5" s="1"/>
  <c r="CP44" i="5"/>
  <c r="CP12" i="5" s="1"/>
  <c r="CO68" i="5" l="1"/>
  <c r="CO8" i="5"/>
  <c r="CO9" i="5" s="1"/>
  <c r="CP6" i="5" s="1"/>
  <c r="CM82" i="5"/>
  <c r="CN82" i="5" s="1"/>
  <c r="CO41" i="5"/>
  <c r="CO47" i="5" s="1"/>
  <c r="CP46" i="5" l="1"/>
  <c r="CP57" i="5"/>
  <c r="CP56" i="5" s="1"/>
  <c r="CP60" i="5" s="1"/>
  <c r="CP62" i="5" s="1"/>
  <c r="CO15" i="5"/>
  <c r="CO13" i="5"/>
  <c r="CM83" i="5"/>
  <c r="CM84" i="5" s="1"/>
  <c r="CM85" i="5" s="1"/>
  <c r="CM89" i="5" s="1"/>
  <c r="CM90" i="5" s="1"/>
  <c r="CM93" i="5" s="1"/>
  <c r="CO49" i="5"/>
  <c r="CO28" i="5"/>
  <c r="CO29" i="5" s="1"/>
  <c r="CP23" i="5" s="1"/>
  <c r="CP33" i="5"/>
  <c r="CP92" i="5"/>
  <c r="CP72" i="5" s="1"/>
  <c r="CP75" i="5" s="1"/>
  <c r="CO80" i="5"/>
  <c r="CO81" i="5" s="1"/>
  <c r="CO82" i="5" s="1"/>
  <c r="CP24" i="5"/>
  <c r="CP25" i="5"/>
  <c r="CO98" i="5"/>
  <c r="CO100" i="5" s="1"/>
  <c r="CO103" i="5" s="1"/>
  <c r="CP96" i="5" s="1"/>
  <c r="CP34" i="5"/>
  <c r="CP97" i="5"/>
  <c r="CP63" i="5" l="1"/>
  <c r="CP66" i="5" s="1"/>
  <c r="CO17" i="5"/>
  <c r="CO19" i="5" s="1"/>
  <c r="CO20" i="5" s="1"/>
  <c r="CP8" i="5" s="1"/>
  <c r="CN83" i="5"/>
  <c r="CN84" i="5" s="1"/>
  <c r="CN85" i="5" s="1"/>
  <c r="CN89" i="5" s="1"/>
  <c r="CN90" i="5" s="1"/>
  <c r="CN93" i="5" s="1"/>
  <c r="CP7" i="5"/>
  <c r="CP36" i="5"/>
  <c r="CP37" i="5" s="1"/>
  <c r="CP38" i="5" s="1"/>
  <c r="CP40" i="5" s="1"/>
  <c r="CQ32" i="5" s="1"/>
  <c r="CP27" i="5"/>
  <c r="CP73" i="5"/>
  <c r="CP91" i="5"/>
  <c r="CP45" i="5"/>
  <c r="CP28" i="5" l="1"/>
  <c r="CP29" i="5" s="1"/>
  <c r="CQ23" i="5" s="1"/>
  <c r="CP13" i="5"/>
  <c r="CP9" i="5"/>
  <c r="CQ6" i="5" s="1"/>
  <c r="CO83" i="5"/>
  <c r="CO84" i="5" s="1"/>
  <c r="CO85" i="5" s="1"/>
  <c r="CO89" i="5" s="1"/>
  <c r="CO90" i="5" s="1"/>
  <c r="CO93" i="5" s="1"/>
  <c r="CP41" i="5"/>
  <c r="CP47" i="5" s="1"/>
  <c r="CQ57" i="5" l="1"/>
  <c r="CQ56" i="5" s="1"/>
  <c r="CQ60" i="5" s="1"/>
  <c r="CQ62" i="5" s="1"/>
  <c r="CP15" i="5"/>
  <c r="CP17" i="5" s="1"/>
  <c r="CP19" i="5" s="1"/>
  <c r="CP20" i="5" s="1"/>
  <c r="CP49" i="5"/>
  <c r="CP51" i="5" s="1"/>
  <c r="CP52" i="5" s="1"/>
  <c r="CQ33" i="5"/>
  <c r="CQ7" i="5"/>
  <c r="CQ34" i="5"/>
  <c r="CQ24" i="5"/>
  <c r="CQ25" i="5"/>
  <c r="CP98" i="5"/>
  <c r="CP100" i="5" s="1"/>
  <c r="CP103" i="5" s="1"/>
  <c r="CQ92" i="5"/>
  <c r="CQ72" i="5" s="1"/>
  <c r="CQ73" i="5" s="1"/>
  <c r="CQ97" i="5"/>
  <c r="CQ46" i="5" l="1"/>
  <c r="CQ63" i="5"/>
  <c r="CQ66" i="5" s="1"/>
  <c r="CQ8" i="5"/>
  <c r="CQ9" i="5" s="1"/>
  <c r="CR6" i="5" s="1"/>
  <c r="CQ36" i="5"/>
  <c r="CQ37" i="5" s="1"/>
  <c r="CQ38" i="5" s="1"/>
  <c r="CQ40" i="5" s="1"/>
  <c r="CQ41" i="5" s="1"/>
  <c r="CQ47" i="5" s="1"/>
  <c r="CP102" i="5"/>
  <c r="CP104" i="5" s="1"/>
  <c r="CQ27" i="5"/>
  <c r="CQ28" i="5" s="1"/>
  <c r="CQ29" i="5" s="1"/>
  <c r="CR23" i="5" s="1"/>
  <c r="CQ75" i="5"/>
  <c r="CQ91" i="5"/>
  <c r="CP53" i="5"/>
  <c r="CP67" i="5" s="1"/>
  <c r="CP68" i="5" s="1"/>
  <c r="CQ44" i="5"/>
  <c r="CQ12" i="5" s="1"/>
  <c r="CQ13" i="5" s="1"/>
  <c r="CP78" i="5"/>
  <c r="CP79" i="5" s="1"/>
  <c r="CQ96" i="5"/>
  <c r="CR57" i="5" l="1"/>
  <c r="CR56" i="5" s="1"/>
  <c r="CR60" i="5" s="1"/>
  <c r="CR62" i="5" s="1"/>
  <c r="CQ15" i="5"/>
  <c r="CQ17" i="5" s="1"/>
  <c r="CQ18" i="5"/>
  <c r="CR32" i="5"/>
  <c r="CR33" i="5"/>
  <c r="CP80" i="5"/>
  <c r="CP81" i="5" s="1"/>
  <c r="CP82" i="5" s="1"/>
  <c r="CQ45" i="5"/>
  <c r="CR97" i="5"/>
  <c r="CQ98" i="5"/>
  <c r="CQ100" i="5" s="1"/>
  <c r="CR7" i="5"/>
  <c r="CR92" i="5"/>
  <c r="CR72" i="5" s="1"/>
  <c r="CR25" i="5"/>
  <c r="CR34" i="5"/>
  <c r="CR24" i="5"/>
  <c r="CR63" i="5" l="1"/>
  <c r="CR66" i="5" s="1"/>
  <c r="CQ19" i="5"/>
  <c r="CQ20" i="5" s="1"/>
  <c r="CQ49" i="5"/>
  <c r="CQ51" i="5" s="1"/>
  <c r="CR46" i="5" s="1"/>
  <c r="CP83" i="5"/>
  <c r="CP84" i="5" s="1"/>
  <c r="CP85" i="5" s="1"/>
  <c r="CP89" i="5" s="1"/>
  <c r="CP90" i="5" s="1"/>
  <c r="CP93" i="5" s="1"/>
  <c r="CR73" i="5"/>
  <c r="CR75" i="5"/>
  <c r="CR91" i="5"/>
  <c r="CR27" i="5"/>
  <c r="CR36" i="5"/>
  <c r="CR37" i="5" s="1"/>
  <c r="CR38" i="5" s="1"/>
  <c r="CR40" i="5" s="1"/>
  <c r="CQ102" i="5"/>
  <c r="CQ104" i="5" s="1"/>
  <c r="CQ52" i="5" l="1"/>
  <c r="CS32" i="5"/>
  <c r="CQ103" i="5"/>
  <c r="CR96" i="5" s="1"/>
  <c r="CR28" i="5"/>
  <c r="CR29" i="5" s="1"/>
  <c r="CS23" i="5" s="1"/>
  <c r="CR8" i="5"/>
  <c r="CR9" i="5" s="1"/>
  <c r="CQ53" i="5" l="1"/>
  <c r="CQ67" i="5" s="1"/>
  <c r="CQ68" i="5" s="1"/>
  <c r="CR18" i="5"/>
  <c r="CQ78" i="5"/>
  <c r="CQ79" i="5" s="1"/>
  <c r="CQ80" i="5" s="1"/>
  <c r="CQ81" i="5" s="1"/>
  <c r="CR44" i="5"/>
  <c r="CS6" i="5"/>
  <c r="CR41" i="5"/>
  <c r="CR47" i="5" s="1"/>
  <c r="CR12" i="5" l="1"/>
  <c r="CR13" i="5" s="1"/>
  <c r="CR45" i="5"/>
  <c r="CQ82" i="5"/>
  <c r="CQ83" i="5" s="1"/>
  <c r="CQ84" i="5" s="1"/>
  <c r="CQ85" i="5" s="1"/>
  <c r="CQ89" i="5" s="1"/>
  <c r="CQ90" i="5" s="1"/>
  <c r="CQ93" i="5" s="1"/>
  <c r="CS57" i="5"/>
  <c r="CS56" i="5" s="1"/>
  <c r="CS60" i="5" s="1"/>
  <c r="CS62" i="5" s="1"/>
  <c r="CR15" i="5"/>
  <c r="CR17" i="5" s="1"/>
  <c r="CR19" i="5" s="1"/>
  <c r="CR20" i="5" s="1"/>
  <c r="CS33" i="5"/>
  <c r="CS97" i="5"/>
  <c r="CS102" i="5"/>
  <c r="CS104" i="5" s="1"/>
  <c r="CS24" i="5"/>
  <c r="CS92" i="5"/>
  <c r="CS72" i="5" s="1"/>
  <c r="CS75" i="5" s="1"/>
  <c r="CS34" i="5"/>
  <c r="CS7" i="5"/>
  <c r="CS25" i="5"/>
  <c r="CR98" i="5"/>
  <c r="CR100" i="5" s="1"/>
  <c r="CR102" i="5" s="1"/>
  <c r="CR104" i="5" s="1"/>
  <c r="CR49" i="5" l="1"/>
  <c r="CR51" i="5" s="1"/>
  <c r="CS63" i="5"/>
  <c r="CS66" i="5" s="1"/>
  <c r="CS8" i="5"/>
  <c r="CS9" i="5" s="1"/>
  <c r="CT6" i="5" s="1"/>
  <c r="CS36" i="5"/>
  <c r="CS37" i="5" s="1"/>
  <c r="CS38" i="5" s="1"/>
  <c r="CS40" i="5" s="1"/>
  <c r="CS41" i="5" s="1"/>
  <c r="CS47" i="5" s="1"/>
  <c r="CS27" i="5"/>
  <c r="CS73" i="5"/>
  <c r="CS91" i="5"/>
  <c r="CR103" i="5"/>
  <c r="CS96" i="5" s="1"/>
  <c r="CR52" i="5" l="1"/>
  <c r="CS46" i="5"/>
  <c r="CT46" i="5"/>
  <c r="CT51" i="5"/>
  <c r="CT52" i="5" s="1"/>
  <c r="CS44" i="5"/>
  <c r="CS12" i="5" s="1"/>
  <c r="CS13" i="5" s="1"/>
  <c r="CR53" i="5"/>
  <c r="CR67" i="5" s="1"/>
  <c r="CR68" i="5" s="1"/>
  <c r="CS18" i="5"/>
  <c r="CR78" i="5"/>
  <c r="CR79" i="5" s="1"/>
  <c r="CR80" i="5" s="1"/>
  <c r="CR81" i="5" s="1"/>
  <c r="CT57" i="5"/>
  <c r="CT56" i="5" s="1"/>
  <c r="CT60" i="5" s="1"/>
  <c r="CT62" i="5" s="1"/>
  <c r="CS15" i="5"/>
  <c r="CS28" i="5"/>
  <c r="CS29" i="5" s="1"/>
  <c r="CT23" i="5" s="1"/>
  <c r="CT33" i="5"/>
  <c r="CT32" i="5"/>
  <c r="CT25" i="5"/>
  <c r="CT24" i="5"/>
  <c r="CS98" i="5"/>
  <c r="CS100" i="5" s="1"/>
  <c r="CS103" i="5" s="1"/>
  <c r="CT96" i="5" s="1"/>
  <c r="CT34" i="5"/>
  <c r="CT97" i="5"/>
  <c r="CT92" i="5"/>
  <c r="CT91" i="5" s="1"/>
  <c r="CT102" i="5"/>
  <c r="CT104" i="5" s="1"/>
  <c r="CS45" i="5" l="1"/>
  <c r="CS49" i="5" s="1"/>
  <c r="CS51" i="5" s="1"/>
  <c r="CS52" i="5" s="1"/>
  <c r="CS17" i="5"/>
  <c r="CS19" i="5" s="1"/>
  <c r="CS20" i="5" s="1"/>
  <c r="CT8" i="5" s="1"/>
  <c r="CR82" i="5"/>
  <c r="CR83" i="5" s="1"/>
  <c r="CR84" i="5" s="1"/>
  <c r="CR85" i="5" s="1"/>
  <c r="CR89" i="5" s="1"/>
  <c r="CR90" i="5" s="1"/>
  <c r="CR93" i="5" s="1"/>
  <c r="CT63" i="5"/>
  <c r="CT66" i="5" s="1"/>
  <c r="CT7" i="5"/>
  <c r="CT36" i="5"/>
  <c r="CT37" i="5" s="1"/>
  <c r="CT38" i="5" s="1"/>
  <c r="CT40" i="5" s="1"/>
  <c r="CU32" i="5" s="1"/>
  <c r="CT27" i="5"/>
  <c r="CT78" i="5"/>
  <c r="CT72" i="5"/>
  <c r="CT75" i="5" s="1"/>
  <c r="CT53" i="5"/>
  <c r="CT67" i="5" s="1"/>
  <c r="CU18" i="5"/>
  <c r="CS53" i="5" l="1"/>
  <c r="CS67" i="5" s="1"/>
  <c r="CS68" i="5" s="1"/>
  <c r="CT68" i="5" s="1"/>
  <c r="CT28" i="5"/>
  <c r="CT29" i="5" s="1"/>
  <c r="CU23" i="5" s="1"/>
  <c r="CT44" i="5"/>
  <c r="CT12" i="5" s="1"/>
  <c r="CT13" i="5" s="1"/>
  <c r="CT9" i="5"/>
  <c r="CU6" i="5" s="1"/>
  <c r="CS78" i="5"/>
  <c r="CS79" i="5" s="1"/>
  <c r="CT18" i="5"/>
  <c r="CT41" i="5"/>
  <c r="CT47" i="5" s="1"/>
  <c r="CT73" i="5"/>
  <c r="CU46" i="5" l="1"/>
  <c r="CU51" i="5"/>
  <c r="CU52" i="5" s="1"/>
  <c r="CU44" i="5"/>
  <c r="CU12" i="5" s="1"/>
  <c r="CT45" i="5"/>
  <c r="CU57" i="5"/>
  <c r="CU56" i="5" s="1"/>
  <c r="CU60" i="5" s="1"/>
  <c r="CU62" i="5" s="1"/>
  <c r="CT15" i="5"/>
  <c r="CT17" i="5" s="1"/>
  <c r="CT19" i="5" s="1"/>
  <c r="CT20" i="5" s="1"/>
  <c r="CS80" i="5"/>
  <c r="CT79" i="5" s="1"/>
  <c r="CT80" i="5" s="1"/>
  <c r="CU34" i="5"/>
  <c r="CU7" i="5"/>
  <c r="CU33" i="5"/>
  <c r="CU102" i="5"/>
  <c r="CU104" i="5" s="1"/>
  <c r="CU97" i="5"/>
  <c r="CU25" i="5"/>
  <c r="CT98" i="5"/>
  <c r="CT100" i="5" s="1"/>
  <c r="CT103" i="5" s="1"/>
  <c r="CU96" i="5" s="1"/>
  <c r="CU92" i="5"/>
  <c r="CU72" i="5" s="1"/>
  <c r="CU75" i="5" s="1"/>
  <c r="CU24" i="5"/>
  <c r="CU73" i="5" l="1"/>
  <c r="CT49" i="5"/>
  <c r="CU45" i="5" s="1"/>
  <c r="CU63" i="5"/>
  <c r="CU66" i="5" s="1"/>
  <c r="CS81" i="5"/>
  <c r="CS82" i="5" s="1"/>
  <c r="CS83" i="5" s="1"/>
  <c r="CS84" i="5" s="1"/>
  <c r="CS85" i="5" s="1"/>
  <c r="CS89" i="5" s="1"/>
  <c r="CS90" i="5" s="1"/>
  <c r="CS93" i="5" s="1"/>
  <c r="CV44" i="5"/>
  <c r="CV12" i="5" s="1"/>
  <c r="CU53" i="5"/>
  <c r="CU67" i="5" s="1"/>
  <c r="CU78" i="5"/>
  <c r="CU79" i="5" s="1"/>
  <c r="CV18" i="5"/>
  <c r="CU27" i="5"/>
  <c r="CU28" i="5" s="1"/>
  <c r="CU29" i="5" s="1"/>
  <c r="CV23" i="5" s="1"/>
  <c r="CU36" i="5"/>
  <c r="CU37" i="5" s="1"/>
  <c r="CU38" i="5" s="1"/>
  <c r="CU40" i="5" s="1"/>
  <c r="CV32" i="5" s="1"/>
  <c r="CU91" i="5"/>
  <c r="CU13" i="5"/>
  <c r="CU8" i="5"/>
  <c r="CU9" i="5" s="1"/>
  <c r="CU68" i="5" l="1"/>
  <c r="CT81" i="5"/>
  <c r="CT82" i="5" s="1"/>
  <c r="CT83" i="5" s="1"/>
  <c r="CT84" i="5" s="1"/>
  <c r="CT85" i="5" s="1"/>
  <c r="CT89" i="5" s="1"/>
  <c r="CT90" i="5" s="1"/>
  <c r="CT93" i="5" s="1"/>
  <c r="CV6" i="5"/>
  <c r="CU41" i="5"/>
  <c r="CU47" i="5" s="1"/>
  <c r="CV46" i="5" l="1"/>
  <c r="CV51" i="5"/>
  <c r="CV52" i="5" s="1"/>
  <c r="CV57" i="5"/>
  <c r="CV56" i="5" s="1"/>
  <c r="CV60" i="5" s="1"/>
  <c r="CU15" i="5"/>
  <c r="CU17" i="5" s="1"/>
  <c r="CU19" i="5" s="1"/>
  <c r="CU20" i="5" s="1"/>
  <c r="CU49" i="5"/>
  <c r="CV33" i="5"/>
  <c r="CV34" i="5"/>
  <c r="CV7" i="5"/>
  <c r="CV97" i="5"/>
  <c r="CV102" i="5"/>
  <c r="CV104" i="5" s="1"/>
  <c r="CV24" i="5"/>
  <c r="CU80" i="5"/>
  <c r="CU81" i="5" s="1"/>
  <c r="CU82" i="5" s="1"/>
  <c r="CU83" i="5" s="1"/>
  <c r="CU84" i="5" s="1"/>
  <c r="CU85" i="5" s="1"/>
  <c r="CU89" i="5" s="1"/>
  <c r="CU90" i="5" s="1"/>
  <c r="CU93" i="5" s="1"/>
  <c r="CU98" i="5"/>
  <c r="CU100" i="5" s="1"/>
  <c r="CU103" i="5" s="1"/>
  <c r="CV96" i="5" s="1"/>
  <c r="CV73" i="5"/>
  <c r="CV92" i="5"/>
  <c r="CV72" i="5" s="1"/>
  <c r="CV75" i="5" s="1"/>
  <c r="CV25" i="5"/>
  <c r="CV62" i="5"/>
  <c r="CV63" i="5" l="1"/>
  <c r="CV66" i="5" s="1"/>
  <c r="CV8" i="5"/>
  <c r="CV9" i="5" s="1"/>
  <c r="CV27" i="5"/>
  <c r="CV36" i="5"/>
  <c r="CV37" i="5" s="1"/>
  <c r="CV38" i="5" s="1"/>
  <c r="CV40" i="5" s="1"/>
  <c r="CV45" i="5"/>
  <c r="CV53" i="5"/>
  <c r="CV67" i="5" s="1"/>
  <c r="CW44" i="5"/>
  <c r="CW12" i="5" s="1"/>
  <c r="CW18" i="5"/>
  <c r="CV91" i="5"/>
  <c r="CV78" i="5"/>
  <c r="CV79" i="5" s="1"/>
  <c r="CV68" i="5" l="1"/>
  <c r="CV13" i="5"/>
  <c r="CW6" i="5"/>
  <c r="CV41" i="5"/>
  <c r="CV47" i="5" s="1"/>
  <c r="CV28" i="5"/>
  <c r="CV29" i="5" s="1"/>
  <c r="CW23" i="5" s="1"/>
  <c r="CW46" i="5" l="1"/>
  <c r="CW51" i="5"/>
  <c r="CW52" i="5" s="1"/>
  <c r="CW57" i="5"/>
  <c r="CW56" i="5" s="1"/>
  <c r="CW60" i="5" s="1"/>
  <c r="CV15" i="5"/>
  <c r="CV17" i="5" s="1"/>
  <c r="CV19" i="5" s="1"/>
  <c r="CV20" i="5" s="1"/>
  <c r="CV49" i="5"/>
  <c r="CW62" i="5"/>
  <c r="CW24" i="5"/>
  <c r="CV98" i="5"/>
  <c r="CV100" i="5" s="1"/>
  <c r="CV103" i="5" s="1"/>
  <c r="CW96" i="5" s="1"/>
  <c r="CW92" i="5"/>
  <c r="CW72" i="5" s="1"/>
  <c r="CW75" i="5" s="1"/>
  <c r="CW25" i="5"/>
  <c r="CV80" i="5"/>
  <c r="CV81" i="5" s="1"/>
  <c r="CV82" i="5" s="1"/>
  <c r="CV83" i="5" s="1"/>
  <c r="CV84" i="5" s="1"/>
  <c r="CV85" i="5" s="1"/>
  <c r="CV89" i="5" s="1"/>
  <c r="CV90" i="5" s="1"/>
  <c r="CV93" i="5" s="1"/>
  <c r="CW34" i="5"/>
  <c r="CW73" i="5"/>
  <c r="CW33" i="5"/>
  <c r="CW97" i="5"/>
  <c r="CW102" i="5"/>
  <c r="CW104" i="5" s="1"/>
  <c r="CW32" i="5"/>
  <c r="CW7" i="5"/>
  <c r="CW63" i="5" l="1"/>
  <c r="CW66" i="5" s="1"/>
  <c r="CW8" i="5"/>
  <c r="CW9" i="5" s="1"/>
  <c r="CX6" i="5" s="1"/>
  <c r="CW45" i="5"/>
  <c r="CW27" i="5"/>
  <c r="CW36" i="5"/>
  <c r="CW37" i="5" s="1"/>
  <c r="CW38" i="5" s="1"/>
  <c r="CW40" i="5" s="1"/>
  <c r="CW41" i="5" s="1"/>
  <c r="CW47" i="5" s="1"/>
  <c r="CW13" i="5"/>
  <c r="CW91" i="5"/>
  <c r="CX44" i="5"/>
  <c r="CX12" i="5" s="1"/>
  <c r="CW53" i="5"/>
  <c r="CW67" i="5" s="1"/>
  <c r="CW78" i="5"/>
  <c r="CW79" i="5" s="1"/>
  <c r="CX18" i="5"/>
  <c r="CX46" i="5" l="1"/>
  <c r="CX51" i="5"/>
  <c r="CX52" i="5" s="1"/>
  <c r="CX57" i="5"/>
  <c r="CX56" i="5" s="1"/>
  <c r="CX60" i="5" s="1"/>
  <c r="CW68" i="5"/>
  <c r="CW15" i="5"/>
  <c r="CW17" i="5" s="1"/>
  <c r="CW19" i="5" s="1"/>
  <c r="CW20" i="5" s="1"/>
  <c r="CW28" i="5"/>
  <c r="CW29" i="5" s="1"/>
  <c r="CX23" i="5" s="1"/>
  <c r="CW49" i="5"/>
  <c r="CX33" i="5"/>
  <c r="CX73" i="5"/>
  <c r="CX24" i="5"/>
  <c r="CX25" i="5"/>
  <c r="CX92" i="5"/>
  <c r="CX72" i="5" s="1"/>
  <c r="CX75" i="5" s="1"/>
  <c r="CX97" i="5"/>
  <c r="CX34" i="5"/>
  <c r="CX62" i="5"/>
  <c r="CW98" i="5"/>
  <c r="CW100" i="5" s="1"/>
  <c r="CW103" i="5" s="1"/>
  <c r="CX96" i="5" s="1"/>
  <c r="CX102" i="5"/>
  <c r="CX104" i="5" s="1"/>
  <c r="CW80" i="5"/>
  <c r="CW81" i="5" s="1"/>
  <c r="CW82" i="5" s="1"/>
  <c r="CW83" i="5" s="1"/>
  <c r="CW84" i="5" s="1"/>
  <c r="CW85" i="5" s="1"/>
  <c r="CW89" i="5" s="1"/>
  <c r="CW90" i="5" s="1"/>
  <c r="CW93" i="5" s="1"/>
  <c r="CX32" i="5"/>
  <c r="CX7" i="5" l="1"/>
  <c r="CX63" i="5"/>
  <c r="CX66" i="5" s="1"/>
  <c r="CX8" i="5"/>
  <c r="CX91" i="5"/>
  <c r="CX27" i="5"/>
  <c r="CX53" i="5"/>
  <c r="CX67" i="5" s="1"/>
  <c r="CY44" i="5"/>
  <c r="CY12" i="5" s="1"/>
  <c r="CY18" i="5"/>
  <c r="CX78" i="5"/>
  <c r="CX79" i="5" s="1"/>
  <c r="CX45" i="5"/>
  <c r="CX36" i="5"/>
  <c r="CX37" i="5" s="1"/>
  <c r="CX38" i="5" s="1"/>
  <c r="CX40" i="5" s="1"/>
  <c r="CX13" i="5"/>
  <c r="CX9" i="5" l="1"/>
  <c r="CY6" i="5" s="1"/>
  <c r="CX68" i="5"/>
  <c r="CX28" i="5"/>
  <c r="CX29" i="5" s="1"/>
  <c r="CY23" i="5" s="1"/>
  <c r="CY32" i="5"/>
  <c r="CX41" i="5"/>
  <c r="CX47" i="5" s="1"/>
  <c r="CY46" i="5" l="1"/>
  <c r="CY51" i="5"/>
  <c r="CY52" i="5" s="1"/>
  <c r="CY57" i="5"/>
  <c r="CY56" i="5" s="1"/>
  <c r="CY60" i="5" s="1"/>
  <c r="CX15" i="5"/>
  <c r="CX17" i="5" s="1"/>
  <c r="CX19" i="5" s="1"/>
  <c r="CX20" i="5" s="1"/>
  <c r="CX49" i="5"/>
  <c r="CY33" i="5"/>
  <c r="CX80" i="5"/>
  <c r="CX81" i="5" s="1"/>
  <c r="CX82" i="5" s="1"/>
  <c r="CX83" i="5" s="1"/>
  <c r="CX84" i="5" s="1"/>
  <c r="CX85" i="5" s="1"/>
  <c r="CX89" i="5" s="1"/>
  <c r="CX90" i="5" s="1"/>
  <c r="CX93" i="5" s="1"/>
  <c r="CY25" i="5"/>
  <c r="CY92" i="5"/>
  <c r="CY72" i="5" s="1"/>
  <c r="CY75" i="5" s="1"/>
  <c r="CY7" i="5"/>
  <c r="CY102" i="5"/>
  <c r="CY104" i="5" s="1"/>
  <c r="CY73" i="5"/>
  <c r="CY34" i="5"/>
  <c r="CY62" i="5"/>
  <c r="CY24" i="5"/>
  <c r="CX98" i="5"/>
  <c r="CX100" i="5" s="1"/>
  <c r="CX103" i="5" s="1"/>
  <c r="CY96" i="5" s="1"/>
  <c r="CY97" i="5"/>
  <c r="CY63" i="5" l="1"/>
  <c r="CY66" i="5" s="1"/>
  <c r="CY8" i="5"/>
  <c r="CY9" i="5" s="1"/>
  <c r="CZ6" i="5" s="1"/>
  <c r="CY45" i="5"/>
  <c r="CY27" i="5"/>
  <c r="CY36" i="5"/>
  <c r="CY37" i="5" s="1"/>
  <c r="CY38" i="5" s="1"/>
  <c r="CY40" i="5" s="1"/>
  <c r="CY91" i="5"/>
  <c r="CY78" i="5"/>
  <c r="CY79" i="5" s="1"/>
  <c r="CY53" i="5"/>
  <c r="CY67" i="5" s="1"/>
  <c r="CZ44" i="5"/>
  <c r="CZ12" i="5" s="1"/>
  <c r="CY13" i="5"/>
  <c r="CZ18" i="5"/>
  <c r="CY68" i="5" l="1"/>
  <c r="CY28" i="5"/>
  <c r="CY29" i="5" s="1"/>
  <c r="CZ23" i="5" s="1"/>
  <c r="CZ32" i="5"/>
  <c r="CY41" i="5"/>
  <c r="CY47" i="5" s="1"/>
  <c r="CZ46" i="5" l="1"/>
  <c r="CZ51" i="5"/>
  <c r="CZ52" i="5" s="1"/>
  <c r="CZ57" i="5"/>
  <c r="CZ56" i="5" s="1"/>
  <c r="CZ60" i="5" s="1"/>
  <c r="CZ62" i="5" s="1"/>
  <c r="CY15" i="5"/>
  <c r="CY17" i="5" s="1"/>
  <c r="CY19" i="5" s="1"/>
  <c r="CY20" i="5" s="1"/>
  <c r="CY49" i="5"/>
  <c r="CZ33" i="5"/>
  <c r="CZ25" i="5"/>
  <c r="CZ24" i="5"/>
  <c r="CZ97" i="5"/>
  <c r="CY80" i="5"/>
  <c r="CY81" i="5" s="1"/>
  <c r="CY82" i="5" s="1"/>
  <c r="CY83" i="5" s="1"/>
  <c r="CY84" i="5" s="1"/>
  <c r="CY85" i="5" s="1"/>
  <c r="CY89" i="5" s="1"/>
  <c r="CY90" i="5" s="1"/>
  <c r="CY93" i="5" s="1"/>
  <c r="CZ7" i="5"/>
  <c r="CZ92" i="5"/>
  <c r="CZ72" i="5" s="1"/>
  <c r="CZ75" i="5" s="1"/>
  <c r="CY98" i="5"/>
  <c r="CY100" i="5" s="1"/>
  <c r="CY103" i="5" s="1"/>
  <c r="CZ96" i="5" s="1"/>
  <c r="CZ102" i="5"/>
  <c r="CZ104" i="5" s="1"/>
  <c r="CZ34" i="5"/>
  <c r="CZ63" i="5" l="1"/>
  <c r="CZ66" i="5" s="1"/>
  <c r="CZ8" i="5"/>
  <c r="CZ9" i="5" s="1"/>
  <c r="DA6" i="5" s="1"/>
  <c r="CZ27" i="5"/>
  <c r="CZ28" i="5" s="1"/>
  <c r="CZ29" i="5" s="1"/>
  <c r="DA23" i="5" s="1"/>
  <c r="CZ91" i="5"/>
  <c r="CZ36" i="5"/>
  <c r="CZ37" i="5" s="1"/>
  <c r="CZ38" i="5" s="1"/>
  <c r="CZ40" i="5" s="1"/>
  <c r="CZ73" i="5"/>
  <c r="DA18" i="5"/>
  <c r="CZ45" i="5"/>
  <c r="DA44" i="5"/>
  <c r="DA12" i="5" s="1"/>
  <c r="CZ78" i="5"/>
  <c r="CZ79" i="5" s="1"/>
  <c r="CZ53" i="5"/>
  <c r="CZ67" i="5" s="1"/>
  <c r="CZ68" i="5" l="1"/>
  <c r="CZ13" i="5"/>
  <c r="DA32" i="5"/>
  <c r="CZ41" i="5"/>
  <c r="CZ47" i="5" s="1"/>
  <c r="DA46" i="5" l="1"/>
  <c r="DA51" i="5"/>
  <c r="DA52" i="5" s="1"/>
  <c r="DA57" i="5"/>
  <c r="DA56" i="5" s="1"/>
  <c r="DA60" i="5" s="1"/>
  <c r="DA62" i="5" s="1"/>
  <c r="CZ15" i="5"/>
  <c r="CZ17" i="5" s="1"/>
  <c r="CZ19" i="5" s="1"/>
  <c r="CZ20" i="5" s="1"/>
  <c r="CZ49" i="5"/>
  <c r="DA33" i="5"/>
  <c r="DA92" i="5"/>
  <c r="DA72" i="5" s="1"/>
  <c r="DA75" i="5" s="1"/>
  <c r="DA34" i="5"/>
  <c r="CZ80" i="5"/>
  <c r="CZ81" i="5" s="1"/>
  <c r="CZ82" i="5" s="1"/>
  <c r="CZ83" i="5" s="1"/>
  <c r="CZ84" i="5" s="1"/>
  <c r="CZ85" i="5" s="1"/>
  <c r="CZ89" i="5" s="1"/>
  <c r="CZ90" i="5" s="1"/>
  <c r="CZ93" i="5" s="1"/>
  <c r="DA25" i="5"/>
  <c r="DA7" i="5"/>
  <c r="DA24" i="5"/>
  <c r="CZ98" i="5"/>
  <c r="CZ100" i="5" s="1"/>
  <c r="CZ103" i="5" s="1"/>
  <c r="DA96" i="5" s="1"/>
  <c r="DA97" i="5"/>
  <c r="DA63" i="5" l="1"/>
  <c r="DA66" i="5" s="1"/>
  <c r="DA36" i="5"/>
  <c r="DA37" i="5" s="1"/>
  <c r="DA38" i="5" s="1"/>
  <c r="DA40" i="5" s="1"/>
  <c r="DB32" i="5" s="1"/>
  <c r="DA45" i="5"/>
  <c r="DA91" i="5"/>
  <c r="DA73" i="5"/>
  <c r="DA27" i="5"/>
  <c r="DB18" i="5"/>
  <c r="DA53" i="5"/>
  <c r="DA67" i="5" s="1"/>
  <c r="DB44" i="5"/>
  <c r="DB12" i="5" s="1"/>
  <c r="DA78" i="5"/>
  <c r="DA79" i="5" s="1"/>
  <c r="DA68" i="5" l="1"/>
  <c r="DA13" i="5"/>
  <c r="DA28" i="5"/>
  <c r="DA29" i="5" s="1"/>
  <c r="DB23" i="5" s="1"/>
  <c r="DA8" i="5"/>
  <c r="DA9" i="5" s="1"/>
  <c r="DA41" i="5"/>
  <c r="DA47" i="5" s="1"/>
  <c r="DB46" i="5" l="1"/>
  <c r="DA49" i="5"/>
  <c r="DB57" i="5"/>
  <c r="DB56" i="5" s="1"/>
  <c r="DB60" i="5" s="1"/>
  <c r="DB62" i="5" s="1"/>
  <c r="DA15" i="5"/>
  <c r="DA17" i="5" s="1"/>
  <c r="DA19" i="5" s="1"/>
  <c r="DA20" i="5" s="1"/>
  <c r="DB6" i="5"/>
  <c r="DB7" i="5"/>
  <c r="DB33" i="5"/>
  <c r="DA80" i="5"/>
  <c r="DA81" i="5" s="1"/>
  <c r="DA82" i="5" s="1"/>
  <c r="DA83" i="5" s="1"/>
  <c r="DA84" i="5" s="1"/>
  <c r="DA85" i="5" s="1"/>
  <c r="DA89" i="5" s="1"/>
  <c r="DA90" i="5" s="1"/>
  <c r="DA93" i="5" s="1"/>
  <c r="DB25" i="5"/>
  <c r="DB97" i="5"/>
  <c r="DB24" i="5"/>
  <c r="DB34" i="5"/>
  <c r="DA98" i="5"/>
  <c r="DA100" i="5" s="1"/>
  <c r="DA103" i="5" s="1"/>
  <c r="DB96" i="5" s="1"/>
  <c r="DB63" i="5" l="1"/>
  <c r="DB66" i="5" s="1"/>
  <c r="DB8" i="5"/>
  <c r="DB9" i="5" s="1"/>
  <c r="DB45" i="5"/>
  <c r="DB36" i="5"/>
  <c r="DB37" i="5" s="1"/>
  <c r="DB38" i="5" s="1"/>
  <c r="DB40" i="5" s="1"/>
  <c r="DB27" i="5"/>
  <c r="DA102" i="5"/>
  <c r="DA104" i="5" s="1"/>
  <c r="DB13" i="5" l="1"/>
  <c r="DC6" i="5"/>
  <c r="DC32" i="5"/>
  <c r="DB28" i="5"/>
  <c r="DB29" i="5" s="1"/>
  <c r="DC23" i="5" s="1"/>
  <c r="DB41" i="5"/>
  <c r="DB47" i="5" s="1"/>
  <c r="DC57" i="5" l="1"/>
  <c r="DC56" i="5" s="1"/>
  <c r="DC60" i="5" s="1"/>
  <c r="DC62" i="5" s="1"/>
  <c r="DB15" i="5"/>
  <c r="DB17" i="5" s="1"/>
  <c r="DB19" i="5" s="1"/>
  <c r="DB20" i="5" s="1"/>
  <c r="DB49" i="5"/>
  <c r="DB51" i="5" s="1"/>
  <c r="DB52" i="5" s="1"/>
  <c r="DC33" i="5"/>
  <c r="DC7" i="5"/>
  <c r="DC24" i="5"/>
  <c r="DC97" i="5"/>
  <c r="DB98" i="5"/>
  <c r="DB100" i="5" s="1"/>
  <c r="DB102" i="5" s="1"/>
  <c r="DB104" i="5" s="1"/>
  <c r="DC34" i="5"/>
  <c r="DC25" i="5"/>
  <c r="DC46" i="5" l="1"/>
  <c r="DC63" i="5"/>
  <c r="DC66" i="5" s="1"/>
  <c r="DC8" i="5"/>
  <c r="DC9" i="5" s="1"/>
  <c r="DD6" i="5" s="1"/>
  <c r="DC27" i="5"/>
  <c r="DC36" i="5"/>
  <c r="DC37" i="5" s="1"/>
  <c r="DC38" i="5" s="1"/>
  <c r="DC40" i="5" s="1"/>
  <c r="DB103" i="5"/>
  <c r="DC96" i="5" s="1"/>
  <c r="DB78" i="5"/>
  <c r="DB79" i="5" s="1"/>
  <c r="DC18" i="5"/>
  <c r="DC44" i="5"/>
  <c r="DC12" i="5" s="1"/>
  <c r="DC13" i="5" s="1"/>
  <c r="DC28" i="5" l="1"/>
  <c r="DC29" i="5" s="1"/>
  <c r="DD23" i="5" s="1"/>
  <c r="DB53" i="5"/>
  <c r="DB67" i="5" s="1"/>
  <c r="DB68" i="5" s="1"/>
  <c r="DD32" i="5"/>
  <c r="DC41" i="5"/>
  <c r="DC47" i="5" s="1"/>
  <c r="DB80" i="5"/>
  <c r="DB81" i="5" s="1"/>
  <c r="DB82" i="5" s="1"/>
  <c r="DB83" i="5" s="1"/>
  <c r="DB84" i="5" s="1"/>
  <c r="DB85" i="5" s="1"/>
  <c r="DB89" i="5" s="1"/>
  <c r="DB90" i="5" s="1"/>
  <c r="DB92" i="5" s="1"/>
  <c r="DC45" i="5"/>
  <c r="DC49" i="5" l="1"/>
  <c r="DC51" i="5" s="1"/>
  <c r="DC52" i="5" s="1"/>
  <c r="DD57" i="5"/>
  <c r="DD56" i="5" s="1"/>
  <c r="DD60" i="5" s="1"/>
  <c r="DD62" i="5" s="1"/>
  <c r="DC15" i="5"/>
  <c r="DC17" i="5" s="1"/>
  <c r="DC19" i="5" s="1"/>
  <c r="DC20" i="5" s="1"/>
  <c r="DD24" i="5"/>
  <c r="DD97" i="5"/>
  <c r="DC98" i="5"/>
  <c r="DC100" i="5" s="1"/>
  <c r="DC102" i="5" s="1"/>
  <c r="DC104" i="5" s="1"/>
  <c r="DD25" i="5"/>
  <c r="DD34" i="5"/>
  <c r="DD33" i="5"/>
  <c r="DD7" i="5"/>
  <c r="DB93" i="5"/>
  <c r="DB72" i="5"/>
  <c r="DB91" i="5"/>
  <c r="DD44" i="5" l="1"/>
  <c r="DC53" i="5"/>
  <c r="DC67" i="5" s="1"/>
  <c r="DC68" i="5" s="1"/>
  <c r="DD51" i="5"/>
  <c r="DD52" i="5" s="1"/>
  <c r="DD18" i="5"/>
  <c r="DC78" i="5"/>
  <c r="DD46" i="5"/>
  <c r="DD63" i="5"/>
  <c r="DD66" i="5" s="1"/>
  <c r="DD8" i="5"/>
  <c r="DD9" i="5" s="1"/>
  <c r="DE6" i="5" s="1"/>
  <c r="DD27" i="5"/>
  <c r="DD28" i="5" s="1"/>
  <c r="DD29" i="5" s="1"/>
  <c r="DE23" i="5" s="1"/>
  <c r="DD36" i="5"/>
  <c r="DD37" i="5" s="1"/>
  <c r="DD38" i="5" s="1"/>
  <c r="DB75" i="5"/>
  <c r="DB73" i="5"/>
  <c r="DC103" i="5"/>
  <c r="DD96" i="5" s="1"/>
  <c r="DC79" i="5"/>
  <c r="DC80" i="5" s="1"/>
  <c r="DD78" i="5"/>
  <c r="DD12" i="5"/>
  <c r="DD13" i="5" s="1"/>
  <c r="DD45" i="5"/>
  <c r="DD53" i="5" l="1"/>
  <c r="DD67" i="5" s="1"/>
  <c r="DE18" i="5"/>
  <c r="DE44" i="5"/>
  <c r="DE12" i="5" s="1"/>
  <c r="DD68" i="5"/>
  <c r="DD40" i="5"/>
  <c r="DD41" i="5" s="1"/>
  <c r="DD47" i="5" s="1"/>
  <c r="DC81" i="5"/>
  <c r="DC82" i="5" s="1"/>
  <c r="DD79" i="5"/>
  <c r="DE46" i="5" l="1"/>
  <c r="DD49" i="5"/>
  <c r="DE57" i="5"/>
  <c r="DE56" i="5" s="1"/>
  <c r="DE60" i="5" s="1"/>
  <c r="DE62" i="5" s="1"/>
  <c r="DD15" i="5"/>
  <c r="DD17" i="5" s="1"/>
  <c r="DD19" i="5" s="1"/>
  <c r="DD20" i="5" s="1"/>
  <c r="DE32" i="5"/>
  <c r="DE102" i="5"/>
  <c r="DE104" i="5" s="1"/>
  <c r="DE7" i="5"/>
  <c r="DE97" i="5"/>
  <c r="DE24" i="5"/>
  <c r="DD98" i="5"/>
  <c r="DD100" i="5" s="1"/>
  <c r="DD102" i="5" s="1"/>
  <c r="DD104" i="5" s="1"/>
  <c r="DE33" i="5"/>
  <c r="DE34" i="5"/>
  <c r="DE25" i="5"/>
  <c r="DD80" i="5"/>
  <c r="DD81" i="5" s="1"/>
  <c r="DD82" i="5" s="1"/>
  <c r="DC83" i="5"/>
  <c r="DC84" i="5" s="1"/>
  <c r="DC85" i="5" s="1"/>
  <c r="DC89" i="5" s="1"/>
  <c r="DC90" i="5" s="1"/>
  <c r="DC92" i="5" s="1"/>
  <c r="DE63" i="5" l="1"/>
  <c r="DE66" i="5" s="1"/>
  <c r="DE8" i="5"/>
  <c r="DE9" i="5" s="1"/>
  <c r="DF6" i="5" s="1"/>
  <c r="DE36" i="5"/>
  <c r="DE37" i="5" s="1"/>
  <c r="DE38" i="5" s="1"/>
  <c r="DE40" i="5" s="1"/>
  <c r="DF32" i="5" s="1"/>
  <c r="DE45" i="5"/>
  <c r="DE13" i="5"/>
  <c r="DE27" i="5"/>
  <c r="DE28" i="5" s="1"/>
  <c r="DE29" i="5" s="1"/>
  <c r="DF23" i="5" s="1"/>
  <c r="DC72" i="5"/>
  <c r="DD103" i="5"/>
  <c r="DE96" i="5" s="1"/>
  <c r="DC93" i="5"/>
  <c r="DC91" i="5"/>
  <c r="DD83" i="5"/>
  <c r="DD84" i="5" s="1"/>
  <c r="DD85" i="5" s="1"/>
  <c r="DD89" i="5" s="1"/>
  <c r="DD90" i="5" s="1"/>
  <c r="DE41" i="5" l="1"/>
  <c r="DE47" i="5" s="1"/>
  <c r="DC73" i="5"/>
  <c r="DC75" i="5"/>
  <c r="DD93" i="5"/>
  <c r="DD92" i="5"/>
  <c r="DF46" i="5" l="1"/>
  <c r="DF51" i="5"/>
  <c r="DF52" i="5" s="1"/>
  <c r="DF57" i="5"/>
  <c r="DF56" i="5" s="1"/>
  <c r="DF60" i="5" s="1"/>
  <c r="DF62" i="5" s="1"/>
  <c r="DE15" i="5"/>
  <c r="DE17" i="5" s="1"/>
  <c r="DE19" i="5" s="1"/>
  <c r="DE20" i="5" s="1"/>
  <c r="DE49" i="5"/>
  <c r="DE51" i="5" s="1"/>
  <c r="DE52" i="5" s="1"/>
  <c r="DF34" i="5"/>
  <c r="DF97" i="5"/>
  <c r="DF7" i="5"/>
  <c r="DF24" i="5"/>
  <c r="DE98" i="5"/>
  <c r="DE100" i="5" s="1"/>
  <c r="DE103" i="5" s="1"/>
  <c r="DF96" i="5" s="1"/>
  <c r="DF25" i="5"/>
  <c r="DF33" i="5"/>
  <c r="DF102" i="5"/>
  <c r="DF104" i="5" s="1"/>
  <c r="DF92" i="5"/>
  <c r="DF91" i="5" s="1"/>
  <c r="DD72" i="5"/>
  <c r="DD75" i="5" s="1"/>
  <c r="DD91" i="5"/>
  <c r="DF63" i="5" l="1"/>
  <c r="DF66" i="5" s="1"/>
  <c r="DF8" i="5"/>
  <c r="DF9" i="5" s="1"/>
  <c r="DG6" i="5" s="1"/>
  <c r="DG18" i="5"/>
  <c r="DF78" i="5"/>
  <c r="DF53" i="5"/>
  <c r="DF67" i="5" s="1"/>
  <c r="DF36" i="5"/>
  <c r="DF37" i="5" s="1"/>
  <c r="DF38" i="5" s="1"/>
  <c r="DF40" i="5" s="1"/>
  <c r="DF41" i="5" s="1"/>
  <c r="DF47" i="5" s="1"/>
  <c r="DF27" i="5"/>
  <c r="DE53" i="5"/>
  <c r="DE67" i="5" s="1"/>
  <c r="DE68" i="5" s="1"/>
  <c r="DF44" i="5"/>
  <c r="DF12" i="5" s="1"/>
  <c r="DF13" i="5" s="1"/>
  <c r="DD73" i="5"/>
  <c r="DG46" i="5" l="1"/>
  <c r="DG51" i="5"/>
  <c r="DG52" i="5" s="1"/>
  <c r="DG57" i="5"/>
  <c r="DG56" i="5" s="1"/>
  <c r="DG60" i="5" s="1"/>
  <c r="DG62" i="5" s="1"/>
  <c r="DF15" i="5"/>
  <c r="DF17" i="5" s="1"/>
  <c r="DF28" i="5"/>
  <c r="DF29" i="5" s="1"/>
  <c r="DG23" i="5" s="1"/>
  <c r="DF18" i="5"/>
  <c r="DF68" i="5"/>
  <c r="DG34" i="5"/>
  <c r="DG33" i="5"/>
  <c r="DG25" i="5"/>
  <c r="DG32" i="5"/>
  <c r="DG102" i="5"/>
  <c r="DG104" i="5" s="1"/>
  <c r="DF98" i="5"/>
  <c r="DF100" i="5" s="1"/>
  <c r="DF103" i="5" s="1"/>
  <c r="DG96" i="5" s="1"/>
  <c r="DG24" i="5"/>
  <c r="DG92" i="5"/>
  <c r="DG91" i="5" s="1"/>
  <c r="DG97" i="5"/>
  <c r="DG44" i="5"/>
  <c r="DG12" i="5" s="1"/>
  <c r="DF45" i="5"/>
  <c r="DE78" i="5"/>
  <c r="DE79" i="5" s="1"/>
  <c r="DG63" i="5" l="1"/>
  <c r="DG66" i="5" s="1"/>
  <c r="DF49" i="5"/>
  <c r="DG45" i="5" s="1"/>
  <c r="DG7" i="5"/>
  <c r="DF19" i="5"/>
  <c r="DF20" i="5" s="1"/>
  <c r="DG8" i="5" s="1"/>
  <c r="DG36" i="5"/>
  <c r="DG37" i="5" s="1"/>
  <c r="DG38" i="5" s="1"/>
  <c r="DG40" i="5" s="1"/>
  <c r="DH32" i="5" s="1"/>
  <c r="DG27" i="5"/>
  <c r="DG78" i="5"/>
  <c r="DH18" i="5"/>
  <c r="DH44" i="5"/>
  <c r="DH12" i="5" s="1"/>
  <c r="DG53" i="5"/>
  <c r="DG67" i="5" s="1"/>
  <c r="DE80" i="5"/>
  <c r="DE81" i="5" s="1"/>
  <c r="DG68" i="5" l="1"/>
  <c r="DG13" i="5"/>
  <c r="DG28" i="5"/>
  <c r="DG29" i="5" s="1"/>
  <c r="DH23" i="5" s="1"/>
  <c r="DG9" i="5"/>
  <c r="DH6" i="5" s="1"/>
  <c r="DG41" i="5"/>
  <c r="DG47" i="5" s="1"/>
  <c r="DF79" i="5"/>
  <c r="DF80" i="5" s="1"/>
  <c r="DF81" i="5" s="1"/>
  <c r="DE82" i="5"/>
  <c r="DE83" i="5" s="1"/>
  <c r="DE84" i="5" s="1"/>
  <c r="DE85" i="5" s="1"/>
  <c r="DE89" i="5" s="1"/>
  <c r="DE90" i="5" s="1"/>
  <c r="DH46" i="5" l="1"/>
  <c r="DG49" i="5"/>
  <c r="DH57" i="5"/>
  <c r="DH56" i="5" s="1"/>
  <c r="DH60" i="5" s="1"/>
  <c r="DH62" i="5" s="1"/>
  <c r="DG15" i="5"/>
  <c r="DG17" i="5" s="1"/>
  <c r="DG19" i="5" s="1"/>
  <c r="DG20" i="5" s="1"/>
  <c r="DH92" i="5"/>
  <c r="DH91" i="5" s="1"/>
  <c r="DH102" i="5"/>
  <c r="DH104" i="5" s="1"/>
  <c r="DH25" i="5"/>
  <c r="DG98" i="5"/>
  <c r="DG100" i="5" s="1"/>
  <c r="DG103" i="5" s="1"/>
  <c r="DH96" i="5" s="1"/>
  <c r="DH7" i="5"/>
  <c r="DH24" i="5"/>
  <c r="DH97" i="5"/>
  <c r="DH34" i="5"/>
  <c r="DH33" i="5"/>
  <c r="DF82" i="5"/>
  <c r="DG79" i="5"/>
  <c r="DG80" i="5" s="1"/>
  <c r="DG81" i="5" s="1"/>
  <c r="DE93" i="5"/>
  <c r="DE92" i="5"/>
  <c r="DH27" i="5" l="1"/>
  <c r="DH63" i="5"/>
  <c r="DH66" i="5" s="1"/>
  <c r="DH8" i="5"/>
  <c r="DH9" i="5" s="1"/>
  <c r="DI6" i="5" s="1"/>
  <c r="DH45" i="5"/>
  <c r="DH13" i="5"/>
  <c r="DH36" i="5"/>
  <c r="DH37" i="5" s="1"/>
  <c r="DH38" i="5" s="1"/>
  <c r="DH40" i="5" s="1"/>
  <c r="DH41" i="5" s="1"/>
  <c r="DH47" i="5" s="1"/>
  <c r="DG82" i="5"/>
  <c r="DE91" i="5"/>
  <c r="DF83" i="5"/>
  <c r="DF84" i="5" s="1"/>
  <c r="DF85" i="5" s="1"/>
  <c r="DF89" i="5" s="1"/>
  <c r="DF90" i="5" s="1"/>
  <c r="DF93" i="5" s="1"/>
  <c r="DE72" i="5"/>
  <c r="DI57" i="5" l="1"/>
  <c r="DI56" i="5" s="1"/>
  <c r="DI60" i="5" s="1"/>
  <c r="DI62" i="5" s="1"/>
  <c r="DH15" i="5"/>
  <c r="DH17" i="5" s="1"/>
  <c r="DH19" i="5" s="1"/>
  <c r="DH20" i="5" s="1"/>
  <c r="DH28" i="5"/>
  <c r="DH29" i="5" s="1"/>
  <c r="DI23" i="5" s="1"/>
  <c r="DH49" i="5"/>
  <c r="DH51" i="5" s="1"/>
  <c r="DH52" i="5" s="1"/>
  <c r="DI92" i="5"/>
  <c r="DI91" i="5" s="1"/>
  <c r="DI97" i="5"/>
  <c r="DH98" i="5"/>
  <c r="DH100" i="5" s="1"/>
  <c r="DH103" i="5" s="1"/>
  <c r="DI96" i="5" s="1"/>
  <c r="DI32" i="5"/>
  <c r="DI25" i="5"/>
  <c r="DI102" i="5"/>
  <c r="DI104" i="5" s="1"/>
  <c r="DI33" i="5"/>
  <c r="DI24" i="5"/>
  <c r="DI34" i="5"/>
  <c r="DG83" i="5"/>
  <c r="DG84" i="5" s="1"/>
  <c r="DG85" i="5" s="1"/>
  <c r="DG89" i="5" s="1"/>
  <c r="DG90" i="5" s="1"/>
  <c r="DG93" i="5" s="1"/>
  <c r="DE75" i="5"/>
  <c r="DE73" i="5"/>
  <c r="DF72" i="5" s="1"/>
  <c r="DI46" i="5" l="1"/>
  <c r="DI7" i="5"/>
  <c r="DI63" i="5"/>
  <c r="DI66" i="5" s="1"/>
  <c r="DI8" i="5"/>
  <c r="DI27" i="5"/>
  <c r="DH53" i="5"/>
  <c r="DH67" i="5" s="1"/>
  <c r="DH68" i="5" s="1"/>
  <c r="DH78" i="5"/>
  <c r="DH79" i="5" s="1"/>
  <c r="DI18" i="5"/>
  <c r="DI36" i="5"/>
  <c r="DI37" i="5" s="1"/>
  <c r="DI38" i="5" s="1"/>
  <c r="DI40" i="5" s="1"/>
  <c r="DJ32" i="5" s="1"/>
  <c r="DI44" i="5"/>
  <c r="DI12" i="5" s="1"/>
  <c r="DI13" i="5" s="1"/>
  <c r="DF75" i="5"/>
  <c r="DF73" i="5"/>
  <c r="DG72" i="5" s="1"/>
  <c r="DI9" i="5" l="1"/>
  <c r="DJ6" i="5" s="1"/>
  <c r="DI28" i="5"/>
  <c r="DI29" i="5" s="1"/>
  <c r="DJ23" i="5" s="1"/>
  <c r="DH80" i="5"/>
  <c r="DH81" i="5" s="1"/>
  <c r="DH82" i="5" s="1"/>
  <c r="DH83" i="5" s="1"/>
  <c r="DH84" i="5" s="1"/>
  <c r="DH85" i="5" s="1"/>
  <c r="DH89" i="5" s="1"/>
  <c r="DH90" i="5" s="1"/>
  <c r="DH93" i="5" s="1"/>
  <c r="DI45" i="5"/>
  <c r="DG75" i="5"/>
  <c r="DG73" i="5"/>
  <c r="DH72" i="5" s="1"/>
  <c r="DI41" i="5"/>
  <c r="DI47" i="5" s="1"/>
  <c r="DJ57" i="5" l="1"/>
  <c r="DJ56" i="5" s="1"/>
  <c r="DJ60" i="5" s="1"/>
  <c r="DJ62" i="5" s="1"/>
  <c r="DI15" i="5"/>
  <c r="DI17" i="5" s="1"/>
  <c r="DI19" i="5" s="1"/>
  <c r="DI20" i="5" s="1"/>
  <c r="DI49" i="5"/>
  <c r="DI51" i="5" s="1"/>
  <c r="DI52" i="5" s="1"/>
  <c r="DH73" i="5"/>
  <c r="DI72" i="5" s="1"/>
  <c r="DH75" i="5"/>
  <c r="DJ25" i="5"/>
  <c r="DJ34" i="5"/>
  <c r="DI98" i="5"/>
  <c r="DI100" i="5" s="1"/>
  <c r="DI103" i="5" s="1"/>
  <c r="DJ96" i="5" s="1"/>
  <c r="DJ97" i="5"/>
  <c r="DJ92" i="5"/>
  <c r="DJ102" i="5"/>
  <c r="DJ104" i="5" s="1"/>
  <c r="DJ7" i="5"/>
  <c r="DJ24" i="5"/>
  <c r="DJ33" i="5"/>
  <c r="DJ46" i="5" l="1"/>
  <c r="DJ51" i="5"/>
  <c r="DJ52" i="5" s="1"/>
  <c r="DI53" i="5"/>
  <c r="DI67" i="5" s="1"/>
  <c r="DI68" i="5" s="1"/>
  <c r="DI78" i="5"/>
  <c r="DI79" i="5" s="1"/>
  <c r="DI80" i="5" s="1"/>
  <c r="DI81" i="5" s="1"/>
  <c r="DI82" i="5" s="1"/>
  <c r="DI83" i="5" s="1"/>
  <c r="DI84" i="5" s="1"/>
  <c r="DI85" i="5" s="1"/>
  <c r="DI89" i="5" s="1"/>
  <c r="DI90" i="5" s="1"/>
  <c r="DI93" i="5" s="1"/>
  <c r="DJ44" i="5"/>
  <c r="DJ12" i="5" s="1"/>
  <c r="DJ13" i="5" s="1"/>
  <c r="DJ18" i="5"/>
  <c r="DJ63" i="5"/>
  <c r="DJ66" i="5" s="1"/>
  <c r="DJ8" i="5"/>
  <c r="DJ9" i="5" s="1"/>
  <c r="DK6" i="5" s="1"/>
  <c r="DI73" i="5"/>
  <c r="DJ72" i="5" s="1"/>
  <c r="DI75" i="5"/>
  <c r="DJ36" i="5"/>
  <c r="DJ37" i="5" s="1"/>
  <c r="DJ38" i="5" s="1"/>
  <c r="DJ40" i="5" s="1"/>
  <c r="DK32" i="5" s="1"/>
  <c r="DJ27" i="5"/>
  <c r="DJ28" i="5" s="1"/>
  <c r="DJ29" i="5" s="1"/>
  <c r="DK23" i="5" s="1"/>
  <c r="DJ91" i="5"/>
  <c r="DJ45" i="5" l="1"/>
  <c r="DJ75" i="5"/>
  <c r="DJ73" i="5"/>
  <c r="DJ41" i="5"/>
  <c r="DJ47" i="5" s="1"/>
  <c r="DK46" i="5" l="1"/>
  <c r="DJ49" i="5"/>
  <c r="DK57" i="5"/>
  <c r="DK56" i="5" s="1"/>
  <c r="DK60" i="5" s="1"/>
  <c r="DK62" i="5" s="1"/>
  <c r="DJ15" i="5"/>
  <c r="DJ17" i="5" s="1"/>
  <c r="DJ19" i="5" s="1"/>
  <c r="DJ20" i="5" s="1"/>
  <c r="DK97" i="5"/>
  <c r="DK7" i="5"/>
  <c r="DK102" i="5"/>
  <c r="DK104" i="5" s="1"/>
  <c r="DK25" i="5"/>
  <c r="DJ98" i="5"/>
  <c r="DJ100" i="5" s="1"/>
  <c r="DJ103" i="5" s="1"/>
  <c r="DK96" i="5" s="1"/>
  <c r="DK34" i="5"/>
  <c r="DK24" i="5"/>
  <c r="DK92" i="5"/>
  <c r="DK72" i="5" s="1"/>
  <c r="DK73" i="5" s="1"/>
  <c r="DK33" i="5"/>
  <c r="DK63" i="5" l="1"/>
  <c r="DK66" i="5" s="1"/>
  <c r="DK8" i="5"/>
  <c r="DK9" i="5" s="1"/>
  <c r="DL6" i="5" s="1"/>
  <c r="DK36" i="5"/>
  <c r="DK37" i="5" s="1"/>
  <c r="DK38" i="5" s="1"/>
  <c r="DK40" i="5" s="1"/>
  <c r="DK41" i="5" s="1"/>
  <c r="DK47" i="5" s="1"/>
  <c r="DK27" i="5"/>
  <c r="DK75" i="5"/>
  <c r="DK91" i="5"/>
  <c r="DL46" i="5" l="1"/>
  <c r="DL51" i="5"/>
  <c r="DL52" i="5" s="1"/>
  <c r="DJ78" i="5"/>
  <c r="DJ79" i="5" s="1"/>
  <c r="DK18" i="5"/>
  <c r="DK44" i="5"/>
  <c r="DK12" i="5" s="1"/>
  <c r="DK13" i="5" s="1"/>
  <c r="DJ53" i="5"/>
  <c r="DJ67" i="5" s="1"/>
  <c r="DJ68" i="5" s="1"/>
  <c r="DL57" i="5"/>
  <c r="DL56" i="5" s="1"/>
  <c r="DL60" i="5" s="1"/>
  <c r="DL62" i="5" s="1"/>
  <c r="DK15" i="5"/>
  <c r="DK28" i="5"/>
  <c r="DK29" i="5" s="1"/>
  <c r="DL23" i="5" s="1"/>
  <c r="DL32" i="5"/>
  <c r="DL33" i="5"/>
  <c r="DK98" i="5"/>
  <c r="DK100" i="5" s="1"/>
  <c r="DK103" i="5" s="1"/>
  <c r="DL96" i="5" s="1"/>
  <c r="DL34" i="5"/>
  <c r="DL24" i="5"/>
  <c r="DL92" i="5"/>
  <c r="DL72" i="5" s="1"/>
  <c r="DL73" i="5" s="1"/>
  <c r="DL102" i="5"/>
  <c r="DL104" i="5" s="1"/>
  <c r="DL97" i="5"/>
  <c r="DL25" i="5"/>
  <c r="DJ80" i="5" l="1"/>
  <c r="DJ81" i="5" s="1"/>
  <c r="DJ82" i="5" s="1"/>
  <c r="DJ83" i="5" s="1"/>
  <c r="DJ84" i="5" s="1"/>
  <c r="DJ85" i="5" s="1"/>
  <c r="DJ89" i="5" s="1"/>
  <c r="DJ90" i="5" s="1"/>
  <c r="DJ93" i="5" s="1"/>
  <c r="DK45" i="5"/>
  <c r="DK49" i="5" s="1"/>
  <c r="DK51" i="5" s="1"/>
  <c r="DK52" i="5" s="1"/>
  <c r="DL63" i="5"/>
  <c r="DL66" i="5" s="1"/>
  <c r="DK17" i="5"/>
  <c r="DK19" i="5" s="1"/>
  <c r="DK20" i="5" s="1"/>
  <c r="DL8" i="5" s="1"/>
  <c r="DL7" i="5"/>
  <c r="DL53" i="5"/>
  <c r="DL67" i="5" s="1"/>
  <c r="DM18" i="5"/>
  <c r="DL78" i="5"/>
  <c r="DL36" i="5"/>
  <c r="DL37" i="5" s="1"/>
  <c r="DL38" i="5" s="1"/>
  <c r="DL40" i="5" s="1"/>
  <c r="DL41" i="5" s="1"/>
  <c r="DL47" i="5" s="1"/>
  <c r="DL27" i="5"/>
  <c r="DL75" i="5"/>
  <c r="DL91" i="5"/>
  <c r="DM46" i="5" l="1"/>
  <c r="DM51" i="5"/>
  <c r="DM52" i="5" s="1"/>
  <c r="DM57" i="5"/>
  <c r="DM56" i="5" s="1"/>
  <c r="DM60" i="5" s="1"/>
  <c r="DM62" i="5" s="1"/>
  <c r="DL28" i="5"/>
  <c r="DL29" i="5" s="1"/>
  <c r="DM23" i="5" s="1"/>
  <c r="DL9" i="5"/>
  <c r="DM6" i="5" s="1"/>
  <c r="DL15" i="5"/>
  <c r="DM33" i="5"/>
  <c r="DL98" i="5"/>
  <c r="DL100" i="5" s="1"/>
  <c r="DL103" i="5" s="1"/>
  <c r="DM96" i="5" s="1"/>
  <c r="DM92" i="5"/>
  <c r="DM91" i="5" s="1"/>
  <c r="DM102" i="5"/>
  <c r="DM104" i="5" s="1"/>
  <c r="DM24" i="5"/>
  <c r="DM25" i="5"/>
  <c r="DM34" i="5"/>
  <c r="DM97" i="5"/>
  <c r="DM32" i="5"/>
  <c r="DK53" i="5" l="1"/>
  <c r="DK67" i="5" s="1"/>
  <c r="DK68" i="5" s="1"/>
  <c r="DL68" i="5" s="1"/>
  <c r="DK78" i="5"/>
  <c r="DK79" i="5" s="1"/>
  <c r="DK80" i="5" s="1"/>
  <c r="DK81" i="5" s="1"/>
  <c r="DK82" i="5" s="1"/>
  <c r="DK83" i="5" s="1"/>
  <c r="DK84" i="5" s="1"/>
  <c r="DK85" i="5" s="1"/>
  <c r="DK89" i="5" s="1"/>
  <c r="DK90" i="5" s="1"/>
  <c r="DK93" i="5" s="1"/>
  <c r="DL18" i="5"/>
  <c r="DL44" i="5"/>
  <c r="DM7" i="5"/>
  <c r="DM63" i="5"/>
  <c r="DM66" i="5" s="1"/>
  <c r="DM72" i="5"/>
  <c r="DM73" i="5" s="1"/>
  <c r="DM78" i="5"/>
  <c r="DN18" i="5"/>
  <c r="DM53" i="5"/>
  <c r="DM67" i="5" s="1"/>
  <c r="DM36" i="5"/>
  <c r="DM37" i="5" s="1"/>
  <c r="DM38" i="5" s="1"/>
  <c r="DM40" i="5" s="1"/>
  <c r="DN32" i="5" s="1"/>
  <c r="DM27" i="5"/>
  <c r="DL45" i="5" l="1"/>
  <c r="DL49" i="5" s="1"/>
  <c r="DM44" i="5"/>
  <c r="DL12" i="5"/>
  <c r="DL13" i="5" s="1"/>
  <c r="DL17" i="5" s="1"/>
  <c r="DL19" i="5" s="1"/>
  <c r="DL20" i="5" s="1"/>
  <c r="DM8" i="5" s="1"/>
  <c r="DM9" i="5" s="1"/>
  <c r="DN6" i="5" s="1"/>
  <c r="DL79" i="5"/>
  <c r="DL80" i="5" s="1"/>
  <c r="DM68" i="5"/>
  <c r="DM75" i="5"/>
  <c r="DM41" i="5"/>
  <c r="DM47" i="5" s="1"/>
  <c r="DN46" i="5" l="1"/>
  <c r="DM28" i="5"/>
  <c r="DM29" i="5" s="1"/>
  <c r="DN23" i="5" s="1"/>
  <c r="DL81" i="5"/>
  <c r="DL82" i="5" s="1"/>
  <c r="DL83" i="5" s="1"/>
  <c r="DL84" i="5" s="1"/>
  <c r="DL85" i="5" s="1"/>
  <c r="DL89" i="5" s="1"/>
  <c r="DL90" i="5" s="1"/>
  <c r="DL93" i="5" s="1"/>
  <c r="DM12" i="5"/>
  <c r="DM13" i="5" s="1"/>
  <c r="DM45" i="5"/>
  <c r="DN44" i="5"/>
  <c r="DN12" i="5" s="1"/>
  <c r="DM79" i="5"/>
  <c r="DM80" i="5" s="1"/>
  <c r="DN57" i="5"/>
  <c r="DN56" i="5" s="1"/>
  <c r="DN60" i="5" s="1"/>
  <c r="DN62" i="5" s="1"/>
  <c r="DM15" i="5"/>
  <c r="DN25" i="5"/>
  <c r="DN24" i="5"/>
  <c r="DM98" i="5"/>
  <c r="DM100" i="5" s="1"/>
  <c r="DM103" i="5" s="1"/>
  <c r="DN96" i="5" s="1"/>
  <c r="DN33" i="5"/>
  <c r="DN34" i="5"/>
  <c r="DN97" i="5"/>
  <c r="DN92" i="5"/>
  <c r="DM81" i="5" l="1"/>
  <c r="DM82" i="5" s="1"/>
  <c r="DN7" i="5"/>
  <c r="DM17" i="5"/>
  <c r="DM19" i="5" s="1"/>
  <c r="DM20" i="5" s="1"/>
  <c r="DM49" i="5"/>
  <c r="DN45" i="5" s="1"/>
  <c r="DN63" i="5"/>
  <c r="DN66" i="5" s="1"/>
  <c r="DN27" i="5"/>
  <c r="DN36" i="5"/>
  <c r="DN37" i="5" s="1"/>
  <c r="DN38" i="5" s="1"/>
  <c r="DN40" i="5" s="1"/>
  <c r="DN41" i="5" s="1"/>
  <c r="DN47" i="5" s="1"/>
  <c r="DN91" i="5"/>
  <c r="DN72" i="5"/>
  <c r="DM83" i="5" l="1"/>
  <c r="DM84" i="5" s="1"/>
  <c r="DM85" i="5" s="1"/>
  <c r="DM89" i="5" s="1"/>
  <c r="DM90" i="5" s="1"/>
  <c r="DM93" i="5" s="1"/>
  <c r="DO57" i="5"/>
  <c r="DO56" i="5" s="1"/>
  <c r="DO60" i="5" s="1"/>
  <c r="DO62" i="5" s="1"/>
  <c r="DN15" i="5"/>
  <c r="DN13" i="5"/>
  <c r="DN49" i="5"/>
  <c r="DN51" i="5" s="1"/>
  <c r="DN52" i="5" s="1"/>
  <c r="DN28" i="5"/>
  <c r="DN29" i="5" s="1"/>
  <c r="DO23" i="5" s="1"/>
  <c r="DO34" i="5"/>
  <c r="DO25" i="5"/>
  <c r="DO97" i="5"/>
  <c r="DN98" i="5"/>
  <c r="DN100" i="5" s="1"/>
  <c r="DN103" i="5" s="1"/>
  <c r="DO96" i="5" s="1"/>
  <c r="DO24" i="5"/>
  <c r="DO33" i="5"/>
  <c r="DO92" i="5"/>
  <c r="DO91" i="5" s="1"/>
  <c r="DO32" i="5"/>
  <c r="DN8" i="5"/>
  <c r="DN9" i="5" s="1"/>
  <c r="DN73" i="5"/>
  <c r="DN75" i="5"/>
  <c r="DO46" i="5" l="1"/>
  <c r="DO51" i="5"/>
  <c r="DO52" i="5" s="1"/>
  <c r="DO63" i="5"/>
  <c r="DO66" i="5" s="1"/>
  <c r="DN17" i="5"/>
  <c r="DN19" i="5" s="1"/>
  <c r="DN20" i="5" s="1"/>
  <c r="DO8" i="5" s="1"/>
  <c r="DN102" i="5"/>
  <c r="DN104" i="5" s="1"/>
  <c r="DO7" i="5"/>
  <c r="DO27" i="5"/>
  <c r="DO72" i="5"/>
  <c r="DO73" i="5" s="1"/>
  <c r="DO36" i="5"/>
  <c r="DO37" i="5" s="1"/>
  <c r="DO38" i="5" s="1"/>
  <c r="DO40" i="5" s="1"/>
  <c r="DO41" i="5" s="1"/>
  <c r="DO47" i="5" s="1"/>
  <c r="DO6" i="5"/>
  <c r="DN53" i="5"/>
  <c r="DN67" i="5" s="1"/>
  <c r="DN68" i="5" s="1"/>
  <c r="DN78" i="5"/>
  <c r="DO44" i="5"/>
  <c r="DO12" i="5" s="1"/>
  <c r="DO18" i="5"/>
  <c r="DP46" i="5" l="1"/>
  <c r="DP51" i="5"/>
  <c r="DP52" i="5" s="1"/>
  <c r="DO13" i="5"/>
  <c r="DP57" i="5"/>
  <c r="DP56" i="5" s="1"/>
  <c r="DP60" i="5" s="1"/>
  <c r="DP62" i="5" s="1"/>
  <c r="DO28" i="5"/>
  <c r="DO29" i="5" s="1"/>
  <c r="DP23" i="5" s="1"/>
  <c r="DO15" i="5"/>
  <c r="DO9" i="5"/>
  <c r="DP6" i="5" s="1"/>
  <c r="DO75" i="5"/>
  <c r="DO45" i="5"/>
  <c r="DP32" i="5"/>
  <c r="DP34" i="5"/>
  <c r="DO98" i="5"/>
  <c r="DO100" i="5" s="1"/>
  <c r="DO102" i="5" s="1"/>
  <c r="DO104" i="5" s="1"/>
  <c r="DP92" i="5"/>
  <c r="DP91" i="5" s="1"/>
  <c r="DP33" i="5"/>
  <c r="DP25" i="5"/>
  <c r="DP24" i="5"/>
  <c r="DP97" i="5"/>
  <c r="DN79" i="5"/>
  <c r="DN80" i="5" s="1"/>
  <c r="DO17" i="5" l="1"/>
  <c r="DO19" i="5" s="1"/>
  <c r="DO20" i="5" s="1"/>
  <c r="DP8" i="5" s="1"/>
  <c r="DP7" i="5"/>
  <c r="DP63" i="5"/>
  <c r="DP66" i="5" s="1"/>
  <c r="DP36" i="5"/>
  <c r="DP37" i="5" s="1"/>
  <c r="DP38" i="5" s="1"/>
  <c r="DP40" i="5" s="1"/>
  <c r="DQ32" i="5" s="1"/>
  <c r="DP72" i="5"/>
  <c r="DO49" i="5"/>
  <c r="DP27" i="5"/>
  <c r="DO103" i="5"/>
  <c r="DP96" i="5" s="1"/>
  <c r="DN81" i="5"/>
  <c r="DN82" i="5" s="1"/>
  <c r="DP28" i="5" l="1"/>
  <c r="DP29" i="5" s="1"/>
  <c r="DQ23" i="5" s="1"/>
  <c r="DP9" i="5"/>
  <c r="DQ6" i="5" s="1"/>
  <c r="DP73" i="5"/>
  <c r="DP75" i="5"/>
  <c r="DN83" i="5"/>
  <c r="DN84" i="5" s="1"/>
  <c r="DN85" i="5" s="1"/>
  <c r="DN89" i="5" s="1"/>
  <c r="DN90" i="5" s="1"/>
  <c r="DN93" i="5" s="1"/>
  <c r="DP41" i="5"/>
  <c r="DP47" i="5" s="1"/>
  <c r="DQ46" i="5" l="1"/>
  <c r="DO53" i="5"/>
  <c r="DO67" i="5" s="1"/>
  <c r="DO68" i="5" s="1"/>
  <c r="DP18" i="5"/>
  <c r="DO78" i="5"/>
  <c r="DO79" i="5" s="1"/>
  <c r="DP44" i="5"/>
  <c r="DQ57" i="5"/>
  <c r="DQ56" i="5" s="1"/>
  <c r="DQ60" i="5" s="1"/>
  <c r="DQ62" i="5" s="1"/>
  <c r="DP15" i="5"/>
  <c r="DQ33" i="5"/>
  <c r="DQ25" i="5"/>
  <c r="DQ24" i="5"/>
  <c r="DQ34" i="5"/>
  <c r="DQ7" i="5"/>
  <c r="DQ92" i="5"/>
  <c r="DQ72" i="5" s="1"/>
  <c r="DQ75" i="5" s="1"/>
  <c r="DP98" i="5"/>
  <c r="DP100" i="5" s="1"/>
  <c r="DP102" i="5" s="1"/>
  <c r="DP104" i="5" s="1"/>
  <c r="DQ102" i="5"/>
  <c r="DQ104" i="5" s="1"/>
  <c r="DQ97" i="5"/>
  <c r="DP12" i="5" l="1"/>
  <c r="DP13" i="5" s="1"/>
  <c r="DP17" i="5" s="1"/>
  <c r="DP19" i="5" s="1"/>
  <c r="DP20" i="5" s="1"/>
  <c r="DQ8" i="5" s="1"/>
  <c r="DQ9" i="5" s="1"/>
  <c r="DR6" i="5" s="1"/>
  <c r="DP45" i="5"/>
  <c r="DP49" i="5" s="1"/>
  <c r="DO80" i="5"/>
  <c r="DO81" i="5" s="1"/>
  <c r="DQ63" i="5"/>
  <c r="DQ66" i="5" s="1"/>
  <c r="DQ36" i="5"/>
  <c r="DQ37" i="5" s="1"/>
  <c r="DQ38" i="5" s="1"/>
  <c r="DQ40" i="5" s="1"/>
  <c r="DR32" i="5" s="1"/>
  <c r="DP103" i="5"/>
  <c r="DQ96" i="5" s="1"/>
  <c r="DQ91" i="5"/>
  <c r="DQ27" i="5"/>
  <c r="DQ73" i="5"/>
  <c r="DQ28" i="5" l="1"/>
  <c r="DQ29" i="5" s="1"/>
  <c r="DR23" i="5" s="1"/>
  <c r="DO82" i="5"/>
  <c r="DO83" i="5" s="1"/>
  <c r="DO84" i="5" s="1"/>
  <c r="DO85" i="5" s="1"/>
  <c r="DO89" i="5" s="1"/>
  <c r="DO90" i="5" s="1"/>
  <c r="DO93" i="5" s="1"/>
  <c r="DQ18" i="5"/>
  <c r="DP53" i="5"/>
  <c r="DP67" i="5" s="1"/>
  <c r="DP68" i="5" s="1"/>
  <c r="DP78" i="5"/>
  <c r="DQ44" i="5"/>
  <c r="DQ41" i="5"/>
  <c r="DQ47" i="5" s="1"/>
  <c r="DR46" i="5" l="1"/>
  <c r="DR51" i="5"/>
  <c r="DR52" i="5" s="1"/>
  <c r="DQ12" i="5"/>
  <c r="DQ13" i="5" s="1"/>
  <c r="DQ45" i="5"/>
  <c r="DP79" i="5"/>
  <c r="DP80" i="5" s="1"/>
  <c r="DP81" i="5" s="1"/>
  <c r="DP82" i="5" s="1"/>
  <c r="DP83" i="5" s="1"/>
  <c r="DP84" i="5" s="1"/>
  <c r="DP85" i="5" s="1"/>
  <c r="DP89" i="5" s="1"/>
  <c r="DP90" i="5" s="1"/>
  <c r="DP93" i="5" s="1"/>
  <c r="DR57" i="5"/>
  <c r="DR56" i="5" s="1"/>
  <c r="DR60" i="5" s="1"/>
  <c r="DR62" i="5" s="1"/>
  <c r="DQ15" i="5"/>
  <c r="DR7" i="5"/>
  <c r="DR34" i="5"/>
  <c r="DR97" i="5"/>
  <c r="DQ98" i="5"/>
  <c r="DQ100" i="5" s="1"/>
  <c r="DQ103" i="5" s="1"/>
  <c r="DR96" i="5" s="1"/>
  <c r="DR92" i="5"/>
  <c r="DR72" i="5" s="1"/>
  <c r="DR75" i="5" s="1"/>
  <c r="DR33" i="5"/>
  <c r="DR25" i="5"/>
  <c r="DR24" i="5"/>
  <c r="DR102" i="5"/>
  <c r="DR104" i="5" s="1"/>
  <c r="DQ49" i="5" l="1"/>
  <c r="DQ51" i="5" s="1"/>
  <c r="DQ52" i="5" s="1"/>
  <c r="DQ17" i="5"/>
  <c r="DQ19" i="5" s="1"/>
  <c r="DQ20" i="5" s="1"/>
  <c r="DR8" i="5" s="1"/>
  <c r="DR9" i="5" s="1"/>
  <c r="DS6" i="5" s="1"/>
  <c r="DR63" i="5"/>
  <c r="DR66" i="5" s="1"/>
  <c r="DR36" i="5"/>
  <c r="DR37" i="5" s="1"/>
  <c r="DR38" i="5" s="1"/>
  <c r="DR40" i="5" s="1"/>
  <c r="DR41" i="5" s="1"/>
  <c r="DR47" i="5" s="1"/>
  <c r="DR27" i="5"/>
  <c r="DS18" i="5"/>
  <c r="DR91" i="5"/>
  <c r="DR78" i="5"/>
  <c r="DR73" i="5"/>
  <c r="DR53" i="5"/>
  <c r="DR67" i="5" s="1"/>
  <c r="DS46" i="5" l="1"/>
  <c r="DS51" i="5"/>
  <c r="DS52" i="5" s="1"/>
  <c r="DQ53" i="5"/>
  <c r="DQ67" i="5" s="1"/>
  <c r="DQ68" i="5" s="1"/>
  <c r="DR68" i="5" s="1"/>
  <c r="DQ78" i="5"/>
  <c r="DQ79" i="5" s="1"/>
  <c r="DQ80" i="5" s="1"/>
  <c r="DS57" i="5"/>
  <c r="DS56" i="5" s="1"/>
  <c r="DS60" i="5" s="1"/>
  <c r="DS62" i="5" s="1"/>
  <c r="DR15" i="5"/>
  <c r="DR28" i="5"/>
  <c r="DR29" i="5" s="1"/>
  <c r="DS23" i="5" s="1"/>
  <c r="DR18" i="5"/>
  <c r="DS32" i="5"/>
  <c r="DS33" i="5"/>
  <c r="DS92" i="5"/>
  <c r="DS72" i="5" s="1"/>
  <c r="DS75" i="5" s="1"/>
  <c r="DR98" i="5"/>
  <c r="DR100" i="5" s="1"/>
  <c r="DR103" i="5" s="1"/>
  <c r="DS96" i="5" s="1"/>
  <c r="DS102" i="5"/>
  <c r="DS104" i="5" s="1"/>
  <c r="DS34" i="5"/>
  <c r="DS24" i="5"/>
  <c r="DS97" i="5"/>
  <c r="DS25" i="5"/>
  <c r="DS73" i="5"/>
  <c r="DR44" i="5" l="1"/>
  <c r="DS63" i="5"/>
  <c r="DS66" i="5" s="1"/>
  <c r="DS7" i="5"/>
  <c r="DS53" i="5"/>
  <c r="DS67" i="5" s="1"/>
  <c r="DQ81" i="5"/>
  <c r="DS27" i="5"/>
  <c r="DT18" i="5"/>
  <c r="DS78" i="5"/>
  <c r="DS36" i="5"/>
  <c r="DS37" i="5" s="1"/>
  <c r="DS38" i="5" s="1"/>
  <c r="DS40" i="5" s="1"/>
  <c r="DS91" i="5"/>
  <c r="DR79" i="5"/>
  <c r="DR80" i="5" s="1"/>
  <c r="DR12" i="5" l="1"/>
  <c r="DR13" i="5" s="1"/>
  <c r="DR17" i="5" s="1"/>
  <c r="DR19" i="5" s="1"/>
  <c r="DR20" i="5" s="1"/>
  <c r="DS8" i="5" s="1"/>
  <c r="DS9" i="5" s="1"/>
  <c r="DT6" i="5" s="1"/>
  <c r="DS44" i="5"/>
  <c r="DR45" i="5"/>
  <c r="DR49" i="5" s="1"/>
  <c r="DS68" i="5"/>
  <c r="DQ82" i="5"/>
  <c r="DQ83" i="5" s="1"/>
  <c r="DQ84" i="5" s="1"/>
  <c r="DQ85" i="5" s="1"/>
  <c r="DQ89" i="5" s="1"/>
  <c r="DQ90" i="5" s="1"/>
  <c r="DQ93" i="5" s="1"/>
  <c r="DR81" i="5"/>
  <c r="DT32" i="5"/>
  <c r="DS41" i="5"/>
  <c r="DS47" i="5" s="1"/>
  <c r="DS79" i="5"/>
  <c r="DT46" i="5" l="1"/>
  <c r="DT51" i="5"/>
  <c r="DT52" i="5" s="1"/>
  <c r="DS28" i="5"/>
  <c r="DS29" i="5" s="1"/>
  <c r="DT23" i="5" s="1"/>
  <c r="DS45" i="5"/>
  <c r="DS12" i="5"/>
  <c r="DS13" i="5" s="1"/>
  <c r="DT44" i="5"/>
  <c r="DT12" i="5" s="1"/>
  <c r="DT57" i="5"/>
  <c r="DT56" i="5" s="1"/>
  <c r="DT60" i="5" s="1"/>
  <c r="DS15" i="5"/>
  <c r="DR82" i="5"/>
  <c r="DR83" i="5" s="1"/>
  <c r="DR84" i="5" s="1"/>
  <c r="DR85" i="5" s="1"/>
  <c r="DR89" i="5" s="1"/>
  <c r="DR90" i="5" s="1"/>
  <c r="DR93" i="5" s="1"/>
  <c r="DT33" i="5"/>
  <c r="DT73" i="5"/>
  <c r="DT62" i="5"/>
  <c r="DT34" i="5"/>
  <c r="DT25" i="5"/>
  <c r="DT97" i="5"/>
  <c r="DS80" i="5"/>
  <c r="DS81" i="5" s="1"/>
  <c r="DT24" i="5"/>
  <c r="DT92" i="5"/>
  <c r="DT91" i="5" s="1"/>
  <c r="DT102" i="5"/>
  <c r="DT104" i="5" s="1"/>
  <c r="DS98" i="5"/>
  <c r="DS100" i="5" s="1"/>
  <c r="DS103" i="5" s="1"/>
  <c r="DT96" i="5" s="1"/>
  <c r="DS49" i="5" l="1"/>
  <c r="DT45" i="5" s="1"/>
  <c r="DT7" i="5"/>
  <c r="DS17" i="5"/>
  <c r="DS19" i="5" s="1"/>
  <c r="DS20" i="5" s="1"/>
  <c r="DT8" i="5" s="1"/>
  <c r="DT63" i="5"/>
  <c r="DT66" i="5" s="1"/>
  <c r="DS82" i="5"/>
  <c r="DS83" i="5" s="1"/>
  <c r="DS84" i="5" s="1"/>
  <c r="DS85" i="5" s="1"/>
  <c r="DS89" i="5" s="1"/>
  <c r="DS90" i="5" s="1"/>
  <c r="DS93" i="5" s="1"/>
  <c r="DT36" i="5"/>
  <c r="DT37" i="5" s="1"/>
  <c r="DT38" i="5" s="1"/>
  <c r="DT40" i="5" s="1"/>
  <c r="DT41" i="5" s="1"/>
  <c r="DT47" i="5" s="1"/>
  <c r="DT53" i="5"/>
  <c r="DT67" i="5" s="1"/>
  <c r="DT72" i="5"/>
  <c r="DT75" i="5" s="1"/>
  <c r="DT78" i="5"/>
  <c r="DT79" i="5" s="1"/>
  <c r="DT27" i="5"/>
  <c r="DT15" i="5" l="1"/>
  <c r="DT49" i="5"/>
  <c r="DT9" i="5"/>
  <c r="DT28" i="5"/>
  <c r="DT29" i="5" s="1"/>
  <c r="DT13" i="5"/>
  <c r="DT68" i="5"/>
  <c r="DT98" i="5"/>
  <c r="DT100" i="5" s="1"/>
  <c r="DT103" i="5" s="1"/>
  <c r="DT80" i="5"/>
  <c r="DT81" i="5" s="1"/>
  <c r="DT82" i="5" s="1"/>
  <c r="DT83" i="5" s="1"/>
  <c r="DT84" i="5" s="1"/>
  <c r="DT85" i="5" s="1"/>
  <c r="DT89" i="5" s="1"/>
  <c r="DT90" i="5" s="1"/>
  <c r="DT93" i="5" s="1"/>
  <c r="DT17" i="5" l="1"/>
  <c r="DT19" i="5" s="1"/>
  <c r="DT20" i="5" s="1"/>
</calcChain>
</file>

<file path=xl/sharedStrings.xml><?xml version="1.0" encoding="utf-8"?>
<sst xmlns="http://schemas.openxmlformats.org/spreadsheetml/2006/main" count="379" uniqueCount="151">
  <si>
    <t>Kebiasaan</t>
  </si>
  <si>
    <t>Keterangan</t>
  </si>
  <si>
    <t>Konstanta survei</t>
  </si>
  <si>
    <t>Copy data 1 jam sebelumnya</t>
  </si>
  <si>
    <t>Konstanta umum</t>
  </si>
  <si>
    <t>Variabel</t>
  </si>
  <si>
    <t>Kal. F</t>
  </si>
  <si>
    <t>IC</t>
  </si>
  <si>
    <t>Efek Kelelahan</t>
  </si>
  <si>
    <t>Efek Energi</t>
  </si>
  <si>
    <t>Total Ability 1 jam berikutnya</t>
  </si>
  <si>
    <t>Tingkat Energi Terkini (copy total energi kolom sblm)</t>
  </si>
  <si>
    <t>Laju Energi (waktu)</t>
  </si>
  <si>
    <t>Efek Aktivitas</t>
  </si>
  <si>
    <t>Pengaruh Emosi</t>
  </si>
  <si>
    <t>Kalkulasi krn Efek Akt. dan Emosi</t>
  </si>
  <si>
    <t>Kalkulasi krn Efek Makan</t>
  </si>
  <si>
    <t>Total Energi 1 jam berikutnya</t>
  </si>
  <si>
    <t>Konversi Kalori ke Poin</t>
  </si>
  <si>
    <t>KELELAHAN</t>
  </si>
  <si>
    <t>Tingkat Kelelahan Terkini (copy total kelelahan kolom sblm)</t>
  </si>
  <si>
    <t>Laju Kelelahan</t>
  </si>
  <si>
    <t>Kalkulasi efek khusus (energi kolom sebelumnya)</t>
  </si>
  <si>
    <t>Total Kelelahan 1 jam berikutnya</t>
  </si>
  <si>
    <t>KANTUK (Threshold = 10, Kebiasaan = 8)</t>
  </si>
  <si>
    <t>Tingkat Kantuk Terkini</t>
  </si>
  <si>
    <t>Laju Kantuk</t>
  </si>
  <si>
    <t>Kalkulasi efek khusus (kelelahan kolom sebelumnya)</t>
  </si>
  <si>
    <t>Total Kantuk 1 jam berikutnya</t>
  </si>
  <si>
    <t>Kebiasaan Tidur / Bangun</t>
  </si>
  <si>
    <t>KT / KB</t>
  </si>
  <si>
    <t>KB</t>
  </si>
  <si>
    <t>KT</t>
  </si>
  <si>
    <t>Tidur / Bangun</t>
  </si>
  <si>
    <t>T</t>
  </si>
  <si>
    <t>Laju Lapar</t>
  </si>
  <si>
    <t>K</t>
  </si>
  <si>
    <t>HAUS (Threshold = 10, Kebiasaan = 8)</t>
  </si>
  <si>
    <t>Tingkat Haus Terkini</t>
  </si>
  <si>
    <t>Laju Haus</t>
  </si>
  <si>
    <t>Total Haus 1 jam berikutnya</t>
  </si>
  <si>
    <t>Efek Minum</t>
  </si>
  <si>
    <t>URINASI (threshold = 275 mL)</t>
  </si>
  <si>
    <t>Efek Minum 20% sampai di kemih (mL)</t>
  </si>
  <si>
    <t>Efek Makan 5% sampai di kemih (mL)</t>
  </si>
  <si>
    <t>Total Body Water = 50-60% Body Weight (55% of 60 kg = 33 L) survei</t>
  </si>
  <si>
    <t>Laju Kemih (mL/jam) survei</t>
  </si>
  <si>
    <t>Ada di Kemih</t>
  </si>
  <si>
    <t>Volume Urine sekali BAK (mL) survei</t>
  </si>
  <si>
    <t>Sisa di Kemih (mL)</t>
  </si>
  <si>
    <t>Konversi mL ke Poin</t>
  </si>
  <si>
    <t>DEFEKASI (threshold = 39.085 gr/cm2 = 28.747 mmhg)</t>
  </si>
  <si>
    <t>Efek Makan (survei = 10 mnt)</t>
  </si>
  <si>
    <t>Ada di Lambung</t>
  </si>
  <si>
    <t>Laju Lambung ke Usus Halus</t>
  </si>
  <si>
    <t>Ada di Usus Halus</t>
  </si>
  <si>
    <t>Laju dari Usus Halus ke Kolon</t>
  </si>
  <si>
    <t>Ada di Kolon</t>
  </si>
  <si>
    <t xml:space="preserve">Ada di ujung Kolon </t>
  </si>
  <si>
    <t>Laju dari Kolon ke Rektum (*luas penampang kolon)</t>
  </si>
  <si>
    <t>Ada di Akhir Kolon ke Rektum</t>
  </si>
  <si>
    <t>Konversi mmhg ke poin</t>
  </si>
  <si>
    <t>KOTOR</t>
  </si>
  <si>
    <t>Tingkat Kotor Terkini</t>
  </si>
  <si>
    <t>Laju Kotor</t>
  </si>
  <si>
    <t>Efek Mandi</t>
  </si>
  <si>
    <t>Total kotor 1 jam berikutnya</t>
  </si>
  <si>
    <t>Constrain</t>
  </si>
  <si>
    <t>constrain</t>
  </si>
  <si>
    <t>H1</t>
  </si>
  <si>
    <t>H2</t>
  </si>
  <si>
    <t>H3</t>
  </si>
  <si>
    <t>H4</t>
  </si>
  <si>
    <t>H5</t>
  </si>
  <si>
    <t>ENERGI</t>
  </si>
  <si>
    <t>Kebisaan</t>
  </si>
  <si>
    <t>BAB/TB</t>
  </si>
  <si>
    <t>Tingkat Kalori Saat Ini</t>
  </si>
  <si>
    <t>M/TM</t>
  </si>
  <si>
    <t>Efek Defekasi</t>
  </si>
  <si>
    <t>Tingkat Tekanan Terkini (di Klep Rektum gr/cm2 to mmhg  (20-55 mmhg))</t>
  </si>
  <si>
    <t>Energy Storage (5% efek makan)</t>
  </si>
  <si>
    <t>Keb. Kalori Harian*)</t>
  </si>
  <si>
    <t>Tingkat Poin (kalori)</t>
  </si>
  <si>
    <t>DEFEKASI</t>
  </si>
  <si>
    <t>Frekuensi Defekasi</t>
  </si>
  <si>
    <t>Ambang Batas Tekanan Rektum</t>
  </si>
  <si>
    <t>Tingkat (mmhg)</t>
  </si>
  <si>
    <t>mmhg</t>
  </si>
  <si>
    <t>Gram/ cm2</t>
  </si>
  <si>
    <t>&lt; 72 jam sekali</t>
  </si>
  <si>
    <t>48 jam sekali</t>
  </si>
  <si>
    <t>36 jam sekali</t>
  </si>
  <si>
    <t>24 jam sekali</t>
  </si>
  <si>
    <t>&lt; 24 jam sekali</t>
  </si>
  <si>
    <t>Keterangan Skala Parameter</t>
  </si>
  <si>
    <t>HAUS</t>
  </si>
  <si>
    <t>LELAH</t>
  </si>
  <si>
    <t>KANTUK</t>
  </si>
  <si>
    <t>Tingkat</t>
  </si>
  <si>
    <t>Sangat Bersih</t>
  </si>
  <si>
    <t>Sangat Tidak Haus</t>
  </si>
  <si>
    <t>Sangat Tidak Lelah</t>
  </si>
  <si>
    <t>Sangat Tidak Kantuk</t>
  </si>
  <si>
    <t>Bersih</t>
  </si>
  <si>
    <t>Tidak Haus</t>
  </si>
  <si>
    <t>Tidak Lelah</t>
  </si>
  <si>
    <t>Tidak Kantuk</t>
  </si>
  <si>
    <t>Cukup Bersih</t>
  </si>
  <si>
    <t>Cukup Tidak Haus</t>
  </si>
  <si>
    <t>Cukup Tidak Lelah</t>
  </si>
  <si>
    <t>Cukup Tidak Kantuk</t>
  </si>
  <si>
    <t>Cukup Kotor</t>
  </si>
  <si>
    <t>Cukup Haus</t>
  </si>
  <si>
    <t>Cukup Lelah</t>
  </si>
  <si>
    <t>Cukup Kantuk</t>
  </si>
  <si>
    <t>Kotor</t>
  </si>
  <si>
    <t>Haus</t>
  </si>
  <si>
    <t>Lelah</t>
  </si>
  <si>
    <t>Kantuk</t>
  </si>
  <si>
    <t>Sangat Kotor</t>
  </si>
  <si>
    <t>Sangat Haus</t>
  </si>
  <si>
    <t>Sangat Lelah</t>
  </si>
  <si>
    <t>Sangat Kantuk</t>
  </si>
  <si>
    <t>LAPAR</t>
  </si>
  <si>
    <t>URINASI</t>
  </si>
  <si>
    <t xml:space="preserve">Frekuensi </t>
  </si>
  <si>
    <t xml:space="preserve">Ambang Batas </t>
  </si>
  <si>
    <t xml:space="preserve">Sisa 1 kali Urinasi </t>
  </si>
  <si>
    <t xml:space="preserve">Volume 1 kali </t>
  </si>
  <si>
    <t>Tingkat (mL)</t>
  </si>
  <si>
    <t>Urinasi Harian</t>
  </si>
  <si>
    <t>Kemih (mL)</t>
  </si>
  <si>
    <t>di Kemih (mL)</t>
  </si>
  <si>
    <t>Urinasi (mL)</t>
  </si>
  <si>
    <t>&lt; 4 kali</t>
  </si>
  <si>
    <t>4-5 kali</t>
  </si>
  <si>
    <t>5-6 kali</t>
  </si>
  <si>
    <t>6-7 kali</t>
  </si>
  <si>
    <t>&gt;7 kali</t>
  </si>
  <si>
    <t>TINGKAT IC</t>
  </si>
  <si>
    <t>Dihitung berdasarkan Total Daily Caloric Expenditure = RMR+TEE+TEF</t>
  </si>
  <si>
    <t>batas bawah</t>
  </si>
  <si>
    <t>batas atas</t>
  </si>
  <si>
    <t>LAPAR (batas atas = 1552.67,  lim. bawah = 776.33)</t>
  </si>
  <si>
    <t>Total Lapar 1 jam berikutnya</t>
  </si>
  <si>
    <r>
      <rPr>
        <b/>
        <sz val="11"/>
        <color theme="1"/>
        <rFont val="Calibri"/>
        <family val="2"/>
        <scheme val="minor"/>
      </rPr>
      <t>Constraint</t>
    </r>
    <r>
      <rPr>
        <sz val="11"/>
        <color theme="1"/>
        <rFont val="Calibri"/>
        <family val="2"/>
        <scheme val="minor"/>
      </rPr>
      <t xml:space="preserve"> Efek Makan (ENERGI &amp; DEFEKASI)</t>
    </r>
  </si>
  <si>
    <t>Konversi Kalori ke ml (1 kcal = 0.12959782 ml) (URINASI)</t>
  </si>
  <si>
    <t>Konversi poin ke mL (10 = 200 mL) (URINASI)</t>
  </si>
  <si>
    <t>ABILITY (Koef. Data Fisik = 10)</t>
  </si>
  <si>
    <t>Tingkat Ability Terkini (Data Fisik maks=10)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</si>
</sst>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3" tint="0.59999389629810485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7" fillId="2" borderId="1" applyNumberFormat="0" applyAlignment="0" applyProtection="0"/>
  </cellStyleXfs>
  <cellXfs count="128">
    <xf numFmtId="0" fontId="0" fillId="0" borderId="0" xfId="0"/>
    <xf numFmtId="0" fontId="0" fillId="0" borderId="0" xfId="0" applyFill="1"/>
    <xf numFmtId="0" fontId="0" fillId="7" borderId="0" xfId="0" applyFill="1"/>
    <xf numFmtId="0" fontId="0" fillId="0" borderId="0" xfId="0" applyFill="1" applyAlignment="1">
      <alignment horizontal="left"/>
    </xf>
    <xf numFmtId="0" fontId="2" fillId="0" borderId="0" xfId="0" applyFont="1" applyFill="1" applyAlignment="1">
      <alignment horizontal="left"/>
    </xf>
    <xf numFmtId="0" fontId="2" fillId="7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0" fillId="6" borderId="0" xfId="0" applyFill="1"/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6" fillId="0" borderId="0" xfId="0" applyFont="1" applyAlignment="1">
      <alignment horizontal="left"/>
    </xf>
    <xf numFmtId="0" fontId="0" fillId="5" borderId="0" xfId="0" applyFill="1"/>
    <xf numFmtId="0" fontId="2" fillId="0" borderId="0" xfId="0" applyFont="1"/>
    <xf numFmtId="0" fontId="0" fillId="0" borderId="0" xfId="0" applyFill="1" applyBorder="1"/>
    <xf numFmtId="0" fontId="2" fillId="0" borderId="10" xfId="0" applyFont="1" applyFill="1" applyBorder="1" applyAlignment="1">
      <alignment horizontal="left"/>
    </xf>
    <xf numFmtId="20" fontId="0" fillId="0" borderId="10" xfId="0" applyNumberFormat="1" applyFill="1" applyBorder="1"/>
    <xf numFmtId="0" fontId="0" fillId="0" borderId="10" xfId="0" applyFill="1" applyBorder="1"/>
    <xf numFmtId="164" fontId="0" fillId="6" borderId="0" xfId="0" applyNumberFormat="1" applyFill="1" applyBorder="1"/>
    <xf numFmtId="164" fontId="0" fillId="0" borderId="0" xfId="0" applyNumberFormat="1" applyFill="1" applyBorder="1"/>
    <xf numFmtId="0" fontId="0" fillId="7" borderId="0" xfId="0" applyFill="1" applyAlignment="1">
      <alignment horizontal="left"/>
    </xf>
    <xf numFmtId="0" fontId="0" fillId="0" borderId="10" xfId="0" applyFill="1" applyBorder="1" applyAlignment="1">
      <alignment horizontal="left"/>
    </xf>
    <xf numFmtId="164" fontId="0" fillId="0" borderId="10" xfId="0" applyNumberFormat="1" applyFill="1" applyBorder="1"/>
    <xf numFmtId="20" fontId="0" fillId="0" borderId="0" xfId="0" applyNumberFormat="1" applyFill="1" applyBorder="1"/>
    <xf numFmtId="20" fontId="0" fillId="0" borderId="0" xfId="0" applyNumberFormat="1" applyFill="1"/>
    <xf numFmtId="164" fontId="0" fillId="0" borderId="0" xfId="0" applyNumberFormat="1" applyFill="1"/>
    <xf numFmtId="164" fontId="0" fillId="7" borderId="0" xfId="0" applyNumberFormat="1" applyFill="1" applyBorder="1"/>
    <xf numFmtId="164" fontId="0" fillId="7" borderId="0" xfId="0" applyNumberFormat="1" applyFill="1"/>
    <xf numFmtId="0" fontId="0" fillId="5" borderId="0" xfId="0" applyFill="1" applyAlignment="1">
      <alignment horizontal="left"/>
    </xf>
    <xf numFmtId="0" fontId="0" fillId="5" borderId="0" xfId="0" applyFill="1" applyBorder="1"/>
    <xf numFmtId="2" fontId="0" fillId="0" borderId="0" xfId="0" applyNumberFormat="1" applyFill="1" applyBorder="1"/>
    <xf numFmtId="2" fontId="0" fillId="0" borderId="0" xfId="0" applyNumberFormat="1" applyFill="1"/>
    <xf numFmtId="0" fontId="0" fillId="0" borderId="2" xfId="0" applyFill="1" applyBorder="1" applyAlignment="1">
      <alignment horizontal="left"/>
    </xf>
    <xf numFmtId="164" fontId="0" fillId="0" borderId="2" xfId="0" applyNumberFormat="1" applyFill="1" applyBorder="1"/>
    <xf numFmtId="0" fontId="0" fillId="0" borderId="2" xfId="0" applyFill="1" applyBorder="1"/>
    <xf numFmtId="0" fontId="0" fillId="0" borderId="7" xfId="0" applyFill="1" applyBorder="1" applyAlignment="1">
      <alignment horizontal="left"/>
    </xf>
    <xf numFmtId="164" fontId="0" fillId="0" borderId="7" xfId="0" applyNumberFormat="1" applyFill="1" applyBorder="1"/>
    <xf numFmtId="0" fontId="0" fillId="0" borderId="7" xfId="0" applyFill="1" applyBorder="1"/>
    <xf numFmtId="0" fontId="0" fillId="0" borderId="10" xfId="0" applyNumberFormat="1" applyFill="1" applyBorder="1" applyAlignment="1">
      <alignment horizontal="left"/>
    </xf>
    <xf numFmtId="164" fontId="0" fillId="0" borderId="10" xfId="1" applyNumberFormat="1" applyFont="1" applyFill="1" applyBorder="1"/>
    <xf numFmtId="0" fontId="0" fillId="0" borderId="10" xfId="0" applyNumberFormat="1" applyFill="1" applyBorder="1"/>
    <xf numFmtId="0" fontId="0" fillId="0" borderId="0" xfId="0" applyFill="1" applyBorder="1" applyAlignment="1">
      <alignment horizontal="left"/>
    </xf>
    <xf numFmtId="0" fontId="0" fillId="0" borderId="5" xfId="0" applyFill="1" applyBorder="1" applyAlignment="1">
      <alignment horizontal="left"/>
    </xf>
    <xf numFmtId="165" fontId="0" fillId="0" borderId="5" xfId="0" applyNumberFormat="1" applyFill="1" applyBorder="1"/>
    <xf numFmtId="0" fontId="0" fillId="0" borderId="5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/>
    <xf numFmtId="164" fontId="0" fillId="6" borderId="0" xfId="0" applyNumberFormat="1" applyFill="1"/>
    <xf numFmtId="0" fontId="0" fillId="8" borderId="0" xfId="0" applyFill="1"/>
    <xf numFmtId="164" fontId="0" fillId="8" borderId="0" xfId="0" applyNumberFormat="1" applyFill="1"/>
    <xf numFmtId="0" fontId="0" fillId="8" borderId="0" xfId="0" applyFill="1" applyAlignment="1">
      <alignment horizontal="center"/>
    </xf>
    <xf numFmtId="2" fontId="0" fillId="0" borderId="2" xfId="0" applyNumberFormat="1" applyFill="1" applyBorder="1"/>
    <xf numFmtId="164" fontId="0" fillId="8" borderId="0" xfId="0" applyNumberFormat="1" applyFill="1" applyBorder="1"/>
    <xf numFmtId="0" fontId="0" fillId="0" borderId="13" xfId="0" applyFill="1" applyBorder="1"/>
    <xf numFmtId="20" fontId="0" fillId="0" borderId="14" xfId="0" applyNumberFormat="1" applyFill="1" applyBorder="1"/>
    <xf numFmtId="164" fontId="0" fillId="0" borderId="13" xfId="0" applyNumberFormat="1" applyFill="1" applyBorder="1"/>
    <xf numFmtId="164" fontId="0" fillId="0" borderId="14" xfId="0" applyNumberFormat="1" applyFill="1" applyBorder="1"/>
    <xf numFmtId="20" fontId="0" fillId="0" borderId="13" xfId="0" applyNumberFormat="1" applyFill="1" applyBorder="1"/>
    <xf numFmtId="164" fontId="0" fillId="7" borderId="13" xfId="0" applyNumberFormat="1" applyFill="1" applyBorder="1"/>
    <xf numFmtId="0" fontId="0" fillId="5" borderId="13" xfId="0" applyFill="1" applyBorder="1"/>
    <xf numFmtId="2" fontId="0" fillId="0" borderId="13" xfId="0" applyNumberFormat="1" applyFill="1" applyBorder="1"/>
    <xf numFmtId="164" fontId="0" fillId="0" borderId="3" xfId="0" applyNumberFormat="1" applyFill="1" applyBorder="1"/>
    <xf numFmtId="164" fontId="0" fillId="0" borderId="8" xfId="0" applyNumberFormat="1" applyFill="1" applyBorder="1"/>
    <xf numFmtId="164" fontId="0" fillId="0" borderId="14" xfId="1" applyNumberFormat="1" applyFont="1" applyFill="1" applyBorder="1"/>
    <xf numFmtId="164" fontId="0" fillId="8" borderId="13" xfId="0" applyNumberFormat="1" applyFill="1" applyBorder="1"/>
    <xf numFmtId="2" fontId="0" fillId="0" borderId="3" xfId="0" applyNumberFormat="1" applyFill="1" applyBorder="1"/>
    <xf numFmtId="165" fontId="0" fillId="0" borderId="4" xfId="0" applyNumberFormat="1" applyFill="1" applyBorder="1"/>
    <xf numFmtId="0" fontId="0" fillId="0" borderId="14" xfId="0" applyFill="1" applyBorder="1"/>
    <xf numFmtId="0" fontId="0" fillId="0" borderId="13" xfId="0" applyFill="1" applyBorder="1" applyAlignment="1">
      <alignment horizontal="center"/>
    </xf>
    <xf numFmtId="0" fontId="2" fillId="0" borderId="0" xfId="0" applyFont="1" applyFill="1"/>
    <xf numFmtId="2" fontId="0" fillId="9" borderId="0" xfId="0" applyNumberFormat="1" applyFill="1"/>
    <xf numFmtId="0" fontId="0" fillId="4" borderId="0" xfId="0" applyFill="1"/>
    <xf numFmtId="0" fontId="8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0" xfId="0" applyFont="1" applyFill="1"/>
    <xf numFmtId="164" fontId="8" fillId="0" borderId="9" xfId="0" applyNumberFormat="1" applyFont="1" applyFill="1" applyBorder="1" applyAlignment="1">
      <alignment horizontal="right"/>
    </xf>
    <xf numFmtId="0" fontId="8" fillId="0" borderId="2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2" fontId="8" fillId="0" borderId="9" xfId="0" applyNumberFormat="1" applyFont="1" applyFill="1" applyBorder="1" applyAlignment="1">
      <alignment horizontal="right"/>
    </xf>
    <xf numFmtId="0" fontId="8" fillId="0" borderId="5" xfId="0" applyFont="1" applyFill="1" applyBorder="1" applyAlignment="1">
      <alignment horizontal="center" vertical="center"/>
    </xf>
    <xf numFmtId="164" fontId="8" fillId="0" borderId="0" xfId="0" applyNumberFormat="1" applyFont="1" applyFill="1" applyAlignment="1">
      <alignment horizontal="center" vertical="center"/>
    </xf>
    <xf numFmtId="0" fontId="0" fillId="0" borderId="12" xfId="0" applyBorder="1"/>
    <xf numFmtId="0" fontId="5" fillId="7" borderId="12" xfId="0" applyFont="1" applyFill="1" applyBorder="1"/>
    <xf numFmtId="0" fontId="0" fillId="4" borderId="12" xfId="0" applyFill="1" applyBorder="1"/>
    <xf numFmtId="0" fontId="9" fillId="0" borderId="0" xfId="0" applyFont="1"/>
    <xf numFmtId="0" fontId="0" fillId="3" borderId="12" xfId="0" applyFill="1" applyBorder="1"/>
    <xf numFmtId="0" fontId="2" fillId="0" borderId="12" xfId="0" applyFont="1" applyBorder="1"/>
    <xf numFmtId="2" fontId="0" fillId="4" borderId="12" xfId="0" applyNumberFormat="1" applyFill="1" applyBorder="1"/>
    <xf numFmtId="0" fontId="4" fillId="0" borderId="0" xfId="0" applyFont="1"/>
    <xf numFmtId="2" fontId="0" fillId="0" borderId="12" xfId="0" applyNumberFormat="1" applyBorder="1"/>
    <xf numFmtId="2" fontId="0" fillId="0" borderId="9" xfId="0" applyNumberFormat="1" applyFill="1" applyBorder="1" applyAlignment="1">
      <alignment horizontal="right"/>
    </xf>
    <xf numFmtId="0" fontId="0" fillId="9" borderId="0" xfId="0" applyFill="1" applyAlignment="1">
      <alignment horizontal="left"/>
    </xf>
    <xf numFmtId="164" fontId="0" fillId="0" borderId="0" xfId="0" applyNumberFormat="1" applyFill="1" applyBorder="1" applyAlignment="1">
      <alignment horizontal="right"/>
    </xf>
    <xf numFmtId="164" fontId="0" fillId="0" borderId="0" xfId="0" applyNumberFormat="1" applyFill="1" applyAlignment="1">
      <alignment horizontal="right"/>
    </xf>
    <xf numFmtId="2" fontId="0" fillId="0" borderId="12" xfId="0" applyNumberFormat="1" applyFill="1" applyBorder="1"/>
    <xf numFmtId="0" fontId="4" fillId="0" borderId="0" xfId="0" applyFont="1" applyFill="1" applyAlignment="1">
      <alignment horizontal="left"/>
    </xf>
    <xf numFmtId="0" fontId="10" fillId="0" borderId="0" xfId="0" applyFont="1" applyFill="1"/>
    <xf numFmtId="0" fontId="4" fillId="0" borderId="0" xfId="0" applyFont="1" applyFill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4" fontId="4" fillId="0" borderId="9" xfId="0" applyNumberFormat="1" applyFont="1" applyFill="1" applyBorder="1" applyAlignment="1">
      <alignment horizontal="right"/>
    </xf>
    <xf numFmtId="0" fontId="4" fillId="0" borderId="2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2" fontId="4" fillId="0" borderId="9" xfId="0" applyNumberFormat="1" applyFont="1" applyFill="1" applyBorder="1" applyAlignment="1">
      <alignment horizontal="right"/>
    </xf>
    <xf numFmtId="0" fontId="4" fillId="0" borderId="5" xfId="0" applyFont="1" applyFill="1" applyBorder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2" fontId="10" fillId="0" borderId="9" xfId="0" applyNumberFormat="1" applyFont="1" applyFill="1" applyBorder="1" applyAlignment="1">
      <alignment horizontal="right"/>
    </xf>
    <xf numFmtId="0" fontId="10" fillId="0" borderId="9" xfId="0" applyFont="1" applyFill="1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164" fontId="0" fillId="3" borderId="15" xfId="0" applyNumberFormat="1" applyFill="1" applyBorder="1" applyAlignment="1">
      <alignment horizontal="center"/>
    </xf>
    <xf numFmtId="164" fontId="0" fillId="3" borderId="16" xfId="0" applyNumberFormat="1" applyFill="1" applyBorder="1" applyAlignment="1">
      <alignment horizontal="center"/>
    </xf>
    <xf numFmtId="164" fontId="0" fillId="3" borderId="17" xfId="0" applyNumberFormat="1" applyFill="1" applyBorder="1" applyAlignment="1">
      <alignment horizontal="center"/>
    </xf>
    <xf numFmtId="164" fontId="0" fillId="0" borderId="15" xfId="0" applyNumberFormat="1" applyFill="1" applyBorder="1" applyAlignment="1">
      <alignment horizontal="center"/>
    </xf>
    <xf numFmtId="164" fontId="0" fillId="0" borderId="16" xfId="0" applyNumberFormat="1" applyFill="1" applyBorder="1" applyAlignment="1">
      <alignment horizontal="center"/>
    </xf>
    <xf numFmtId="164" fontId="0" fillId="0" borderId="17" xfId="0" applyNumberFormat="1" applyFill="1" applyBorder="1" applyAlignment="1">
      <alignment horizontal="center"/>
    </xf>
  </cellXfs>
  <cellStyles count="4">
    <cellStyle name="Comma" xfId="1" builtinId="3"/>
    <cellStyle name="Normal" xfId="0" builtinId="0"/>
    <cellStyle name="Normal 2" xfId="2" xr:uid="{00000000-0005-0000-0000-000003000000}"/>
    <cellStyle name="Output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38"/>
  <sheetViews>
    <sheetView topLeftCell="A6" workbookViewId="0">
      <selection activeCell="G36" sqref="G36"/>
    </sheetView>
  </sheetViews>
  <sheetFormatPr defaultRowHeight="15" x14ac:dyDescent="0.25"/>
  <cols>
    <col min="2" max="2" width="18.7109375" customWidth="1"/>
    <col min="3" max="3" width="12.85546875" customWidth="1"/>
    <col min="4" max="4" width="7.42578125" customWidth="1"/>
    <col min="5" max="5" width="16.85546875" customWidth="1"/>
    <col min="6" max="6" width="7.42578125" customWidth="1"/>
    <col min="7" max="7" width="17.42578125" bestFit="1" customWidth="1"/>
    <col min="8" max="8" width="7.42578125" bestFit="1" customWidth="1"/>
    <col min="9" max="9" width="18.85546875" bestFit="1" customWidth="1"/>
    <col min="10" max="11" width="6" bestFit="1" customWidth="1"/>
  </cols>
  <sheetData>
    <row r="1" spans="2:10" x14ac:dyDescent="0.25">
      <c r="B1" s="71" t="s">
        <v>140</v>
      </c>
      <c r="C1" s="71"/>
      <c r="D1" s="2" t="s">
        <v>2</v>
      </c>
      <c r="E1" s="2"/>
      <c r="F1" s="46" t="s">
        <v>4</v>
      </c>
      <c r="G1" s="46"/>
    </row>
    <row r="2" spans="2:10" x14ac:dyDescent="0.25">
      <c r="B2" s="12" t="s">
        <v>74</v>
      </c>
    </row>
    <row r="3" spans="2:10" x14ac:dyDescent="0.25">
      <c r="B3" s="84" t="s">
        <v>82</v>
      </c>
      <c r="C3" s="116" t="s">
        <v>83</v>
      </c>
      <c r="D3" s="117"/>
      <c r="E3" s="117"/>
      <c r="F3" s="117"/>
      <c r="G3" s="117"/>
      <c r="H3" s="118"/>
    </row>
    <row r="4" spans="2:10" x14ac:dyDescent="0.25">
      <c r="B4" s="85">
        <v>2329</v>
      </c>
      <c r="C4" s="84">
        <v>0</v>
      </c>
      <c r="D4" s="84">
        <v>2</v>
      </c>
      <c r="E4" s="84">
        <v>4</v>
      </c>
      <c r="F4" s="84">
        <v>6</v>
      </c>
      <c r="G4" s="84">
        <v>8</v>
      </c>
      <c r="H4" s="84">
        <v>10</v>
      </c>
    </row>
    <row r="5" spans="2:10" x14ac:dyDescent="0.25">
      <c r="B5" s="84"/>
      <c r="C5" s="92">
        <f>B4/6</f>
        <v>388.16666666666669</v>
      </c>
      <c r="D5" s="92">
        <f>$C$5*2</f>
        <v>776.33333333333337</v>
      </c>
      <c r="E5" s="90">
        <f>$C$5*3</f>
        <v>1164.5</v>
      </c>
      <c r="F5" s="92">
        <f>$C$5*4</f>
        <v>1552.6666666666667</v>
      </c>
      <c r="G5" s="92">
        <f>$C$5*5</f>
        <v>1940.8333333333335</v>
      </c>
      <c r="H5" s="92">
        <f>$C$5*6</f>
        <v>2329</v>
      </c>
    </row>
    <row r="6" spans="2:10" x14ac:dyDescent="0.25">
      <c r="B6" s="87" t="s">
        <v>141</v>
      </c>
    </row>
    <row r="7" spans="2:10" x14ac:dyDescent="0.25">
      <c r="B7" s="12" t="s">
        <v>84</v>
      </c>
    </row>
    <row r="8" spans="2:10" x14ac:dyDescent="0.25">
      <c r="B8" s="119" t="s">
        <v>85</v>
      </c>
      <c r="C8" s="113" t="s">
        <v>86</v>
      </c>
      <c r="D8" s="115"/>
      <c r="E8" s="116" t="s">
        <v>87</v>
      </c>
      <c r="F8" s="117"/>
      <c r="G8" s="117"/>
      <c r="H8" s="117"/>
      <c r="I8" s="117"/>
      <c r="J8" s="118"/>
    </row>
    <row r="9" spans="2:10" x14ac:dyDescent="0.25">
      <c r="B9" s="120"/>
      <c r="C9" s="84" t="s">
        <v>88</v>
      </c>
      <c r="D9" s="84" t="s">
        <v>89</v>
      </c>
      <c r="E9" s="84">
        <v>0</v>
      </c>
      <c r="F9" s="84">
        <v>2</v>
      </c>
      <c r="G9" s="84">
        <v>4</v>
      </c>
      <c r="H9" s="84">
        <v>6</v>
      </c>
      <c r="I9" s="84">
        <v>8</v>
      </c>
      <c r="J9" s="84">
        <v>10</v>
      </c>
    </row>
    <row r="10" spans="2:10" x14ac:dyDescent="0.25">
      <c r="B10" s="84" t="s">
        <v>90</v>
      </c>
      <c r="C10" s="88">
        <v>55</v>
      </c>
      <c r="D10" s="88">
        <v>74.77</v>
      </c>
      <c r="E10" s="84">
        <v>9.16</v>
      </c>
      <c r="F10" s="84">
        <v>18.36</v>
      </c>
      <c r="G10" s="84">
        <v>27.52</v>
      </c>
      <c r="H10" s="84">
        <v>36.68</v>
      </c>
      <c r="I10" s="84">
        <v>45.84</v>
      </c>
      <c r="J10" s="84">
        <v>55</v>
      </c>
    </row>
    <row r="11" spans="2:10" x14ac:dyDescent="0.25">
      <c r="B11" s="84" t="s">
        <v>91</v>
      </c>
      <c r="C11" s="88">
        <v>46.25</v>
      </c>
      <c r="D11" s="88">
        <v>62.87</v>
      </c>
      <c r="E11" s="84">
        <v>7.71</v>
      </c>
      <c r="F11" s="84">
        <v>15.41</v>
      </c>
      <c r="G11" s="84">
        <v>23.12</v>
      </c>
      <c r="H11" s="84">
        <v>30.83</v>
      </c>
      <c r="I11" s="84">
        <v>38.54</v>
      </c>
      <c r="J11" s="84">
        <v>46.25</v>
      </c>
    </row>
    <row r="12" spans="2:10" x14ac:dyDescent="0.25">
      <c r="B12" s="84" t="s">
        <v>92</v>
      </c>
      <c r="C12" s="88">
        <v>37.5</v>
      </c>
      <c r="D12" s="88">
        <v>50.98</v>
      </c>
      <c r="E12" s="84">
        <v>6.25</v>
      </c>
      <c r="F12" s="84">
        <v>12.5</v>
      </c>
      <c r="G12" s="84">
        <v>18.75</v>
      </c>
      <c r="H12" s="84">
        <v>25</v>
      </c>
      <c r="I12" s="84">
        <v>31.25</v>
      </c>
      <c r="J12" s="84">
        <v>37.5</v>
      </c>
    </row>
    <row r="13" spans="2:10" x14ac:dyDescent="0.25">
      <c r="B13" s="84" t="s">
        <v>93</v>
      </c>
      <c r="C13" s="88">
        <v>28.75</v>
      </c>
      <c r="D13" s="88">
        <v>39.08</v>
      </c>
      <c r="E13" s="84">
        <v>4.79</v>
      </c>
      <c r="F13" s="84">
        <v>9.58</v>
      </c>
      <c r="G13" s="84">
        <v>14.37</v>
      </c>
      <c r="H13" s="84">
        <v>19.16</v>
      </c>
      <c r="I13" s="84">
        <v>23.95</v>
      </c>
      <c r="J13" s="84">
        <v>28.75</v>
      </c>
    </row>
    <row r="14" spans="2:10" x14ac:dyDescent="0.25">
      <c r="B14" s="84" t="s">
        <v>94</v>
      </c>
      <c r="C14" s="88">
        <v>20</v>
      </c>
      <c r="D14" s="86">
        <v>27.19</v>
      </c>
      <c r="E14" s="84">
        <v>3.33</v>
      </c>
      <c r="F14" s="86">
        <v>6.67</v>
      </c>
      <c r="G14" s="84">
        <v>10</v>
      </c>
      <c r="H14" s="84">
        <v>13.33</v>
      </c>
      <c r="I14" s="84">
        <v>16.66</v>
      </c>
      <c r="J14" s="84">
        <v>20</v>
      </c>
    </row>
    <row r="16" spans="2:10" x14ac:dyDescent="0.25">
      <c r="B16" s="113" t="s">
        <v>95</v>
      </c>
      <c r="C16" s="114"/>
      <c r="D16" s="114"/>
      <c r="E16" s="114"/>
      <c r="F16" s="114"/>
      <c r="G16" s="114"/>
      <c r="H16" s="114"/>
      <c r="I16" s="115"/>
    </row>
    <row r="17" spans="2:11" x14ac:dyDescent="0.25">
      <c r="B17" s="121" t="s">
        <v>62</v>
      </c>
      <c r="C17" s="121"/>
      <c r="D17" s="121" t="s">
        <v>96</v>
      </c>
      <c r="E17" s="121"/>
      <c r="F17" s="121" t="s">
        <v>97</v>
      </c>
      <c r="G17" s="121"/>
      <c r="H17" s="121" t="s">
        <v>98</v>
      </c>
      <c r="I17" s="121"/>
    </row>
    <row r="18" spans="2:11" x14ac:dyDescent="0.25">
      <c r="B18" s="89" t="s">
        <v>99</v>
      </c>
      <c r="C18" s="89" t="s">
        <v>1</v>
      </c>
      <c r="D18" s="89" t="s">
        <v>99</v>
      </c>
      <c r="E18" s="89" t="s">
        <v>1</v>
      </c>
      <c r="F18" s="89" t="s">
        <v>99</v>
      </c>
      <c r="G18" s="89" t="s">
        <v>1</v>
      </c>
      <c r="H18" s="89" t="s">
        <v>99</v>
      </c>
      <c r="I18" s="89" t="s">
        <v>1</v>
      </c>
    </row>
    <row r="19" spans="2:11" x14ac:dyDescent="0.25">
      <c r="B19" s="84">
        <v>0</v>
      </c>
      <c r="C19" s="84" t="s">
        <v>100</v>
      </c>
      <c r="D19" s="84">
        <v>0</v>
      </c>
      <c r="E19" s="84" t="s">
        <v>101</v>
      </c>
      <c r="F19" s="84">
        <v>0</v>
      </c>
      <c r="G19" s="84" t="s">
        <v>102</v>
      </c>
      <c r="H19" s="84">
        <v>0</v>
      </c>
      <c r="I19" s="84" t="s">
        <v>103</v>
      </c>
    </row>
    <row r="20" spans="2:11" x14ac:dyDescent="0.25">
      <c r="B20" s="84">
        <v>2</v>
      </c>
      <c r="C20" s="84" t="s">
        <v>104</v>
      </c>
      <c r="D20" s="84">
        <v>2</v>
      </c>
      <c r="E20" s="84" t="s">
        <v>105</v>
      </c>
      <c r="F20" s="84">
        <v>2</v>
      </c>
      <c r="G20" s="84" t="s">
        <v>106</v>
      </c>
      <c r="H20" s="84">
        <v>2</v>
      </c>
      <c r="I20" s="84" t="s">
        <v>107</v>
      </c>
    </row>
    <row r="21" spans="2:11" x14ac:dyDescent="0.25">
      <c r="B21" s="86">
        <v>4</v>
      </c>
      <c r="C21" s="84" t="s">
        <v>108</v>
      </c>
      <c r="D21" s="86">
        <v>4</v>
      </c>
      <c r="E21" s="84" t="s">
        <v>109</v>
      </c>
      <c r="F21" s="84">
        <v>4</v>
      </c>
      <c r="G21" s="84" t="s">
        <v>110</v>
      </c>
      <c r="H21" s="84">
        <v>4</v>
      </c>
      <c r="I21" s="84" t="s">
        <v>111</v>
      </c>
    </row>
    <row r="22" spans="2:11" x14ac:dyDescent="0.25">
      <c r="B22" s="84">
        <v>6</v>
      </c>
      <c r="C22" s="84" t="s">
        <v>112</v>
      </c>
      <c r="D22" s="84">
        <v>6</v>
      </c>
      <c r="E22" s="84" t="s">
        <v>113</v>
      </c>
      <c r="F22" s="84">
        <v>6</v>
      </c>
      <c r="G22" s="84" t="s">
        <v>114</v>
      </c>
      <c r="H22" s="84">
        <v>6</v>
      </c>
      <c r="I22" s="84" t="s">
        <v>115</v>
      </c>
    </row>
    <row r="23" spans="2:11" x14ac:dyDescent="0.25">
      <c r="B23" s="84">
        <v>8</v>
      </c>
      <c r="C23" s="84" t="s">
        <v>116</v>
      </c>
      <c r="D23" s="84">
        <v>8</v>
      </c>
      <c r="E23" s="84" t="s">
        <v>117</v>
      </c>
      <c r="F23" s="86">
        <v>8</v>
      </c>
      <c r="G23" s="84" t="s">
        <v>118</v>
      </c>
      <c r="H23" s="86">
        <v>8</v>
      </c>
      <c r="I23" s="84" t="s">
        <v>119</v>
      </c>
    </row>
    <row r="24" spans="2:11" x14ac:dyDescent="0.25">
      <c r="B24" s="84">
        <v>10</v>
      </c>
      <c r="C24" s="84" t="s">
        <v>120</v>
      </c>
      <c r="D24" s="84">
        <v>10</v>
      </c>
      <c r="E24" s="84" t="s">
        <v>121</v>
      </c>
      <c r="F24" s="84">
        <v>10</v>
      </c>
      <c r="G24" s="84" t="s">
        <v>122</v>
      </c>
      <c r="H24" s="84">
        <v>10</v>
      </c>
      <c r="I24" s="84" t="s">
        <v>123</v>
      </c>
    </row>
    <row r="26" spans="2:11" x14ac:dyDescent="0.25">
      <c r="B26" s="12" t="s">
        <v>124</v>
      </c>
    </row>
    <row r="27" spans="2:11" x14ac:dyDescent="0.25">
      <c r="B27" s="84" t="s">
        <v>82</v>
      </c>
      <c r="C27" s="113" t="s">
        <v>83</v>
      </c>
      <c r="D27" s="114"/>
      <c r="E27" s="114"/>
      <c r="F27" s="114"/>
      <c r="G27" s="114"/>
      <c r="H27" s="115"/>
    </row>
    <row r="28" spans="2:11" x14ac:dyDescent="0.25">
      <c r="B28" s="85">
        <v>2329</v>
      </c>
      <c r="C28" s="84">
        <v>10</v>
      </c>
      <c r="D28" s="84">
        <v>8</v>
      </c>
      <c r="E28" s="84">
        <v>6</v>
      </c>
      <c r="F28" s="86">
        <v>4</v>
      </c>
      <c r="G28" s="84">
        <v>2</v>
      </c>
      <c r="H28" s="84">
        <v>0</v>
      </c>
    </row>
    <row r="29" spans="2:11" x14ac:dyDescent="0.25">
      <c r="B29" s="84"/>
      <c r="C29" s="92">
        <f>B28/6</f>
        <v>388.16666666666669</v>
      </c>
      <c r="D29" s="92">
        <f>$C$29*2</f>
        <v>776.33333333333337</v>
      </c>
      <c r="E29" s="97">
        <f>$C$29*3</f>
        <v>1164.5</v>
      </c>
      <c r="F29" s="90">
        <f>$C$29*4</f>
        <v>1552.6666666666667</v>
      </c>
      <c r="G29" s="92">
        <f>$C$29*5</f>
        <v>1940.8333333333335</v>
      </c>
      <c r="H29" s="92">
        <f>$C$29*6</f>
        <v>2329</v>
      </c>
    </row>
    <row r="30" spans="2:11" x14ac:dyDescent="0.25">
      <c r="B30" s="87"/>
      <c r="D30" t="s">
        <v>142</v>
      </c>
      <c r="F30" t="s">
        <v>143</v>
      </c>
    </row>
    <row r="31" spans="2:11" x14ac:dyDescent="0.25">
      <c r="B31" s="91" t="s">
        <v>125</v>
      </c>
    </row>
    <row r="32" spans="2:11" x14ac:dyDescent="0.25">
      <c r="B32" s="89" t="s">
        <v>126</v>
      </c>
      <c r="C32" s="84" t="s">
        <v>127</v>
      </c>
      <c r="D32" s="84" t="s">
        <v>128</v>
      </c>
      <c r="E32" s="88" t="s">
        <v>129</v>
      </c>
      <c r="F32" s="113" t="s">
        <v>130</v>
      </c>
      <c r="G32" s="114"/>
      <c r="H32" s="114"/>
      <c r="I32" s="114"/>
      <c r="J32" s="114"/>
      <c r="K32" s="115"/>
    </row>
    <row r="33" spans="2:11" x14ac:dyDescent="0.25">
      <c r="B33" s="84" t="s">
        <v>131</v>
      </c>
      <c r="C33" s="84" t="s">
        <v>132</v>
      </c>
      <c r="D33" s="84" t="s">
        <v>133</v>
      </c>
      <c r="E33" s="88" t="s">
        <v>134</v>
      </c>
      <c r="F33" s="84">
        <v>0</v>
      </c>
      <c r="G33" s="84">
        <v>2</v>
      </c>
      <c r="H33" s="84">
        <v>4</v>
      </c>
      <c r="I33" s="84">
        <v>6</v>
      </c>
      <c r="J33" s="84">
        <v>8</v>
      </c>
      <c r="K33" s="84">
        <v>10</v>
      </c>
    </row>
    <row r="34" spans="2:11" x14ac:dyDescent="0.25">
      <c r="B34" s="84" t="s">
        <v>135</v>
      </c>
      <c r="C34" s="88">
        <v>400</v>
      </c>
      <c r="D34" s="88">
        <v>10</v>
      </c>
      <c r="E34" s="84">
        <v>390</v>
      </c>
      <c r="F34" s="84">
        <v>10</v>
      </c>
      <c r="G34" s="84">
        <v>78</v>
      </c>
      <c r="H34" s="84">
        <v>156</v>
      </c>
      <c r="I34" s="84">
        <v>234</v>
      </c>
      <c r="J34" s="84">
        <v>312</v>
      </c>
      <c r="K34" s="84">
        <v>400</v>
      </c>
    </row>
    <row r="35" spans="2:11" x14ac:dyDescent="0.25">
      <c r="B35" s="84" t="s">
        <v>136</v>
      </c>
      <c r="C35" s="88">
        <v>337.5</v>
      </c>
      <c r="D35" s="88">
        <v>32.5</v>
      </c>
      <c r="E35" s="84">
        <v>305</v>
      </c>
      <c r="F35" s="84">
        <v>32.5</v>
      </c>
      <c r="G35" s="84">
        <v>93.5</v>
      </c>
      <c r="H35" s="84">
        <v>154.5</v>
      </c>
      <c r="I35" s="84">
        <v>215.5</v>
      </c>
      <c r="J35" s="84">
        <v>276.5</v>
      </c>
      <c r="K35" s="84">
        <v>337.5</v>
      </c>
    </row>
    <row r="36" spans="2:11" x14ac:dyDescent="0.25">
      <c r="B36" s="84" t="s">
        <v>137</v>
      </c>
      <c r="C36" s="86">
        <v>275</v>
      </c>
      <c r="D36" s="86">
        <v>55</v>
      </c>
      <c r="E36" s="84">
        <v>220</v>
      </c>
      <c r="F36" s="84">
        <v>55</v>
      </c>
      <c r="G36" s="86">
        <v>99</v>
      </c>
      <c r="H36" s="84">
        <v>143</v>
      </c>
      <c r="I36" s="84">
        <v>187</v>
      </c>
      <c r="J36" s="84">
        <v>231</v>
      </c>
      <c r="K36" s="84">
        <v>275</v>
      </c>
    </row>
    <row r="37" spans="2:11" x14ac:dyDescent="0.25">
      <c r="B37" s="84" t="s">
        <v>138</v>
      </c>
      <c r="C37" s="88">
        <v>212.5</v>
      </c>
      <c r="D37" s="88">
        <v>77.5</v>
      </c>
      <c r="E37" s="84">
        <v>135</v>
      </c>
      <c r="F37" s="84">
        <v>77.5</v>
      </c>
      <c r="G37" s="84">
        <v>104.5</v>
      </c>
      <c r="H37" s="84">
        <v>131.5</v>
      </c>
      <c r="I37" s="84">
        <v>158.5</v>
      </c>
      <c r="J37" s="84">
        <v>185.5</v>
      </c>
      <c r="K37" s="84">
        <v>212.5</v>
      </c>
    </row>
    <row r="38" spans="2:11" x14ac:dyDescent="0.25">
      <c r="B38" s="84" t="s">
        <v>139</v>
      </c>
      <c r="C38" s="88">
        <v>150</v>
      </c>
      <c r="D38" s="88">
        <v>100</v>
      </c>
      <c r="E38" s="84">
        <v>50</v>
      </c>
      <c r="F38" s="84">
        <v>100</v>
      </c>
      <c r="G38" s="84">
        <v>110</v>
      </c>
      <c r="H38" s="84">
        <v>120</v>
      </c>
      <c r="I38" s="84">
        <v>130</v>
      </c>
      <c r="J38" s="84">
        <v>140</v>
      </c>
      <c r="K38" s="84">
        <v>150</v>
      </c>
    </row>
  </sheetData>
  <mergeCells count="11">
    <mergeCell ref="C27:H27"/>
    <mergeCell ref="F32:K32"/>
    <mergeCell ref="C3:H3"/>
    <mergeCell ref="B8:B9"/>
    <mergeCell ref="C8:D8"/>
    <mergeCell ref="E8:J8"/>
    <mergeCell ref="B16:I16"/>
    <mergeCell ref="B17:C17"/>
    <mergeCell ref="D17:E17"/>
    <mergeCell ref="F17:G17"/>
    <mergeCell ref="H17:I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T104"/>
  <sheetViews>
    <sheetView tabSelected="1" topLeftCell="A3" zoomScaleNormal="100" workbookViewId="0">
      <pane xSplit="3" ySplit="1" topLeftCell="D83" activePane="bottomRight" state="frozen"/>
      <selection activeCell="A3" sqref="A3"/>
      <selection pane="topRight" activeCell="D3" sqref="D3"/>
      <selection pane="bottomLeft" activeCell="A4" sqref="A4"/>
      <selection pane="bottomRight" activeCell="I88" sqref="I88:I89"/>
    </sheetView>
  </sheetViews>
  <sheetFormatPr defaultRowHeight="15" x14ac:dyDescent="0.25"/>
  <cols>
    <col min="1" max="1" width="2.140625" style="1" bestFit="1" customWidth="1"/>
    <col min="2" max="2" width="42.28515625" style="3" customWidth="1"/>
    <col min="3" max="3" width="8.5703125" style="73" bestFit="1" customWidth="1"/>
    <col min="4" max="4" width="8.5703125" style="112" customWidth="1"/>
    <col min="5" max="5" width="8.5703125" style="13" customWidth="1"/>
    <col min="6" max="15" width="8.5703125" style="1" customWidth="1"/>
    <col min="16" max="27" width="9.28515625" style="1" bestFit="1" customWidth="1"/>
    <col min="28" max="28" width="9.28515625" style="53" bestFit="1" customWidth="1"/>
    <col min="29" max="29" width="9.28515625" style="13" bestFit="1" customWidth="1"/>
    <col min="30" max="51" width="9.28515625" style="1" bestFit="1" customWidth="1"/>
    <col min="52" max="52" width="9.28515625" style="53" bestFit="1" customWidth="1"/>
    <col min="53" max="53" width="9.28515625" style="13" bestFit="1" customWidth="1"/>
    <col min="54" max="63" width="9.28515625" style="1" bestFit="1" customWidth="1"/>
    <col min="64" max="75" width="10.42578125" style="1" bestFit="1" customWidth="1"/>
    <col min="76" max="76" width="10.42578125" style="53" bestFit="1" customWidth="1"/>
    <col min="77" max="77" width="9.28515625" style="13" bestFit="1" customWidth="1"/>
    <col min="78" max="87" width="9.28515625" style="1" bestFit="1" customWidth="1"/>
    <col min="88" max="99" width="10.42578125" style="1" bestFit="1" customWidth="1"/>
    <col min="100" max="100" width="10.42578125" style="53" bestFit="1" customWidth="1"/>
    <col min="101" max="111" width="9.28515625" style="1" bestFit="1" customWidth="1"/>
    <col min="112" max="124" width="10.42578125" style="1" bestFit="1" customWidth="1"/>
    <col min="125" max="16384" width="9.140625" style="1"/>
  </cols>
  <sheetData>
    <row r="1" spans="2:124" hidden="1" x14ac:dyDescent="0.25">
      <c r="C1" s="72" t="s">
        <v>1</v>
      </c>
      <c r="D1" s="98"/>
      <c r="E1" s="5"/>
      <c r="F1" s="6" t="s">
        <v>2</v>
      </c>
      <c r="H1" s="7"/>
      <c r="I1" s="8" t="s">
        <v>3</v>
      </c>
      <c r="M1" s="48"/>
      <c r="N1" s="69" t="s">
        <v>68</v>
      </c>
    </row>
    <row r="2" spans="2:124" hidden="1" x14ac:dyDescent="0.25">
      <c r="C2" s="75"/>
      <c r="D2" s="99"/>
      <c r="E2" s="9"/>
      <c r="F2" s="10" t="s">
        <v>4</v>
      </c>
      <c r="H2" s="11"/>
      <c r="I2" s="12" t="s">
        <v>5</v>
      </c>
      <c r="L2" s="1">
        <f>2/60</f>
        <v>3.3333333333333333E-2</v>
      </c>
    </row>
    <row r="3" spans="2:124" ht="15.75" thickBot="1" x14ac:dyDescent="0.3">
      <c r="B3" s="4" t="s">
        <v>6</v>
      </c>
      <c r="D3" s="100"/>
    </row>
    <row r="4" spans="2:124" x14ac:dyDescent="0.25">
      <c r="D4" s="100"/>
      <c r="E4" s="122" t="s">
        <v>69</v>
      </c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5" t="s">
        <v>70</v>
      </c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7"/>
      <c r="BA4" s="122" t="s">
        <v>71</v>
      </c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4"/>
      <c r="BY4" s="125" t="s">
        <v>72</v>
      </c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7"/>
      <c r="CW4" s="122" t="s">
        <v>73</v>
      </c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4"/>
    </row>
    <row r="5" spans="2:124" s="16" customFormat="1" ht="15.75" thickBot="1" x14ac:dyDescent="0.3">
      <c r="B5" s="14" t="s">
        <v>149</v>
      </c>
      <c r="C5" s="74"/>
      <c r="D5" s="101" t="s">
        <v>7</v>
      </c>
      <c r="E5" s="15">
        <v>4.1666666666666664E-2</v>
      </c>
      <c r="F5" s="15">
        <v>8.3333333333333301E-2</v>
      </c>
      <c r="G5" s="15">
        <v>0.125</v>
      </c>
      <c r="H5" s="15">
        <v>0.16666666666666699</v>
      </c>
      <c r="I5" s="15">
        <v>0.20833333333333301</v>
      </c>
      <c r="J5" s="15">
        <v>0.25</v>
      </c>
      <c r="K5" s="15">
        <v>0.29166666666666702</v>
      </c>
      <c r="L5" s="15">
        <v>0.33333333333333298</v>
      </c>
      <c r="M5" s="15">
        <v>0.375</v>
      </c>
      <c r="N5" s="15">
        <v>0.41666666666666702</v>
      </c>
      <c r="O5" s="15">
        <v>0.45833333333333298</v>
      </c>
      <c r="P5" s="15">
        <v>0.5</v>
      </c>
      <c r="Q5" s="15">
        <v>0.54166666666666696</v>
      </c>
      <c r="R5" s="15">
        <v>0.58333333333333304</v>
      </c>
      <c r="S5" s="15">
        <v>0.625</v>
      </c>
      <c r="T5" s="15">
        <v>0.66666666666666696</v>
      </c>
      <c r="U5" s="15">
        <v>0.70833333333333304</v>
      </c>
      <c r="V5" s="15">
        <v>0.75</v>
      </c>
      <c r="W5" s="15">
        <v>0.79166666666666696</v>
      </c>
      <c r="X5" s="15">
        <v>0.83333333333333304</v>
      </c>
      <c r="Y5" s="15">
        <v>0.875</v>
      </c>
      <c r="Z5" s="15">
        <v>0.91666666666666696</v>
      </c>
      <c r="AA5" s="15">
        <v>0.95833333333333404</v>
      </c>
      <c r="AB5" s="54">
        <v>1</v>
      </c>
      <c r="AC5" s="15">
        <v>1.0416666666666701</v>
      </c>
      <c r="AD5" s="15">
        <v>1.0833333333333299</v>
      </c>
      <c r="AE5" s="15">
        <v>0.125</v>
      </c>
      <c r="AF5" s="15">
        <v>0.16666666666666699</v>
      </c>
      <c r="AG5" s="15">
        <v>0.20833333333333301</v>
      </c>
      <c r="AH5" s="15">
        <v>0.25</v>
      </c>
      <c r="AI5" s="15">
        <v>0.29166666666666702</v>
      </c>
      <c r="AJ5" s="15">
        <v>0.33333333333333298</v>
      </c>
      <c r="AK5" s="15">
        <v>0.375</v>
      </c>
      <c r="AL5" s="15">
        <v>0.41666666666666702</v>
      </c>
      <c r="AM5" s="15">
        <v>0.45833333333333298</v>
      </c>
      <c r="AN5" s="15">
        <v>0.5</v>
      </c>
      <c r="AO5" s="15">
        <v>0.54166666666666696</v>
      </c>
      <c r="AP5" s="15">
        <v>0.58333333333333304</v>
      </c>
      <c r="AQ5" s="15">
        <v>0.625</v>
      </c>
      <c r="AR5" s="15">
        <v>0.66666666666666696</v>
      </c>
      <c r="AS5" s="15">
        <v>0.70833333333333304</v>
      </c>
      <c r="AT5" s="15">
        <v>0.75</v>
      </c>
      <c r="AU5" s="15">
        <v>0.79166666666666696</v>
      </c>
      <c r="AV5" s="15">
        <v>0.83333333333333304</v>
      </c>
      <c r="AW5" s="15">
        <v>0.875</v>
      </c>
      <c r="AX5" s="15">
        <v>0.91666666666666696</v>
      </c>
      <c r="AY5" s="15">
        <v>0.95833333333333404</v>
      </c>
      <c r="AZ5" s="54">
        <v>1</v>
      </c>
      <c r="BA5" s="15">
        <v>1.0416666666666701</v>
      </c>
      <c r="BB5" s="15">
        <v>1.0833333333333299</v>
      </c>
      <c r="BC5" s="15">
        <v>0.125</v>
      </c>
      <c r="BD5" s="15">
        <v>0.16666666666666699</v>
      </c>
      <c r="BE5" s="15">
        <v>0.20833333333333301</v>
      </c>
      <c r="BF5" s="15">
        <v>0.25</v>
      </c>
      <c r="BG5" s="15">
        <v>0.29166666666666702</v>
      </c>
      <c r="BH5" s="15">
        <v>0.33333333333333298</v>
      </c>
      <c r="BI5" s="15">
        <v>0.375</v>
      </c>
      <c r="BJ5" s="15">
        <v>0.41666666666666702</v>
      </c>
      <c r="BK5" s="15">
        <v>0.45833333333333298</v>
      </c>
      <c r="BL5" s="15">
        <v>0.5</v>
      </c>
      <c r="BM5" s="15">
        <v>0.54166666666666696</v>
      </c>
      <c r="BN5" s="15">
        <v>0.58333333333333304</v>
      </c>
      <c r="BO5" s="15">
        <v>0.625</v>
      </c>
      <c r="BP5" s="15">
        <v>0.66666666666666696</v>
      </c>
      <c r="BQ5" s="15">
        <v>0.70833333333333304</v>
      </c>
      <c r="BR5" s="15">
        <v>0.75</v>
      </c>
      <c r="BS5" s="15">
        <v>0.79166666666666696</v>
      </c>
      <c r="BT5" s="15">
        <v>0.83333333333333304</v>
      </c>
      <c r="BU5" s="15">
        <v>0.875</v>
      </c>
      <c r="BV5" s="15">
        <v>0.91666666666666696</v>
      </c>
      <c r="BW5" s="15">
        <v>0.95833333333333404</v>
      </c>
      <c r="BX5" s="54">
        <v>1</v>
      </c>
      <c r="BY5" s="15">
        <v>1.0416666666666701</v>
      </c>
      <c r="BZ5" s="15">
        <v>1.0833333333333299</v>
      </c>
      <c r="CA5" s="15">
        <v>0.125</v>
      </c>
      <c r="CB5" s="15">
        <v>0.16666666666666699</v>
      </c>
      <c r="CC5" s="15">
        <v>0.20833333333333301</v>
      </c>
      <c r="CD5" s="15">
        <v>0.25</v>
      </c>
      <c r="CE5" s="15">
        <v>0.29166666666666702</v>
      </c>
      <c r="CF5" s="15">
        <v>0.33333333333333298</v>
      </c>
      <c r="CG5" s="15">
        <v>0.375</v>
      </c>
      <c r="CH5" s="15">
        <v>0.41666666666666702</v>
      </c>
      <c r="CI5" s="15">
        <v>0.45833333333333298</v>
      </c>
      <c r="CJ5" s="15">
        <v>0.5</v>
      </c>
      <c r="CK5" s="15">
        <v>0.54166666666666696</v>
      </c>
      <c r="CL5" s="15">
        <v>0.58333333333333304</v>
      </c>
      <c r="CM5" s="15">
        <v>0.625</v>
      </c>
      <c r="CN5" s="15">
        <v>0.66666666666666696</v>
      </c>
      <c r="CO5" s="15">
        <v>0.70833333333333304</v>
      </c>
      <c r="CP5" s="15">
        <v>0.75</v>
      </c>
      <c r="CQ5" s="15">
        <v>0.79166666666666696</v>
      </c>
      <c r="CR5" s="15">
        <v>0.83333333333333304</v>
      </c>
      <c r="CS5" s="15">
        <v>0.875</v>
      </c>
      <c r="CT5" s="15">
        <v>0.91666666666666696</v>
      </c>
      <c r="CU5" s="15">
        <v>0.95833333333333404</v>
      </c>
      <c r="CV5" s="54">
        <v>1</v>
      </c>
      <c r="CW5" s="15">
        <v>1.0416666666666701</v>
      </c>
      <c r="CX5" s="15">
        <v>1.0833333333333299</v>
      </c>
      <c r="CY5" s="15">
        <v>0.125</v>
      </c>
      <c r="CZ5" s="15">
        <v>0.16666666666666699</v>
      </c>
      <c r="DA5" s="15">
        <v>0.20833333333333301</v>
      </c>
      <c r="DB5" s="15">
        <v>0.25</v>
      </c>
      <c r="DC5" s="15">
        <v>0.29166666666666702</v>
      </c>
      <c r="DD5" s="15">
        <v>0.33333333333333298</v>
      </c>
      <c r="DE5" s="15">
        <v>0.375</v>
      </c>
      <c r="DF5" s="15">
        <v>0.41666666666666702</v>
      </c>
      <c r="DG5" s="15">
        <v>0.45833333333333298</v>
      </c>
      <c r="DH5" s="15">
        <v>0.5</v>
      </c>
      <c r="DI5" s="15">
        <v>0.54166666666666696</v>
      </c>
      <c r="DJ5" s="15">
        <v>0.58333333333333304</v>
      </c>
      <c r="DK5" s="15">
        <v>0.625</v>
      </c>
      <c r="DL5" s="15">
        <v>0.66666666666666696</v>
      </c>
      <c r="DM5" s="15">
        <v>0.70833333333333304</v>
      </c>
      <c r="DN5" s="15">
        <v>0.75</v>
      </c>
      <c r="DO5" s="15">
        <v>0.79166666666666696</v>
      </c>
      <c r="DP5" s="15">
        <v>0.83333333333333304</v>
      </c>
      <c r="DQ5" s="15">
        <v>0.875</v>
      </c>
      <c r="DR5" s="15">
        <v>0.91666666666666696</v>
      </c>
      <c r="DS5" s="15">
        <v>0.95833333333333404</v>
      </c>
      <c r="DT5" s="54">
        <v>1</v>
      </c>
    </row>
    <row r="6" spans="2:124" x14ac:dyDescent="0.25">
      <c r="B6" s="3" t="s">
        <v>150</v>
      </c>
      <c r="D6" s="102">
        <v>8</v>
      </c>
      <c r="E6" s="17">
        <f>D9</f>
        <v>8</v>
      </c>
      <c r="F6" s="18">
        <f t="shared" ref="F6:BQ6" si="0">E9</f>
        <v>8.821899856661144</v>
      </c>
      <c r="G6" s="18">
        <f t="shared" si="0"/>
        <v>8.875</v>
      </c>
      <c r="H6" s="18">
        <f t="shared" si="0"/>
        <v>8.875</v>
      </c>
      <c r="I6" s="18">
        <f t="shared" si="0"/>
        <v>8.875</v>
      </c>
      <c r="J6" s="18">
        <f t="shared" si="0"/>
        <v>8.2251774429871123</v>
      </c>
      <c r="K6" s="18">
        <f t="shared" si="0"/>
        <v>7.5519283243536348</v>
      </c>
      <c r="L6" s="18">
        <f t="shared" si="0"/>
        <v>6.8273014748615832</v>
      </c>
      <c r="M6" s="18">
        <f t="shared" si="0"/>
        <v>6.3273253952986197</v>
      </c>
      <c r="N6" s="18">
        <f t="shared" si="0"/>
        <v>6.3218038296251935</v>
      </c>
      <c r="O6" s="18">
        <f t="shared" si="0"/>
        <v>6.0575491656925999</v>
      </c>
      <c r="P6" s="18">
        <f t="shared" si="0"/>
        <v>5.9111552095751918</v>
      </c>
      <c r="Q6" s="18">
        <f t="shared" si="0"/>
        <v>5.6943250582357923</v>
      </c>
      <c r="R6" s="18">
        <f t="shared" si="0"/>
        <v>5.5012071631929889</v>
      </c>
      <c r="S6" s="18">
        <f t="shared" si="0"/>
        <v>5.2847272986874891</v>
      </c>
      <c r="T6" s="18">
        <f t="shared" si="0"/>
        <v>5.0914342602277367</v>
      </c>
      <c r="U6" s="18">
        <f t="shared" si="0"/>
        <v>4.9246608209290121</v>
      </c>
      <c r="V6" s="18">
        <f t="shared" si="0"/>
        <v>4.7054355049774488</v>
      </c>
      <c r="W6" s="18">
        <f t="shared" si="0"/>
        <v>4.4732440502799795</v>
      </c>
      <c r="X6" s="18">
        <f t="shared" si="0"/>
        <v>4.2083435878831388</v>
      </c>
      <c r="Y6" s="18">
        <f t="shared" si="0"/>
        <v>3.9765942337955513</v>
      </c>
      <c r="Z6" s="18">
        <f t="shared" si="0"/>
        <v>3.8288303410210744</v>
      </c>
      <c r="AA6" s="18">
        <f t="shared" si="0"/>
        <v>3.5991165010038748</v>
      </c>
      <c r="AB6" s="55">
        <f t="shared" si="0"/>
        <v>4.8605956837557525</v>
      </c>
      <c r="AC6" s="18">
        <f t="shared" ref="AC6" si="1">AB9</f>
        <v>6.1352581948713096</v>
      </c>
      <c r="AD6" s="18">
        <f t="shared" ref="AD6" si="2">AC9</f>
        <v>7.3888043048017797</v>
      </c>
      <c r="AE6" s="18">
        <f t="shared" ref="AE6" si="3">AD9</f>
        <v>8.6383838783215463</v>
      </c>
      <c r="AF6" s="18">
        <f t="shared" ref="AF6" si="4">AE9</f>
        <v>8.875</v>
      </c>
      <c r="AG6" s="18">
        <f t="shared" ref="AG6" si="5">AF9</f>
        <v>8.875</v>
      </c>
      <c r="AH6" s="18">
        <f t="shared" ref="AH6" si="6">AG9</f>
        <v>8.6472667063666702</v>
      </c>
      <c r="AI6" s="18">
        <f t="shared" ref="AI6" si="7">AH9</f>
        <v>8.3340489225968195</v>
      </c>
      <c r="AJ6" s="18">
        <f t="shared" ref="AJ6" si="8">AI9</f>
        <v>8.0236161673090614</v>
      </c>
      <c r="AK6" s="18">
        <f t="shared" ref="AK6" si="9">AJ9</f>
        <v>7.7527815413445893</v>
      </c>
      <c r="AL6" s="18">
        <f t="shared" ref="AL6" si="10">AK9</f>
        <v>7.6283057206888625</v>
      </c>
      <c r="AM6" s="18">
        <f t="shared" ref="AM6" si="11">AL9</f>
        <v>7.4038023074236676</v>
      </c>
      <c r="AN6" s="18">
        <f t="shared" ref="AN6" si="12">AM9</f>
        <v>7.2024645005081123</v>
      </c>
      <c r="AO6" s="18">
        <f t="shared" ref="AO6" si="13">AN9</f>
        <v>6.9626957004626426</v>
      </c>
      <c r="AP6" s="18">
        <f t="shared" ref="AP6" si="14">AO9</f>
        <v>6.7152942070270356</v>
      </c>
      <c r="AQ6" s="18">
        <f t="shared" ref="AQ6" si="15">AP9</f>
        <v>6.4908863388258506</v>
      </c>
      <c r="AR6" s="18">
        <f t="shared" ref="AR6" si="16">AQ9</f>
        <v>6.3392196041870257</v>
      </c>
      <c r="AS6" s="18">
        <f t="shared" ref="AS6" si="17">AR9</f>
        <v>6.1104127399568373</v>
      </c>
      <c r="AT6" s="18">
        <f t="shared" ref="AT6" si="18">AS9</f>
        <v>5.8794063777121464</v>
      </c>
      <c r="AU6" s="18">
        <f t="shared" ref="AU6" si="19">AT9</f>
        <v>5.6087302016645237</v>
      </c>
      <c r="AV6" s="18">
        <f t="shared" ref="AV6" si="20">AU9</f>
        <v>5.3171193697081831</v>
      </c>
      <c r="AW6" s="18">
        <f t="shared" ref="AW6" si="21">AV9</f>
        <v>5.06509698199919</v>
      </c>
      <c r="AX6" s="18">
        <f t="shared" ref="AX6" si="22">AW9</f>
        <v>4.9284307676447057</v>
      </c>
      <c r="AY6" s="18">
        <f t="shared" ref="AY6" si="23">AX9</f>
        <v>6.2354746137460779</v>
      </c>
      <c r="AZ6" s="55">
        <f t="shared" ref="AZ6" si="24">AY9</f>
        <v>7.5845701353264223</v>
      </c>
      <c r="BA6" s="18">
        <f t="shared" ref="BA6" si="25">AZ9</f>
        <v>8.875</v>
      </c>
      <c r="BB6" s="18">
        <f t="shared" si="0"/>
        <v>8.875</v>
      </c>
      <c r="BC6" s="18">
        <f t="shared" si="0"/>
        <v>8.875</v>
      </c>
      <c r="BD6" s="18">
        <f t="shared" si="0"/>
        <v>8.875</v>
      </c>
      <c r="BE6" s="18">
        <f t="shared" si="0"/>
        <v>8.875</v>
      </c>
      <c r="BF6" s="18">
        <f t="shared" si="0"/>
        <v>8.6893618661907741</v>
      </c>
      <c r="BG6" s="18">
        <f t="shared" si="0"/>
        <v>8.4190291028953013</v>
      </c>
      <c r="BH6" s="18">
        <f t="shared" si="0"/>
        <v>8.1544505033892953</v>
      </c>
      <c r="BI6" s="18">
        <f t="shared" si="0"/>
        <v>7.9104742067069216</v>
      </c>
      <c r="BJ6" s="18">
        <f t="shared" si="0"/>
        <v>7.7710590084247784</v>
      </c>
      <c r="BK6" s="18">
        <f t="shared" si="0"/>
        <v>7.5472293255386385</v>
      </c>
      <c r="BL6" s="18">
        <f t="shared" si="0"/>
        <v>7.3334729495506163</v>
      </c>
      <c r="BM6" s="18">
        <f t="shared" si="0"/>
        <v>7.0825459847096548</v>
      </c>
      <c r="BN6" s="18">
        <f t="shared" si="0"/>
        <v>6.8180703788912815</v>
      </c>
      <c r="BO6" s="18">
        <f t="shared" si="0"/>
        <v>6.5833219045643867</v>
      </c>
      <c r="BP6" s="18">
        <f t="shared" si="0"/>
        <v>6.437278536884028</v>
      </c>
      <c r="BQ6" s="18">
        <f t="shared" si="0"/>
        <v>6.2076987767048522</v>
      </c>
      <c r="BR6" s="18">
        <f t="shared" ref="BR6:BX6" si="26">BQ9</f>
        <v>5.9807033735995372</v>
      </c>
      <c r="BS6" s="18">
        <f t="shared" si="26"/>
        <v>5.7132319527817437</v>
      </c>
      <c r="BT6" s="18">
        <f t="shared" si="26"/>
        <v>5.4268147016446422</v>
      </c>
      <c r="BU6" s="18">
        <f t="shared" si="26"/>
        <v>5.1778588222211575</v>
      </c>
      <c r="BV6" s="18">
        <f t="shared" si="26"/>
        <v>5.0395234345552353</v>
      </c>
      <c r="BW6" s="18">
        <f t="shared" si="26"/>
        <v>4.8088089329664845</v>
      </c>
      <c r="BX6" s="55">
        <f t="shared" si="26"/>
        <v>6.0825042965000327</v>
      </c>
      <c r="BY6" s="18">
        <f t="shared" ref="BY6" si="27">BX9</f>
        <v>7.3716897782398982</v>
      </c>
      <c r="BZ6" s="18">
        <f t="shared" ref="BZ6" si="28">BY9</f>
        <v>8.6443821609575977</v>
      </c>
      <c r="CA6" s="18">
        <f t="shared" ref="CA6" si="29">BZ9</f>
        <v>8.875</v>
      </c>
      <c r="CB6" s="18">
        <f t="shared" ref="CB6" si="30">CA9</f>
        <v>8.875</v>
      </c>
      <c r="CC6" s="18">
        <f t="shared" ref="CC6" si="31">CB9</f>
        <v>8.875</v>
      </c>
      <c r="CD6" s="18">
        <f t="shared" ref="CD6" si="32">CC9</f>
        <v>8.663895422565524</v>
      </c>
      <c r="CE6" s="18">
        <f t="shared" ref="CE6" si="33">CD9</f>
        <v>8.3691836600159331</v>
      </c>
      <c r="CF6" s="18">
        <f t="shared" ref="CF6" si="34">CE9</f>
        <v>8.0792066219798517</v>
      </c>
      <c r="CG6" s="18">
        <f t="shared" ref="CG6" si="35">CF9</f>
        <v>7.8208383045061991</v>
      </c>
      <c r="CH6" s="18">
        <f t="shared" ref="CH6" si="36">CG9</f>
        <v>7.6896341841406981</v>
      </c>
      <c r="CI6" s="18">
        <f t="shared" ref="CI6" si="37">CH9</f>
        <v>7.4662667661407545</v>
      </c>
      <c r="CJ6" s="18">
        <f t="shared" ref="CJ6" si="38">CI9</f>
        <v>7.2603997978776658</v>
      </c>
      <c r="CK6" s="18">
        <f t="shared" ref="CK6" si="39">CJ9</f>
        <v>7.0172014056657819</v>
      </c>
      <c r="CL6" s="18">
        <f t="shared" ref="CL6" si="40">CK9</f>
        <v>6.7640875263479288</v>
      </c>
      <c r="CM6" s="18">
        <f t="shared" ref="CM6" si="41">CL9</f>
        <v>6.5363465327833232</v>
      </c>
      <c r="CN6" s="18">
        <f t="shared" ref="CN6" si="42">CM9</f>
        <v>6.3864949044655175</v>
      </c>
      <c r="CO6" s="18">
        <f t="shared" ref="CO6" si="43">CN9</f>
        <v>6.1574489334517102</v>
      </c>
      <c r="CP6" s="18">
        <f t="shared" ref="CP6" si="44">CO9</f>
        <v>5.927750473713302</v>
      </c>
      <c r="CQ6" s="18">
        <f t="shared" ref="CQ6" si="45">CP9</f>
        <v>5.6581285982645921</v>
      </c>
      <c r="CR6" s="18">
        <f t="shared" ref="CR6" si="46">CQ9</f>
        <v>5.368218770598431</v>
      </c>
      <c r="CS6" s="18">
        <f t="shared" ref="CS6" si="47">CR9</f>
        <v>5.1172026762357117</v>
      </c>
      <c r="CT6" s="18">
        <f t="shared" ref="CT6" si="48">CS9</f>
        <v>4.9799887521162969</v>
      </c>
      <c r="CU6" s="18">
        <f t="shared" ref="CU6" si="49">CT9</f>
        <v>4.7491246211002984</v>
      </c>
      <c r="CV6" s="55">
        <f t="shared" ref="CV6" si="50">CU9</f>
        <v>6.0241820551055696</v>
      </c>
      <c r="CW6" s="18">
        <f t="shared" ref="CW6" si="51">CV9</f>
        <v>7.3149704035318335</v>
      </c>
      <c r="CX6" s="18">
        <f t="shared" ref="CX6" si="52">CW9</f>
        <v>8.5897847473668261</v>
      </c>
      <c r="CY6" s="18">
        <f t="shared" ref="CY6" si="53">CX9</f>
        <v>8.875</v>
      </c>
      <c r="CZ6" s="18">
        <f t="shared" ref="CZ6" si="54">CY9</f>
        <v>8.875</v>
      </c>
      <c r="DA6" s="18">
        <f t="shared" ref="DA6" si="55">CZ9</f>
        <v>8.875</v>
      </c>
      <c r="DB6" s="18">
        <f t="shared" ref="DB6" si="56">DA9</f>
        <v>8.6657365600315437</v>
      </c>
      <c r="DC6" s="18">
        <f t="shared" ref="DC6" si="57">DB9</f>
        <v>8.3730733012478815</v>
      </c>
      <c r="DD6" s="18">
        <f t="shared" ref="DD6" si="58">DC9</f>
        <v>8.0853608300968904</v>
      </c>
      <c r="DE6" s="18">
        <f t="shared" ref="DE6" si="59">DD9</f>
        <v>7.8283725212951785</v>
      </c>
      <c r="DF6" s="18">
        <f t="shared" ref="DF6" si="60">DE9</f>
        <v>7.6964235829475731</v>
      </c>
      <c r="DG6" s="18">
        <f t="shared" ref="DG6" si="61">DF9</f>
        <v>7.4731819125310777</v>
      </c>
      <c r="DH6" s="18">
        <f t="shared" ref="DH6" si="62">DG9</f>
        <v>7.2668135613071909</v>
      </c>
      <c r="DI6" s="18">
        <f t="shared" ref="DI6" si="63">DH9</f>
        <v>7.0232355036451626</v>
      </c>
      <c r="DJ6" s="18">
        <f t="shared" ref="DJ6" si="64">DI9</f>
        <v>6.7694892523603691</v>
      </c>
      <c r="DK6" s="18">
        <f t="shared" ref="DK6" si="65">DJ9</f>
        <v>6.5413792742025558</v>
      </c>
      <c r="DL6" s="18">
        <f t="shared" ref="DL6" si="66">DK9</f>
        <v>6.3917285822751939</v>
      </c>
      <c r="DM6" s="18">
        <f t="shared" ref="DM6" si="67">DL9</f>
        <v>6.162656141488446</v>
      </c>
      <c r="DN6" s="18">
        <f t="shared" ref="DN6" si="68">DM9</f>
        <v>5.9331024693872303</v>
      </c>
      <c r="DO6" s="18">
        <f t="shared" ref="DO6" si="69">DN9</f>
        <v>5.6635973071990877</v>
      </c>
      <c r="DP6" s="18">
        <f t="shared" ref="DP6" si="70">DO9</f>
        <v>5.3738757843102469</v>
      </c>
      <c r="DQ6" s="18">
        <f t="shared" ref="DQ6" si="71">DP9</f>
        <v>5.1229710887318705</v>
      </c>
      <c r="DR6" s="18">
        <f t="shared" ref="DR6" si="72">DQ9</f>
        <v>4.9856965319921329</v>
      </c>
      <c r="DS6" s="18">
        <f t="shared" ref="DS6" si="73">DR9</f>
        <v>4.7548405177596118</v>
      </c>
      <c r="DT6" s="55">
        <f t="shared" ref="DT6" si="74">DS9</f>
        <v>6.0298243907608073</v>
      </c>
    </row>
    <row r="7" spans="2:124" x14ac:dyDescent="0.25">
      <c r="B7" s="19" t="s">
        <v>8</v>
      </c>
      <c r="D7" s="100">
        <f>IF(C41="T",C29/12,C29/6)</f>
        <v>0</v>
      </c>
      <c r="E7" s="18">
        <f>IF(D41="T",D29/12,D29/6)</f>
        <v>0.59444444444444444</v>
      </c>
      <c r="F7" s="18">
        <f t="shared" ref="F7:BQ7" si="75">IF(E41="T",E29/12,E29/6)</f>
        <v>0.17730281361249164</v>
      </c>
      <c r="G7" s="18">
        <f t="shared" si="75"/>
        <v>0.49587270413711876</v>
      </c>
      <c r="H7" s="18">
        <f t="shared" si="75"/>
        <v>0.34527237704175495</v>
      </c>
      <c r="I7" s="18">
        <f t="shared" si="75"/>
        <v>0.85851431751277307</v>
      </c>
      <c r="J7" s="18">
        <f t="shared" si="75"/>
        <v>0.86391487579939963</v>
      </c>
      <c r="K7" s="18">
        <f t="shared" si="75"/>
        <v>0.89726660332401098</v>
      </c>
      <c r="L7" s="18">
        <f t="shared" si="75"/>
        <v>0.91664274622963005</v>
      </c>
      <c r="M7" s="18">
        <f t="shared" si="75"/>
        <v>0.4189008491074071</v>
      </c>
      <c r="N7" s="18">
        <f t="shared" si="75"/>
        <v>0.6743465641338896</v>
      </c>
      <c r="O7" s="18">
        <f t="shared" si="75"/>
        <v>0.55319847308601877</v>
      </c>
      <c r="P7" s="18">
        <f t="shared" si="75"/>
        <v>0.62034728507532499</v>
      </c>
      <c r="Q7" s="18">
        <f t="shared" si="75"/>
        <v>0.59334764554604269</v>
      </c>
      <c r="R7" s="18">
        <f t="shared" si="75"/>
        <v>0.61342223177605459</v>
      </c>
      <c r="S7" s="18">
        <f t="shared" si="75"/>
        <v>0.60995970512641928</v>
      </c>
      <c r="T7" s="18">
        <f t="shared" si="75"/>
        <v>0.57224236965901265</v>
      </c>
      <c r="U7" s="18">
        <f t="shared" si="75"/>
        <v>0.61349651000547289</v>
      </c>
      <c r="V7" s="18">
        <f t="shared" si="75"/>
        <v>0.61526491244500003</v>
      </c>
      <c r="W7" s="18">
        <f t="shared" si="75"/>
        <v>0.63677618383799339</v>
      </c>
      <c r="X7" s="18">
        <f t="shared" si="75"/>
        <v>0.64841602075425386</v>
      </c>
      <c r="Y7" s="18">
        <f t="shared" si="75"/>
        <v>0.55301421184509525</v>
      </c>
      <c r="Z7" s="18">
        <f t="shared" si="75"/>
        <v>0.62354781149177041</v>
      </c>
      <c r="AA7" s="18">
        <f t="shared" si="75"/>
        <v>0.30555685343026445</v>
      </c>
      <c r="AB7" s="55">
        <f t="shared" si="75"/>
        <v>0.28407367535044342</v>
      </c>
      <c r="AC7" s="18">
        <f t="shared" ref="AC7" si="76">IF(AB41="T",AB29/12,AB29/6)</f>
        <v>0.29689022681938926</v>
      </c>
      <c r="AD7" s="18">
        <f t="shared" ref="AD7" si="77">IF(AC41="T",AC29/12,AC29/6)</f>
        <v>0.29255691351395158</v>
      </c>
      <c r="AE7" s="18">
        <f t="shared" ref="AE7" si="78">IF(AD41="T",AD29/12,AD29/6)</f>
        <v>0.29679853259570577</v>
      </c>
      <c r="AF7" s="18">
        <f t="shared" ref="AF7" si="79">IF(AE41="T",AE29/12,AE29/6)</f>
        <v>0.29675268548386396</v>
      </c>
      <c r="AG7" s="18">
        <f t="shared" ref="AG7" si="80">IF(AF41="T",AF29/12,AF29/6)</f>
        <v>0.59770114293764032</v>
      </c>
      <c r="AH7" s="18">
        <f t="shared" ref="AH7" si="81">IF(AG41="T",AG29/12,AG29/6)</f>
        <v>0.67176928547811343</v>
      </c>
      <c r="AI7" s="18">
        <f t="shared" ref="AI7" si="82">IF(AH41="T",AH29/12,AH29/6)</f>
        <v>0.65756790939997267</v>
      </c>
      <c r="AJ7" s="18">
        <f t="shared" ref="AJ7" si="83">IF(AI41="T",AI29/12,AI29/6)</f>
        <v>0.68750129263113913</v>
      </c>
      <c r="AK7" s="18">
        <f t="shared" ref="AK7" si="84">IF(AJ41="T",AJ29/12,AJ29/6)</f>
        <v>0.53347157590665273</v>
      </c>
      <c r="AL7" s="18">
        <f t="shared" ref="AL7" si="85">IF(AK41="T",AK29/12,AK29/6)</f>
        <v>0.62582825710037848</v>
      </c>
      <c r="AM7" s="18">
        <f t="shared" ref="AM7" si="86">IF(AL41="T",AL29/12,AL29/6)</f>
        <v>0.59499173933499827</v>
      </c>
      <c r="AN7" s="18">
        <f t="shared" ref="AN7" si="87">IF(AM41="T",AM29/12,AM29/6)</f>
        <v>0.62575182104917126</v>
      </c>
      <c r="AO7" s="18">
        <f t="shared" ref="AO7" si="88">IF(AN41="T",AN29/12,AN29/6)</f>
        <v>0.62571360302356738</v>
      </c>
      <c r="AP7" s="18">
        <f t="shared" ref="AP7" si="89">IF(AO41="T",AO29/12,AO29/6)</f>
        <v>0.64107453486785215</v>
      </c>
      <c r="AQ7" s="18">
        <f t="shared" ref="AQ7" si="90">IF(AP41="T",AP29/12,AP29/6)</f>
        <v>0.55668495478829627</v>
      </c>
      <c r="AR7" s="18">
        <f t="shared" ref="AR7" si="91">IF(AQ41="T",AQ29/12,AQ29/6)</f>
        <v>0.6221766378624648</v>
      </c>
      <c r="AS7" s="18">
        <f t="shared" ref="AS7" si="92">IF(AR41="T",AR29/12,AR29/6)</f>
        <v>0.61272768935977118</v>
      </c>
      <c r="AT7" s="18">
        <f t="shared" ref="AT7" si="93">IF(AS41="T",AS29/12,AS29/6)</f>
        <v>0.64074905664550841</v>
      </c>
      <c r="AU7" s="18">
        <f t="shared" ref="AU7" si="94">IF(AT41="T",AT29/12,AT29/6)</f>
        <v>0.65003526603703043</v>
      </c>
      <c r="AV7" s="18">
        <f t="shared" ref="AV7" si="95">IF(AU41="T",AU29/12,AU29/6)</f>
        <v>0.66868905437566017</v>
      </c>
      <c r="AW7" s="18">
        <f t="shared" ref="AW7" si="96">IF(AV41="T",AV29/12,AV29/6)</f>
        <v>0.54287769503439198</v>
      </c>
      <c r="AX7" s="18">
        <f t="shared" ref="AX7" si="97">IF(AW41="T",AW29/12,AW29/6)</f>
        <v>0.31334687333927225</v>
      </c>
      <c r="AY7" s="18">
        <f t="shared" ref="AY7" si="98">IF(AX41="T",AX29/12,AX29/6)</f>
        <v>0.26683999458131397</v>
      </c>
      <c r="AZ7" s="55">
        <f t="shared" ref="AZ7" si="99">IF(AY41="T",AY29/12,AY29/6)</f>
        <v>0.29120723478003951</v>
      </c>
      <c r="BA7" s="18">
        <f t="shared" ref="BA7" si="100">IF(AZ41="T",AZ29/12,AZ29/6)</f>
        <v>0.28013741550042337</v>
      </c>
      <c r="BB7" s="18">
        <f t="shared" si="75"/>
        <v>0.28678612595997788</v>
      </c>
      <c r="BC7" s="18">
        <f t="shared" si="75"/>
        <v>0.28457557154994712</v>
      </c>
      <c r="BD7" s="18">
        <f t="shared" si="75"/>
        <v>0.28679464957470902</v>
      </c>
      <c r="BE7" s="18">
        <f t="shared" si="75"/>
        <v>0.57359782276414895</v>
      </c>
      <c r="BF7" s="18">
        <f t="shared" si="75"/>
        <v>0.64783726626363525</v>
      </c>
      <c r="BG7" s="18">
        <f t="shared" si="75"/>
        <v>0.63162791648741023</v>
      </c>
      <c r="BH7" s="18">
        <f t="shared" si="75"/>
        <v>0.66064296334904105</v>
      </c>
      <c r="BI7" s="18">
        <f t="shared" si="75"/>
        <v>0.54690074054770166</v>
      </c>
      <c r="BJ7" s="18">
        <f t="shared" si="75"/>
        <v>0.62213410075058895</v>
      </c>
      <c r="BK7" s="18">
        <f t="shared" si="75"/>
        <v>0.60287966945136284</v>
      </c>
      <c r="BL7" s="18">
        <f t="shared" si="75"/>
        <v>0.63086913390319344</v>
      </c>
      <c r="BM7" s="18">
        <f t="shared" si="75"/>
        <v>0.63523665047949573</v>
      </c>
      <c r="BN7" s="18">
        <f t="shared" si="75"/>
        <v>0.65141514099356201</v>
      </c>
      <c r="BO7" s="18">
        <f t="shared" si="75"/>
        <v>0.55151465172544112</v>
      </c>
      <c r="BP7" s="18">
        <f t="shared" si="75"/>
        <v>0.62385566160267181</v>
      </c>
      <c r="BQ7" s="18">
        <f t="shared" si="75"/>
        <v>0.61007592190722659</v>
      </c>
      <c r="BR7" s="18">
        <f t="shared" ref="BR7:DT7" si="101">IF(BQ41="T",BQ29/12,BQ29/6)</f>
        <v>0.63935655699811955</v>
      </c>
      <c r="BS7" s="18">
        <f t="shared" si="101"/>
        <v>0.64710700469584326</v>
      </c>
      <c r="BT7" s="18">
        <f t="shared" si="101"/>
        <v>0.66562254609015148</v>
      </c>
      <c r="BU7" s="18">
        <f t="shared" si="101"/>
        <v>0.5444109491771465</v>
      </c>
      <c r="BV7" s="18">
        <f t="shared" si="101"/>
        <v>0.6261989579445334</v>
      </c>
      <c r="BW7" s="18">
        <f t="shared" si="101"/>
        <v>0.30324358193586221</v>
      </c>
      <c r="BX7" s="55">
        <f t="shared" si="101"/>
        <v>0.2827545837758273</v>
      </c>
      <c r="BY7" s="18">
        <f t="shared" si="101"/>
        <v>0.29424880284427429</v>
      </c>
      <c r="BZ7" s="18">
        <f t="shared" si="101"/>
        <v>0.28975141329848031</v>
      </c>
      <c r="CA7" s="18">
        <f t="shared" si="101"/>
        <v>0.29324982805980687</v>
      </c>
      <c r="CB7" s="18">
        <f t="shared" si="101"/>
        <v>0.29275034066757316</v>
      </c>
      <c r="CC7" s="18">
        <f t="shared" si="101"/>
        <v>0.58849960870423901</v>
      </c>
      <c r="CD7" s="18">
        <f t="shared" si="101"/>
        <v>0.66151568866391053</v>
      </c>
      <c r="CE7" s="18">
        <f t="shared" si="101"/>
        <v>0.64618985899495907</v>
      </c>
      <c r="CF7" s="18">
        <f t="shared" si="101"/>
        <v>0.67503498414031926</v>
      </c>
      <c r="CG7" s="18">
        <f t="shared" si="101"/>
        <v>0.53970473015206255</v>
      </c>
      <c r="CH7" s="18">
        <f t="shared" si="101"/>
        <v>0.62370197090640056</v>
      </c>
      <c r="CI7" s="18">
        <f t="shared" si="101"/>
        <v>0.59803546428944132</v>
      </c>
      <c r="CJ7" s="18">
        <f t="shared" si="101"/>
        <v>0.62720083135813065</v>
      </c>
      <c r="CK7" s="18">
        <f t="shared" si="101"/>
        <v>0.6289502615839957</v>
      </c>
      <c r="CL7" s="18">
        <f t="shared" si="101"/>
        <v>0.64440766023127272</v>
      </c>
      <c r="CM7" s="18">
        <f t="shared" si="101"/>
        <v>0.55501839210658599</v>
      </c>
      <c r="CN7" s="18">
        <f t="shared" si="101"/>
        <v>0.62271283192470173</v>
      </c>
      <c r="CO7" s="18">
        <f t="shared" si="101"/>
        <v>0.61186541777141623</v>
      </c>
      <c r="CP7" s="18">
        <f t="shared" si="101"/>
        <v>0.64028893060383152</v>
      </c>
      <c r="CQ7" s="18">
        <f t="shared" si="101"/>
        <v>0.64907697994339641</v>
      </c>
      <c r="CR7" s="18">
        <f t="shared" si="101"/>
        <v>0.66768276102938628</v>
      </c>
      <c r="CS7" s="18">
        <f t="shared" si="101"/>
        <v>0.54338084170752909</v>
      </c>
      <c r="CT7" s="18">
        <f t="shared" si="101"/>
        <v>0.62653129952556141</v>
      </c>
      <c r="CU7" s="18">
        <f t="shared" si="101"/>
        <v>0.30297778438682438</v>
      </c>
      <c r="CV7" s="55">
        <f t="shared" si="101"/>
        <v>0.28261341431967507</v>
      </c>
      <c r="CW7" s="18">
        <f t="shared" si="101"/>
        <v>0.29395396326478884</v>
      </c>
      <c r="CX7" s="18">
        <f t="shared" si="101"/>
        <v>0.28944205270377116</v>
      </c>
      <c r="CY7" s="18">
        <f t="shared" si="101"/>
        <v>0.29285637189581915</v>
      </c>
      <c r="CZ7" s="18">
        <f t="shared" si="101"/>
        <v>0.29230757621133435</v>
      </c>
      <c r="DA7" s="18">
        <f t="shared" si="101"/>
        <v>0.58748067593023179</v>
      </c>
      <c r="DB7" s="18">
        <f t="shared" si="101"/>
        <v>0.6603807456668872</v>
      </c>
      <c r="DC7" s="18">
        <f t="shared" si="101"/>
        <v>0.64493020895566311</v>
      </c>
      <c r="DD7" s="18">
        <f t="shared" si="101"/>
        <v>0.67365497546837894</v>
      </c>
      <c r="DE7" s="18">
        <f t="shared" si="101"/>
        <v>0.54039473448803277</v>
      </c>
      <c r="DF7" s="18">
        <f t="shared" si="101"/>
        <v>0.62346659603068411</v>
      </c>
      <c r="DG7" s="18">
        <f t="shared" si="101"/>
        <v>0.59837240631183641</v>
      </c>
      <c r="DH7" s="18">
        <f t="shared" si="101"/>
        <v>0.62736124222373835</v>
      </c>
      <c r="DI7" s="18">
        <f t="shared" si="101"/>
        <v>0.62930856532026558</v>
      </c>
      <c r="DJ7" s="18">
        <f t="shared" si="101"/>
        <v>0.64477664482448005</v>
      </c>
      <c r="DK7" s="18">
        <f t="shared" si="101"/>
        <v>0.55483389980998221</v>
      </c>
      <c r="DL7" s="18">
        <f t="shared" si="101"/>
        <v>0.62277218988532312</v>
      </c>
      <c r="DM7" s="18">
        <f t="shared" si="101"/>
        <v>0.61176996241574455</v>
      </c>
      <c r="DN7" s="18">
        <f t="shared" si="101"/>
        <v>0.64023799371862578</v>
      </c>
      <c r="DO7" s="18">
        <f t="shared" si="101"/>
        <v>0.6489708956352771</v>
      </c>
      <c r="DP7" s="18">
        <f t="shared" si="101"/>
        <v>0.66757136224504354</v>
      </c>
      <c r="DQ7" s="18">
        <f t="shared" si="101"/>
        <v>0.5434365410997003</v>
      </c>
      <c r="DR7" s="18">
        <f t="shared" si="101"/>
        <v>0.62651331628578</v>
      </c>
      <c r="DS7" s="18">
        <f t="shared" si="101"/>
        <v>0.302992146653074</v>
      </c>
      <c r="DT7" s="55">
        <f t="shared" si="101"/>
        <v>0.28262103287100665</v>
      </c>
    </row>
    <row r="8" spans="2:124" x14ac:dyDescent="0.25">
      <c r="B8" s="19" t="s">
        <v>9</v>
      </c>
      <c r="D8" s="100">
        <f>IF(C41="T",C20/6,C20/24)</f>
        <v>0</v>
      </c>
      <c r="E8" s="18">
        <f>IF(D41="T",D20/6,D20/24)</f>
        <v>1.416344301105589</v>
      </c>
      <c r="F8" s="18">
        <f t="shared" ref="F8:BQ8" si="102">IF(E41="T",E20/6,E20/24)</f>
        <v>0.97634800067098626</v>
      </c>
      <c r="G8" s="18">
        <f t="shared" si="102"/>
        <v>0.94160952800318742</v>
      </c>
      <c r="H8" s="18">
        <f t="shared" si="102"/>
        <v>0.90687105533538848</v>
      </c>
      <c r="I8" s="18">
        <f t="shared" si="102"/>
        <v>0.20869176049988472</v>
      </c>
      <c r="J8" s="18">
        <f t="shared" si="102"/>
        <v>0.19066575716592238</v>
      </c>
      <c r="K8" s="18">
        <f t="shared" si="102"/>
        <v>0.17263975383195998</v>
      </c>
      <c r="L8" s="18">
        <f t="shared" si="102"/>
        <v>0.41666666666666669</v>
      </c>
      <c r="M8" s="18">
        <f t="shared" si="102"/>
        <v>0.41337928343398128</v>
      </c>
      <c r="N8" s="18">
        <f t="shared" si="102"/>
        <v>0.41009190020129593</v>
      </c>
      <c r="O8" s="18">
        <f t="shared" si="102"/>
        <v>0.40680451696861059</v>
      </c>
      <c r="P8" s="18">
        <f t="shared" si="102"/>
        <v>0.40351713373592518</v>
      </c>
      <c r="Q8" s="18">
        <f t="shared" si="102"/>
        <v>0.40022975050323978</v>
      </c>
      <c r="R8" s="18">
        <f t="shared" si="102"/>
        <v>0.39694236727055449</v>
      </c>
      <c r="S8" s="18">
        <f t="shared" si="102"/>
        <v>0.41666666666666669</v>
      </c>
      <c r="T8" s="18">
        <f t="shared" si="102"/>
        <v>0.40546893036028814</v>
      </c>
      <c r="U8" s="18">
        <f t="shared" si="102"/>
        <v>0.39427119405390959</v>
      </c>
      <c r="V8" s="18">
        <f t="shared" si="102"/>
        <v>0.38307345774753104</v>
      </c>
      <c r="W8" s="18">
        <f t="shared" si="102"/>
        <v>0.3718757214411525</v>
      </c>
      <c r="X8" s="18">
        <f t="shared" si="102"/>
        <v>0.41666666666666669</v>
      </c>
      <c r="Y8" s="18">
        <f t="shared" si="102"/>
        <v>0.4052503190706187</v>
      </c>
      <c r="Z8" s="18">
        <f t="shared" si="102"/>
        <v>0.39383397147457072</v>
      </c>
      <c r="AA8" s="18">
        <f t="shared" si="102"/>
        <v>1.5670360361821418</v>
      </c>
      <c r="AB8" s="55">
        <f t="shared" si="102"/>
        <v>1.5587361864660005</v>
      </c>
      <c r="AC8" s="18">
        <f t="shared" ref="AC8" si="103">IF(AB41="T",AB20/6,AB20/24)</f>
        <v>1.5504363367498595</v>
      </c>
      <c r="AD8" s="18">
        <f t="shared" ref="AD8" si="104">IF(AC41="T",AC20/6,AC20/24)</f>
        <v>1.5421364870337182</v>
      </c>
      <c r="AE8" s="18">
        <f t="shared" ref="AE8" si="105">IF(AD41="T",AD20/6,AD20/24)</f>
        <v>1.5338366373175771</v>
      </c>
      <c r="AF8" s="18">
        <f t="shared" ref="AF8" si="106">IF(AE41="T",AE20/6,AE20/24)</f>
        <v>1.5255367876014361</v>
      </c>
      <c r="AG8" s="18">
        <f t="shared" ref="AG8" si="107">IF(AF41="T",AF20/6,AF20/24)</f>
        <v>0.36996784930431104</v>
      </c>
      <c r="AH8" s="18">
        <f t="shared" ref="AH8" si="108">IF(AG41="T",AG20/6,AG20/24)</f>
        <v>0.35855150170826305</v>
      </c>
      <c r="AI8" s="18">
        <f t="shared" ref="AI8" si="109">IF(AH41="T",AH20/6,AH20/24)</f>
        <v>0.34713515411221513</v>
      </c>
      <c r="AJ8" s="18">
        <f t="shared" ref="AJ8" si="110">IF(AI41="T",AI20/6,AI20/24)</f>
        <v>0.41666666666666669</v>
      </c>
      <c r="AK8" s="18">
        <f t="shared" ref="AK8" si="111">IF(AJ41="T",AJ20/6,AJ20/24)</f>
        <v>0.40899575525092535</v>
      </c>
      <c r="AL8" s="18">
        <f t="shared" ref="AL8" si="112">IF(AK41="T",AK20/6,AK20/24)</f>
        <v>0.40132484383518396</v>
      </c>
      <c r="AM8" s="18">
        <f t="shared" ref="AM8" si="113">IF(AL41="T",AL20/6,AL20/24)</f>
        <v>0.39365393241944258</v>
      </c>
      <c r="AN8" s="18">
        <f t="shared" ref="AN8" si="114">IF(AM41="T",AM20/6,AM20/24)</f>
        <v>0.38598302100370124</v>
      </c>
      <c r="AO8" s="18">
        <f t="shared" ref="AO8" si="115">IF(AN41="T",AN20/6,AN20/24)</f>
        <v>0.37831210958795985</v>
      </c>
      <c r="AP8" s="18">
        <f t="shared" ref="AP8" si="116">IF(AO41="T",AO20/6,AO20/24)</f>
        <v>0.41666666666666669</v>
      </c>
      <c r="AQ8" s="18">
        <f t="shared" ref="AQ8" si="117">IF(AP41="T",AP20/6,AP20/24)</f>
        <v>0.40501822014947136</v>
      </c>
      <c r="AR8" s="18">
        <f t="shared" ref="AR8" si="118">IF(AQ41="T",AQ20/6,AQ20/24)</f>
        <v>0.39336977363227604</v>
      </c>
      <c r="AS8" s="18">
        <f t="shared" ref="AS8" si="119">IF(AR41="T",AR20/6,AR20/24)</f>
        <v>0.38172132711508078</v>
      </c>
      <c r="AT8" s="18">
        <f t="shared" ref="AT8" si="120">IF(AS41="T",AS20/6,AS20/24)</f>
        <v>0.37007288059788546</v>
      </c>
      <c r="AU8" s="18">
        <f t="shared" ref="AU8" si="121">IF(AT41="T",AT20/6,AT20/24)</f>
        <v>0.35842443408069014</v>
      </c>
      <c r="AV8" s="18">
        <f t="shared" ref="AV8" si="122">IF(AU41="T",AU20/6,AU20/24)</f>
        <v>0.41666666666666669</v>
      </c>
      <c r="AW8" s="18">
        <f t="shared" ref="AW8" si="123">IF(AV41="T",AV20/6,AV20/24)</f>
        <v>0.40621148067990753</v>
      </c>
      <c r="AX8" s="18">
        <f t="shared" ref="AX8" si="124">IF(AW41="T",AW20/6,AW20/24)</f>
        <v>1.6203907194406442</v>
      </c>
      <c r="AY8" s="18">
        <f t="shared" ref="AY8" si="125">IF(AX41="T",AX20/6,AX20/24)</f>
        <v>1.6159355161616584</v>
      </c>
      <c r="AZ8" s="55">
        <f t="shared" ref="AZ8" si="126">IF(AY41="T",AY20/6,AY20/24)</f>
        <v>1.611480312882672</v>
      </c>
      <c r="BA8" s="18">
        <f t="shared" ref="BA8" si="127">IF(AZ41="T",AZ20/6,AZ20/24)</f>
        <v>1.6070251096036863</v>
      </c>
      <c r="BB8" s="18">
        <f t="shared" si="102"/>
        <v>1.6025699063247003</v>
      </c>
      <c r="BC8" s="18">
        <f t="shared" si="102"/>
        <v>1.5981147030457141</v>
      </c>
      <c r="BD8" s="18">
        <f t="shared" si="102"/>
        <v>1.5936594997667284</v>
      </c>
      <c r="BE8" s="18">
        <f t="shared" si="102"/>
        <v>0.387959688954923</v>
      </c>
      <c r="BF8" s="18">
        <f t="shared" si="102"/>
        <v>0.37750450296816385</v>
      </c>
      <c r="BG8" s="18">
        <f t="shared" si="102"/>
        <v>0.36704931698140469</v>
      </c>
      <c r="BH8" s="18">
        <f t="shared" si="102"/>
        <v>0.41666666666666669</v>
      </c>
      <c r="BI8" s="18">
        <f t="shared" si="102"/>
        <v>0.40748554226555789</v>
      </c>
      <c r="BJ8" s="18">
        <f t="shared" si="102"/>
        <v>0.39830441786444909</v>
      </c>
      <c r="BK8" s="18">
        <f t="shared" si="102"/>
        <v>0.38912329346334035</v>
      </c>
      <c r="BL8" s="18">
        <f t="shared" si="102"/>
        <v>0.37994216906223155</v>
      </c>
      <c r="BM8" s="18">
        <f t="shared" si="102"/>
        <v>0.37076104466112286</v>
      </c>
      <c r="BN8" s="18">
        <f t="shared" si="102"/>
        <v>0.41666666666666669</v>
      </c>
      <c r="BO8" s="18">
        <f t="shared" si="102"/>
        <v>0.40547128404508159</v>
      </c>
      <c r="BP8" s="18">
        <f t="shared" si="102"/>
        <v>0.3942759014234965</v>
      </c>
      <c r="BQ8" s="18">
        <f t="shared" si="102"/>
        <v>0.38308051880191135</v>
      </c>
      <c r="BR8" s="18">
        <f t="shared" ref="BR8:DT8" si="128">IF(BQ41="T",BQ20/6,BQ20/24)</f>
        <v>0.37188513618032631</v>
      </c>
      <c r="BS8" s="18">
        <f t="shared" si="128"/>
        <v>0.36068975355874122</v>
      </c>
      <c r="BT8" s="18">
        <f t="shared" si="128"/>
        <v>0.41666666666666669</v>
      </c>
      <c r="BU8" s="18">
        <f t="shared" si="128"/>
        <v>0.40607556151122443</v>
      </c>
      <c r="BV8" s="18">
        <f t="shared" si="128"/>
        <v>0.39548445635578222</v>
      </c>
      <c r="BW8" s="18">
        <f t="shared" si="128"/>
        <v>1.5769389454694107</v>
      </c>
      <c r="BX8" s="55">
        <f t="shared" si="128"/>
        <v>1.5719400655156928</v>
      </c>
      <c r="BY8" s="18">
        <f t="shared" si="128"/>
        <v>1.5669411855619746</v>
      </c>
      <c r="BZ8" s="18">
        <f t="shared" si="128"/>
        <v>1.5619423056082564</v>
      </c>
      <c r="CA8" s="18">
        <f t="shared" si="128"/>
        <v>1.556943425654538</v>
      </c>
      <c r="CB8" s="18">
        <f t="shared" si="128"/>
        <v>1.5519445457008201</v>
      </c>
      <c r="CC8" s="18">
        <f t="shared" si="128"/>
        <v>0.37739503126976276</v>
      </c>
      <c r="CD8" s="18">
        <f t="shared" si="128"/>
        <v>0.36680392611432061</v>
      </c>
      <c r="CE8" s="18">
        <f t="shared" si="128"/>
        <v>0.35621282095887841</v>
      </c>
      <c r="CF8" s="18">
        <f t="shared" si="128"/>
        <v>0.41666666666666669</v>
      </c>
      <c r="CG8" s="18">
        <f t="shared" si="128"/>
        <v>0.40850060978656183</v>
      </c>
      <c r="CH8" s="18">
        <f t="shared" si="128"/>
        <v>0.40033455290645698</v>
      </c>
      <c r="CI8" s="18">
        <f t="shared" si="128"/>
        <v>0.39216849602635212</v>
      </c>
      <c r="CJ8" s="18">
        <f t="shared" si="128"/>
        <v>0.38400243914624732</v>
      </c>
      <c r="CK8" s="18">
        <f t="shared" si="128"/>
        <v>0.37583638226614252</v>
      </c>
      <c r="CL8" s="18">
        <f t="shared" si="128"/>
        <v>0.41666666666666669</v>
      </c>
      <c r="CM8" s="18">
        <f t="shared" si="128"/>
        <v>0.40516676378878042</v>
      </c>
      <c r="CN8" s="18">
        <f t="shared" si="128"/>
        <v>0.3936668609108942</v>
      </c>
      <c r="CO8" s="18">
        <f t="shared" si="128"/>
        <v>0.38216695803300799</v>
      </c>
      <c r="CP8" s="18">
        <f t="shared" si="128"/>
        <v>0.37066705515512172</v>
      </c>
      <c r="CQ8" s="18">
        <f t="shared" si="128"/>
        <v>0.35916715227723556</v>
      </c>
      <c r="CR8" s="18">
        <f t="shared" si="128"/>
        <v>0.41666666666666669</v>
      </c>
      <c r="CS8" s="18">
        <f t="shared" si="128"/>
        <v>0.40616691758811485</v>
      </c>
      <c r="CT8" s="18">
        <f t="shared" si="128"/>
        <v>0.39566716850956302</v>
      </c>
      <c r="CU8" s="18">
        <f t="shared" si="128"/>
        <v>1.5780352183920954</v>
      </c>
      <c r="CV8" s="55">
        <f t="shared" si="128"/>
        <v>1.5734017627459389</v>
      </c>
      <c r="CW8" s="18">
        <f t="shared" si="128"/>
        <v>1.5687683070997822</v>
      </c>
      <c r="CX8" s="18">
        <f t="shared" si="128"/>
        <v>1.5641348514536257</v>
      </c>
      <c r="CY8" s="18">
        <f t="shared" si="128"/>
        <v>1.5595013958074688</v>
      </c>
      <c r="CZ8" s="18">
        <f t="shared" si="128"/>
        <v>1.5548679401613121</v>
      </c>
      <c r="DA8" s="18">
        <f t="shared" si="128"/>
        <v>0.3782172359617762</v>
      </c>
      <c r="DB8" s="18">
        <f t="shared" si="128"/>
        <v>0.36771748688322442</v>
      </c>
      <c r="DC8" s="18">
        <f t="shared" si="128"/>
        <v>0.35721773780467259</v>
      </c>
      <c r="DD8" s="18">
        <f t="shared" si="128"/>
        <v>0.41666666666666669</v>
      </c>
      <c r="DE8" s="18">
        <f t="shared" si="128"/>
        <v>0.40844579614042759</v>
      </c>
      <c r="DF8" s="18">
        <f t="shared" si="128"/>
        <v>0.40022492561418854</v>
      </c>
      <c r="DG8" s="18">
        <f t="shared" si="128"/>
        <v>0.3920040550879495</v>
      </c>
      <c r="DH8" s="18">
        <f t="shared" si="128"/>
        <v>0.3837831845617104</v>
      </c>
      <c r="DI8" s="18">
        <f t="shared" si="128"/>
        <v>0.37556231403547136</v>
      </c>
      <c r="DJ8" s="18">
        <f t="shared" si="128"/>
        <v>0.41666666666666669</v>
      </c>
      <c r="DK8" s="18">
        <f t="shared" si="128"/>
        <v>0.40518320788262069</v>
      </c>
      <c r="DL8" s="18">
        <f t="shared" si="128"/>
        <v>0.39369974909857475</v>
      </c>
      <c r="DM8" s="18">
        <f t="shared" si="128"/>
        <v>0.38221629031452875</v>
      </c>
      <c r="DN8" s="18">
        <f t="shared" si="128"/>
        <v>0.37073283153048275</v>
      </c>
      <c r="DO8" s="18">
        <f t="shared" si="128"/>
        <v>0.35924937274643676</v>
      </c>
      <c r="DP8" s="18">
        <f t="shared" si="128"/>
        <v>0.41666666666666669</v>
      </c>
      <c r="DQ8" s="18">
        <f t="shared" si="128"/>
        <v>0.4061619843599627</v>
      </c>
      <c r="DR8" s="18">
        <f t="shared" si="128"/>
        <v>0.39565730205325877</v>
      </c>
      <c r="DS8" s="18">
        <f t="shared" si="128"/>
        <v>1.5779760196542698</v>
      </c>
      <c r="DT8" s="55">
        <f t="shared" si="128"/>
        <v>1.5733228310955047</v>
      </c>
    </row>
    <row r="9" spans="2:124" s="16" customFormat="1" ht="15.75" thickBot="1" x14ac:dyDescent="0.3">
      <c r="B9" s="20" t="s">
        <v>10</v>
      </c>
      <c r="C9" s="74"/>
      <c r="D9" s="101">
        <f>IF(D6-D7+D8&gt;8.875,8.875,D6-D7+D8)</f>
        <v>8</v>
      </c>
      <c r="E9" s="21">
        <f t="shared" ref="E9:BP9" si="129">IF(E6-E7+E8&gt;8.875,8.875,E6-E7+E8)</f>
        <v>8.821899856661144</v>
      </c>
      <c r="F9" s="21">
        <f t="shared" si="129"/>
        <v>8.875</v>
      </c>
      <c r="G9" s="21">
        <f t="shared" si="129"/>
        <v>8.875</v>
      </c>
      <c r="H9" s="21">
        <f t="shared" si="129"/>
        <v>8.875</v>
      </c>
      <c r="I9" s="21">
        <f t="shared" si="129"/>
        <v>8.2251774429871123</v>
      </c>
      <c r="J9" s="21">
        <f t="shared" si="129"/>
        <v>7.5519283243536348</v>
      </c>
      <c r="K9" s="21">
        <f t="shared" si="129"/>
        <v>6.8273014748615832</v>
      </c>
      <c r="L9" s="21">
        <f t="shared" si="129"/>
        <v>6.3273253952986197</v>
      </c>
      <c r="M9" s="21">
        <f t="shared" si="129"/>
        <v>6.3218038296251935</v>
      </c>
      <c r="N9" s="21">
        <f t="shared" si="129"/>
        <v>6.0575491656925999</v>
      </c>
      <c r="O9" s="21">
        <f t="shared" si="129"/>
        <v>5.9111552095751918</v>
      </c>
      <c r="P9" s="21">
        <f t="shared" si="129"/>
        <v>5.6943250582357923</v>
      </c>
      <c r="Q9" s="21">
        <f t="shared" si="129"/>
        <v>5.5012071631929889</v>
      </c>
      <c r="R9" s="21">
        <f t="shared" si="129"/>
        <v>5.2847272986874891</v>
      </c>
      <c r="S9" s="21">
        <f t="shared" si="129"/>
        <v>5.0914342602277367</v>
      </c>
      <c r="T9" s="21">
        <f t="shared" si="129"/>
        <v>4.9246608209290121</v>
      </c>
      <c r="U9" s="21">
        <f t="shared" si="129"/>
        <v>4.7054355049774488</v>
      </c>
      <c r="V9" s="21">
        <f t="shared" si="129"/>
        <v>4.4732440502799795</v>
      </c>
      <c r="W9" s="21">
        <f t="shared" si="129"/>
        <v>4.2083435878831388</v>
      </c>
      <c r="X9" s="21">
        <f t="shared" si="129"/>
        <v>3.9765942337955513</v>
      </c>
      <c r="Y9" s="21">
        <f t="shared" si="129"/>
        <v>3.8288303410210744</v>
      </c>
      <c r="Z9" s="21">
        <f t="shared" si="129"/>
        <v>3.5991165010038748</v>
      </c>
      <c r="AA9" s="21">
        <f t="shared" si="129"/>
        <v>4.8605956837557525</v>
      </c>
      <c r="AB9" s="56">
        <f t="shared" si="129"/>
        <v>6.1352581948713096</v>
      </c>
      <c r="AC9" s="21">
        <f t="shared" si="129"/>
        <v>7.3888043048017797</v>
      </c>
      <c r="AD9" s="21">
        <f t="shared" si="129"/>
        <v>8.6383838783215463</v>
      </c>
      <c r="AE9" s="21">
        <f t="shared" si="129"/>
        <v>8.875</v>
      </c>
      <c r="AF9" s="21">
        <f t="shared" si="129"/>
        <v>8.875</v>
      </c>
      <c r="AG9" s="21">
        <f t="shared" si="129"/>
        <v>8.6472667063666702</v>
      </c>
      <c r="AH9" s="21">
        <f t="shared" si="129"/>
        <v>8.3340489225968195</v>
      </c>
      <c r="AI9" s="21">
        <f t="shared" si="129"/>
        <v>8.0236161673090614</v>
      </c>
      <c r="AJ9" s="21">
        <f t="shared" si="129"/>
        <v>7.7527815413445893</v>
      </c>
      <c r="AK9" s="21">
        <f t="shared" si="129"/>
        <v>7.6283057206888625</v>
      </c>
      <c r="AL9" s="21">
        <f t="shared" si="129"/>
        <v>7.4038023074236676</v>
      </c>
      <c r="AM9" s="21">
        <f t="shared" si="129"/>
        <v>7.2024645005081123</v>
      </c>
      <c r="AN9" s="21">
        <f t="shared" si="129"/>
        <v>6.9626957004626426</v>
      </c>
      <c r="AO9" s="21">
        <f t="shared" si="129"/>
        <v>6.7152942070270356</v>
      </c>
      <c r="AP9" s="21">
        <f t="shared" si="129"/>
        <v>6.4908863388258506</v>
      </c>
      <c r="AQ9" s="21">
        <f t="shared" si="129"/>
        <v>6.3392196041870257</v>
      </c>
      <c r="AR9" s="21">
        <f t="shared" si="129"/>
        <v>6.1104127399568373</v>
      </c>
      <c r="AS9" s="21">
        <f t="shared" si="129"/>
        <v>5.8794063777121464</v>
      </c>
      <c r="AT9" s="21">
        <f t="shared" si="129"/>
        <v>5.6087302016645237</v>
      </c>
      <c r="AU9" s="21">
        <f t="shared" si="129"/>
        <v>5.3171193697081831</v>
      </c>
      <c r="AV9" s="21">
        <f t="shared" si="129"/>
        <v>5.06509698199919</v>
      </c>
      <c r="AW9" s="21">
        <f t="shared" si="129"/>
        <v>4.9284307676447057</v>
      </c>
      <c r="AX9" s="21">
        <f t="shared" si="129"/>
        <v>6.2354746137460779</v>
      </c>
      <c r="AY9" s="21">
        <f t="shared" si="129"/>
        <v>7.5845701353264223</v>
      </c>
      <c r="AZ9" s="56">
        <f t="shared" si="129"/>
        <v>8.875</v>
      </c>
      <c r="BA9" s="21">
        <f t="shared" ref="BA9" si="130">IF(BA6-BA7+BA8&gt;8.875,8.875,BA6-BA7+BA8)</f>
        <v>8.875</v>
      </c>
      <c r="BB9" s="21">
        <f t="shared" si="129"/>
        <v>8.875</v>
      </c>
      <c r="BC9" s="21">
        <f t="shared" si="129"/>
        <v>8.875</v>
      </c>
      <c r="BD9" s="21">
        <f t="shared" si="129"/>
        <v>8.875</v>
      </c>
      <c r="BE9" s="21">
        <f t="shared" si="129"/>
        <v>8.6893618661907741</v>
      </c>
      <c r="BF9" s="21">
        <f t="shared" si="129"/>
        <v>8.4190291028953013</v>
      </c>
      <c r="BG9" s="21">
        <f t="shared" si="129"/>
        <v>8.1544505033892953</v>
      </c>
      <c r="BH9" s="21">
        <f t="shared" si="129"/>
        <v>7.9104742067069216</v>
      </c>
      <c r="BI9" s="21">
        <f t="shared" si="129"/>
        <v>7.7710590084247784</v>
      </c>
      <c r="BJ9" s="21">
        <f t="shared" si="129"/>
        <v>7.5472293255386385</v>
      </c>
      <c r="BK9" s="21">
        <f t="shared" si="129"/>
        <v>7.3334729495506163</v>
      </c>
      <c r="BL9" s="21">
        <f t="shared" si="129"/>
        <v>7.0825459847096548</v>
      </c>
      <c r="BM9" s="21">
        <f t="shared" si="129"/>
        <v>6.8180703788912815</v>
      </c>
      <c r="BN9" s="21">
        <f t="shared" si="129"/>
        <v>6.5833219045643867</v>
      </c>
      <c r="BO9" s="21">
        <f t="shared" si="129"/>
        <v>6.437278536884028</v>
      </c>
      <c r="BP9" s="21">
        <f t="shared" si="129"/>
        <v>6.2076987767048522</v>
      </c>
      <c r="BQ9" s="21">
        <f t="shared" ref="BQ9:CN9" si="131">IF(BQ6-BQ7+BQ8&gt;8.875,8.875,BQ6-BQ7+BQ8)</f>
        <v>5.9807033735995372</v>
      </c>
      <c r="BR9" s="21">
        <f t="shared" si="131"/>
        <v>5.7132319527817437</v>
      </c>
      <c r="BS9" s="21">
        <f t="shared" si="131"/>
        <v>5.4268147016446422</v>
      </c>
      <c r="BT9" s="21">
        <f t="shared" si="131"/>
        <v>5.1778588222211575</v>
      </c>
      <c r="BU9" s="21">
        <f t="shared" si="131"/>
        <v>5.0395234345552353</v>
      </c>
      <c r="BV9" s="21">
        <f t="shared" si="131"/>
        <v>4.8088089329664845</v>
      </c>
      <c r="BW9" s="21">
        <f t="shared" si="131"/>
        <v>6.0825042965000327</v>
      </c>
      <c r="BX9" s="56">
        <f t="shared" si="131"/>
        <v>7.3716897782398982</v>
      </c>
      <c r="BY9" s="21">
        <f t="shared" si="131"/>
        <v>8.6443821609575977</v>
      </c>
      <c r="BZ9" s="21">
        <f t="shared" si="131"/>
        <v>8.875</v>
      </c>
      <c r="CA9" s="21">
        <f t="shared" si="131"/>
        <v>8.875</v>
      </c>
      <c r="CB9" s="21">
        <f t="shared" si="131"/>
        <v>8.875</v>
      </c>
      <c r="CC9" s="21">
        <f t="shared" si="131"/>
        <v>8.663895422565524</v>
      </c>
      <c r="CD9" s="21">
        <f t="shared" si="131"/>
        <v>8.3691836600159331</v>
      </c>
      <c r="CE9" s="21">
        <f t="shared" si="131"/>
        <v>8.0792066219798517</v>
      </c>
      <c r="CF9" s="21">
        <f t="shared" si="131"/>
        <v>7.8208383045061991</v>
      </c>
      <c r="CG9" s="21">
        <f t="shared" si="131"/>
        <v>7.6896341841406981</v>
      </c>
      <c r="CH9" s="21">
        <f t="shared" si="131"/>
        <v>7.4662667661407545</v>
      </c>
      <c r="CI9" s="21">
        <f t="shared" si="131"/>
        <v>7.2603997978776658</v>
      </c>
      <c r="CJ9" s="21">
        <f t="shared" si="131"/>
        <v>7.0172014056657819</v>
      </c>
      <c r="CK9" s="21">
        <f t="shared" si="131"/>
        <v>6.7640875263479288</v>
      </c>
      <c r="CL9" s="21">
        <f t="shared" si="131"/>
        <v>6.5363465327833232</v>
      </c>
      <c r="CM9" s="21">
        <f t="shared" si="131"/>
        <v>6.3864949044655175</v>
      </c>
      <c r="CN9" s="21">
        <f t="shared" si="131"/>
        <v>6.1574489334517102</v>
      </c>
      <c r="CO9" s="21">
        <f t="shared" ref="CO9:DT9" si="132">IF(CO6-CO7+CO8&gt;8.875,8.875,CO6-CO7+CO8)</f>
        <v>5.927750473713302</v>
      </c>
      <c r="CP9" s="21">
        <f t="shared" si="132"/>
        <v>5.6581285982645921</v>
      </c>
      <c r="CQ9" s="21">
        <f t="shared" si="132"/>
        <v>5.368218770598431</v>
      </c>
      <c r="CR9" s="21">
        <f t="shared" si="132"/>
        <v>5.1172026762357117</v>
      </c>
      <c r="CS9" s="21">
        <f t="shared" si="132"/>
        <v>4.9799887521162969</v>
      </c>
      <c r="CT9" s="21">
        <f t="shared" si="132"/>
        <v>4.7491246211002984</v>
      </c>
      <c r="CU9" s="21">
        <f t="shared" si="132"/>
        <v>6.0241820551055696</v>
      </c>
      <c r="CV9" s="56">
        <f t="shared" si="132"/>
        <v>7.3149704035318335</v>
      </c>
      <c r="CW9" s="21">
        <f t="shared" si="132"/>
        <v>8.5897847473668261</v>
      </c>
      <c r="CX9" s="21">
        <f t="shared" si="132"/>
        <v>8.875</v>
      </c>
      <c r="CY9" s="21">
        <f t="shared" si="132"/>
        <v>8.875</v>
      </c>
      <c r="CZ9" s="21">
        <f t="shared" si="132"/>
        <v>8.875</v>
      </c>
      <c r="DA9" s="21">
        <f t="shared" si="132"/>
        <v>8.6657365600315437</v>
      </c>
      <c r="DB9" s="21">
        <f t="shared" si="132"/>
        <v>8.3730733012478815</v>
      </c>
      <c r="DC9" s="21">
        <f t="shared" si="132"/>
        <v>8.0853608300968904</v>
      </c>
      <c r="DD9" s="21">
        <f t="shared" si="132"/>
        <v>7.8283725212951785</v>
      </c>
      <c r="DE9" s="21">
        <f t="shared" si="132"/>
        <v>7.6964235829475731</v>
      </c>
      <c r="DF9" s="21">
        <f t="shared" si="132"/>
        <v>7.4731819125310777</v>
      </c>
      <c r="DG9" s="21">
        <f t="shared" si="132"/>
        <v>7.2668135613071909</v>
      </c>
      <c r="DH9" s="21">
        <f t="shared" si="132"/>
        <v>7.0232355036451626</v>
      </c>
      <c r="DI9" s="21">
        <f t="shared" si="132"/>
        <v>6.7694892523603691</v>
      </c>
      <c r="DJ9" s="21">
        <f t="shared" si="132"/>
        <v>6.5413792742025558</v>
      </c>
      <c r="DK9" s="21">
        <f t="shared" si="132"/>
        <v>6.3917285822751939</v>
      </c>
      <c r="DL9" s="21">
        <f t="shared" si="132"/>
        <v>6.162656141488446</v>
      </c>
      <c r="DM9" s="21">
        <f t="shared" si="132"/>
        <v>5.9331024693872303</v>
      </c>
      <c r="DN9" s="21">
        <f t="shared" si="132"/>
        <v>5.6635973071990877</v>
      </c>
      <c r="DO9" s="21">
        <f t="shared" si="132"/>
        <v>5.3738757843102469</v>
      </c>
      <c r="DP9" s="21">
        <f t="shared" si="132"/>
        <v>5.1229710887318705</v>
      </c>
      <c r="DQ9" s="21">
        <f t="shared" si="132"/>
        <v>4.9856965319921329</v>
      </c>
      <c r="DR9" s="21">
        <f t="shared" si="132"/>
        <v>4.7548405177596118</v>
      </c>
      <c r="DS9" s="21">
        <f t="shared" si="132"/>
        <v>6.0298243907608073</v>
      </c>
      <c r="DT9" s="56">
        <f t="shared" si="132"/>
        <v>7.3205261889853048</v>
      </c>
    </row>
    <row r="10" spans="2:124" x14ac:dyDescent="0.25">
      <c r="D10" s="100"/>
      <c r="E10" s="122" t="s">
        <v>69</v>
      </c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4"/>
      <c r="AC10" s="125" t="s">
        <v>70</v>
      </c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7"/>
      <c r="BA10" s="122" t="s">
        <v>71</v>
      </c>
      <c r="BB10" s="123"/>
      <c r="BC10" s="123"/>
      <c r="BD10" s="123"/>
      <c r="BE10" s="123"/>
      <c r="BF10" s="123"/>
      <c r="BG10" s="123"/>
      <c r="BH10" s="123"/>
      <c r="BI10" s="123"/>
      <c r="BJ10" s="123"/>
      <c r="BK10" s="123"/>
      <c r="BL10" s="123"/>
      <c r="BM10" s="123"/>
      <c r="BN10" s="123"/>
      <c r="BO10" s="123"/>
      <c r="BP10" s="123"/>
      <c r="BQ10" s="123"/>
      <c r="BR10" s="123"/>
      <c r="BS10" s="123"/>
      <c r="BT10" s="123"/>
      <c r="BU10" s="123"/>
      <c r="BV10" s="123"/>
      <c r="BW10" s="123"/>
      <c r="BX10" s="124"/>
      <c r="BY10" s="125" t="s">
        <v>72</v>
      </c>
      <c r="BZ10" s="126"/>
      <c r="CA10" s="126"/>
      <c r="CB10" s="126"/>
      <c r="CC10" s="126"/>
      <c r="CD10" s="126"/>
      <c r="CE10" s="126"/>
      <c r="CF10" s="126"/>
      <c r="CG10" s="126"/>
      <c r="CH10" s="126"/>
      <c r="CI10" s="126"/>
      <c r="CJ10" s="126"/>
      <c r="CK10" s="126"/>
      <c r="CL10" s="126"/>
      <c r="CM10" s="126"/>
      <c r="CN10" s="126"/>
      <c r="CO10" s="126"/>
      <c r="CP10" s="126"/>
      <c r="CQ10" s="126"/>
      <c r="CR10" s="126"/>
      <c r="CS10" s="126"/>
      <c r="CT10" s="126"/>
      <c r="CU10" s="126"/>
      <c r="CV10" s="127"/>
      <c r="CW10" s="122" t="s">
        <v>73</v>
      </c>
      <c r="CX10" s="123"/>
      <c r="CY10" s="123"/>
      <c r="CZ10" s="123"/>
      <c r="DA10" s="123"/>
      <c r="DB10" s="123"/>
      <c r="DC10" s="123"/>
      <c r="DD10" s="123"/>
      <c r="DE10" s="123"/>
      <c r="DF10" s="123"/>
      <c r="DG10" s="123"/>
      <c r="DH10" s="123"/>
      <c r="DI10" s="123"/>
      <c r="DJ10" s="123"/>
      <c r="DK10" s="123"/>
      <c r="DL10" s="123"/>
      <c r="DM10" s="123"/>
      <c r="DN10" s="123"/>
      <c r="DO10" s="123"/>
      <c r="DP10" s="123"/>
      <c r="DQ10" s="123"/>
      <c r="DR10" s="123"/>
      <c r="DS10" s="123"/>
      <c r="DT10" s="124"/>
    </row>
    <row r="11" spans="2:124" x14ac:dyDescent="0.25">
      <c r="B11" s="4" t="s">
        <v>74</v>
      </c>
      <c r="D11" s="100"/>
      <c r="E11" s="22">
        <v>4.1666666666666664E-2</v>
      </c>
      <c r="F11" s="23">
        <v>8.3333333333333301E-2</v>
      </c>
      <c r="G11" s="23">
        <v>0.125</v>
      </c>
      <c r="H11" s="23">
        <v>0.16666666666666699</v>
      </c>
      <c r="I11" s="23">
        <v>0.20833333333333301</v>
      </c>
      <c r="J11" s="23">
        <v>0.25</v>
      </c>
      <c r="K11" s="23">
        <v>0.29166666666666702</v>
      </c>
      <c r="L11" s="23">
        <v>0.33333333333333298</v>
      </c>
      <c r="M11" s="23">
        <v>0.375</v>
      </c>
      <c r="N11" s="23">
        <v>0.41666666666666702</v>
      </c>
      <c r="O11" s="23">
        <v>0.45833333333333298</v>
      </c>
      <c r="P11" s="23">
        <v>0.5</v>
      </c>
      <c r="Q11" s="23">
        <v>0.54166666666666696</v>
      </c>
      <c r="R11" s="23">
        <v>0.58333333333333304</v>
      </c>
      <c r="S11" s="23">
        <v>0.625</v>
      </c>
      <c r="T11" s="23">
        <v>0.66666666666666696</v>
      </c>
      <c r="U11" s="23">
        <v>0.70833333333333304</v>
      </c>
      <c r="V11" s="23">
        <v>0.75</v>
      </c>
      <c r="W11" s="23">
        <v>0.79166666666666696</v>
      </c>
      <c r="X11" s="23">
        <v>0.83333333333333304</v>
      </c>
      <c r="Y11" s="23">
        <v>0.875</v>
      </c>
      <c r="Z11" s="23">
        <v>0.91666666666666696</v>
      </c>
      <c r="AA11" s="23">
        <v>0.95833333333333404</v>
      </c>
      <c r="AB11" s="57">
        <v>1</v>
      </c>
      <c r="AC11" s="22">
        <v>1.0416666666666701</v>
      </c>
      <c r="AD11" s="23">
        <v>1.0833333333333299</v>
      </c>
      <c r="AE11" s="23">
        <v>0.125</v>
      </c>
      <c r="AF11" s="23">
        <v>0.16666666666666699</v>
      </c>
      <c r="AG11" s="23">
        <v>0.20833333333333301</v>
      </c>
      <c r="AH11" s="23">
        <v>0.25</v>
      </c>
      <c r="AI11" s="23">
        <v>0.29166666666666702</v>
      </c>
      <c r="AJ11" s="23">
        <v>0.33333333333333298</v>
      </c>
      <c r="AK11" s="23">
        <v>0.375</v>
      </c>
      <c r="AL11" s="23">
        <v>0.41666666666666702</v>
      </c>
      <c r="AM11" s="23">
        <v>0.45833333333333298</v>
      </c>
      <c r="AN11" s="23">
        <v>0.5</v>
      </c>
      <c r="AO11" s="23">
        <v>0.54166666666666696</v>
      </c>
      <c r="AP11" s="23">
        <v>0.58333333333333304</v>
      </c>
      <c r="AQ11" s="23">
        <v>0.625</v>
      </c>
      <c r="AR11" s="23">
        <v>0.66666666666666696</v>
      </c>
      <c r="AS11" s="23">
        <v>0.70833333333333304</v>
      </c>
      <c r="AT11" s="23">
        <v>0.75</v>
      </c>
      <c r="AU11" s="23">
        <v>0.79166666666666696</v>
      </c>
      <c r="AV11" s="23">
        <v>0.83333333333333304</v>
      </c>
      <c r="AW11" s="23">
        <v>0.875</v>
      </c>
      <c r="AX11" s="23">
        <v>0.91666666666666696</v>
      </c>
      <c r="AY11" s="23">
        <v>0.95833333333333404</v>
      </c>
      <c r="AZ11" s="57">
        <v>1</v>
      </c>
      <c r="BA11" s="22">
        <v>1.0416666666666701</v>
      </c>
      <c r="BB11" s="23">
        <v>1.0833333333333299</v>
      </c>
      <c r="BC11" s="23">
        <v>0.125</v>
      </c>
      <c r="BD11" s="23">
        <v>0.16666666666666699</v>
      </c>
      <c r="BE11" s="23">
        <v>0.20833333333333301</v>
      </c>
      <c r="BF11" s="23">
        <v>0.25</v>
      </c>
      <c r="BG11" s="23">
        <v>0.29166666666666702</v>
      </c>
      <c r="BH11" s="23">
        <v>0.33333333333333298</v>
      </c>
      <c r="BI11" s="23">
        <v>0.375</v>
      </c>
      <c r="BJ11" s="23">
        <v>0.41666666666666702</v>
      </c>
      <c r="BK11" s="23">
        <v>0.45833333333333298</v>
      </c>
      <c r="BL11" s="23">
        <v>0.5</v>
      </c>
      <c r="BM11" s="23">
        <v>0.54166666666666696</v>
      </c>
      <c r="BN11" s="23">
        <v>0.58333333333333304</v>
      </c>
      <c r="BO11" s="23">
        <v>0.625</v>
      </c>
      <c r="BP11" s="23">
        <v>0.66666666666666696</v>
      </c>
      <c r="BQ11" s="23">
        <v>0.70833333333333304</v>
      </c>
      <c r="BR11" s="23">
        <v>0.75</v>
      </c>
      <c r="BS11" s="23">
        <v>0.79166666666666696</v>
      </c>
      <c r="BT11" s="23">
        <v>0.83333333333333304</v>
      </c>
      <c r="BU11" s="23">
        <v>0.875</v>
      </c>
      <c r="BV11" s="23">
        <v>0.91666666666666696</v>
      </c>
      <c r="BW11" s="23">
        <v>0.95833333333333404</v>
      </c>
      <c r="BX11" s="57">
        <v>1</v>
      </c>
      <c r="BY11" s="22">
        <v>1.0416666666666701</v>
      </c>
      <c r="BZ11" s="23">
        <v>1.0833333333333299</v>
      </c>
      <c r="CA11" s="23">
        <v>0.125</v>
      </c>
      <c r="CB11" s="23">
        <v>0.16666666666666699</v>
      </c>
      <c r="CC11" s="23">
        <v>0.20833333333333301</v>
      </c>
      <c r="CD11" s="23">
        <v>0.25</v>
      </c>
      <c r="CE11" s="23">
        <v>0.29166666666666702</v>
      </c>
      <c r="CF11" s="23">
        <v>0.33333333333333298</v>
      </c>
      <c r="CG11" s="23">
        <v>0.375</v>
      </c>
      <c r="CH11" s="23">
        <v>0.41666666666666702</v>
      </c>
      <c r="CI11" s="23">
        <v>0.45833333333333298</v>
      </c>
      <c r="CJ11" s="23">
        <v>0.5</v>
      </c>
      <c r="CK11" s="23">
        <v>0.54166666666666696</v>
      </c>
      <c r="CL11" s="23">
        <v>0.58333333333333304</v>
      </c>
      <c r="CM11" s="23">
        <v>0.625</v>
      </c>
      <c r="CN11" s="23">
        <v>0.66666666666666696</v>
      </c>
      <c r="CO11" s="23">
        <v>0.70833333333333304</v>
      </c>
      <c r="CP11" s="23">
        <v>0.75</v>
      </c>
      <c r="CQ11" s="23">
        <v>0.79166666666666696</v>
      </c>
      <c r="CR11" s="23">
        <v>0.83333333333333304</v>
      </c>
      <c r="CS11" s="23">
        <v>0.875</v>
      </c>
      <c r="CT11" s="23">
        <v>0.91666666666666696</v>
      </c>
      <c r="CU11" s="23">
        <v>0.95833333333333404</v>
      </c>
      <c r="CV11" s="57">
        <v>1</v>
      </c>
      <c r="CW11" s="22">
        <v>1.0416666666666701</v>
      </c>
      <c r="CX11" s="23">
        <v>1.0833333333333299</v>
      </c>
      <c r="CY11" s="23">
        <v>0.125</v>
      </c>
      <c r="CZ11" s="23">
        <v>0.16666666666666699</v>
      </c>
      <c r="DA11" s="23">
        <v>0.20833333333333301</v>
      </c>
      <c r="DB11" s="23">
        <v>0.25</v>
      </c>
      <c r="DC11" s="23">
        <v>0.29166666666666702</v>
      </c>
      <c r="DD11" s="23">
        <v>0.33333333333333298</v>
      </c>
      <c r="DE11" s="23">
        <v>0.375</v>
      </c>
      <c r="DF11" s="23">
        <v>0.41666666666666702</v>
      </c>
      <c r="DG11" s="23">
        <v>0.45833333333333298</v>
      </c>
      <c r="DH11" s="23">
        <v>0.5</v>
      </c>
      <c r="DI11" s="23">
        <v>0.54166666666666696</v>
      </c>
      <c r="DJ11" s="23">
        <v>0.58333333333333304</v>
      </c>
      <c r="DK11" s="23">
        <v>0.625</v>
      </c>
      <c r="DL11" s="23">
        <v>0.66666666666666696</v>
      </c>
      <c r="DM11" s="23">
        <v>0.70833333333333304</v>
      </c>
      <c r="DN11" s="23">
        <v>0.75</v>
      </c>
      <c r="DO11" s="23">
        <v>0.79166666666666696</v>
      </c>
      <c r="DP11" s="23">
        <v>0.83333333333333304</v>
      </c>
      <c r="DQ11" s="23">
        <v>0.875</v>
      </c>
      <c r="DR11" s="23">
        <v>0.91666666666666696</v>
      </c>
      <c r="DS11" s="23">
        <v>0.95833333333333404</v>
      </c>
      <c r="DT11" s="23">
        <v>1</v>
      </c>
    </row>
    <row r="12" spans="2:124" x14ac:dyDescent="0.25">
      <c r="B12" s="4" t="s">
        <v>81</v>
      </c>
      <c r="D12" s="100">
        <f>D44</f>
        <v>0</v>
      </c>
      <c r="E12" s="18">
        <f t="shared" ref="E12:BP12" si="133">E44</f>
        <v>0</v>
      </c>
      <c r="F12" s="18">
        <f t="shared" si="133"/>
        <v>0</v>
      </c>
      <c r="G12" s="18">
        <f t="shared" si="133"/>
        <v>0</v>
      </c>
      <c r="H12" s="18">
        <f t="shared" si="133"/>
        <v>0</v>
      </c>
      <c r="I12" s="18">
        <f t="shared" si="133"/>
        <v>0</v>
      </c>
      <c r="J12" s="18">
        <f t="shared" si="133"/>
        <v>0</v>
      </c>
      <c r="K12" s="18">
        <f t="shared" si="133"/>
        <v>93.719937500000043</v>
      </c>
      <c r="L12" s="18">
        <f t="shared" si="133"/>
        <v>93.719937500000043</v>
      </c>
      <c r="M12" s="18">
        <f t="shared" si="133"/>
        <v>93.719937500000043</v>
      </c>
      <c r="N12" s="18">
        <f t="shared" si="133"/>
        <v>93.719937500000043</v>
      </c>
      <c r="O12" s="18">
        <f t="shared" si="133"/>
        <v>93.719937500000043</v>
      </c>
      <c r="P12" s="18">
        <f t="shared" si="133"/>
        <v>93.719937500000043</v>
      </c>
      <c r="Q12" s="18">
        <f t="shared" si="133"/>
        <v>93.719937500000043</v>
      </c>
      <c r="R12" s="18">
        <f t="shared" si="133"/>
        <v>43.419584375000049</v>
      </c>
      <c r="S12" s="24">
        <f t="shared" si="133"/>
        <v>43.419584375000049</v>
      </c>
      <c r="T12" s="24">
        <f t="shared" si="133"/>
        <v>43.419584375000049</v>
      </c>
      <c r="U12" s="24">
        <f t="shared" si="133"/>
        <v>43.419584375000049</v>
      </c>
      <c r="V12" s="24">
        <f t="shared" si="133"/>
        <v>43.419584375000049</v>
      </c>
      <c r="W12" s="24">
        <f t="shared" si="133"/>
        <v>42.02947890625002</v>
      </c>
      <c r="X12" s="24">
        <f t="shared" si="133"/>
        <v>42.02947890625002</v>
      </c>
      <c r="Y12" s="24">
        <f t="shared" si="133"/>
        <v>42.02947890625002</v>
      </c>
      <c r="Z12" s="24">
        <f t="shared" si="133"/>
        <v>42.02947890625002</v>
      </c>
      <c r="AA12" s="24">
        <f t="shared" si="133"/>
        <v>42.02947890625002</v>
      </c>
      <c r="AB12" s="55">
        <f t="shared" si="133"/>
        <v>42.02947890625002</v>
      </c>
      <c r="AC12" s="18">
        <f t="shared" si="133"/>
        <v>42.02947890625002</v>
      </c>
      <c r="AD12" s="24">
        <f t="shared" si="133"/>
        <v>42.02947890625002</v>
      </c>
      <c r="AE12" s="24">
        <f t="shared" si="133"/>
        <v>42.02947890625002</v>
      </c>
      <c r="AF12" s="24">
        <f t="shared" si="133"/>
        <v>42.02947890625002</v>
      </c>
      <c r="AG12" s="24">
        <f t="shared" si="133"/>
        <v>42.02947890625002</v>
      </c>
      <c r="AH12" s="24">
        <f t="shared" si="133"/>
        <v>42.02947890625002</v>
      </c>
      <c r="AI12" s="24">
        <f t="shared" si="133"/>
        <v>65.845958489583396</v>
      </c>
      <c r="AJ12" s="24">
        <f t="shared" si="133"/>
        <v>65.845958489583396</v>
      </c>
      <c r="AK12" s="24">
        <f t="shared" si="133"/>
        <v>65.845958489583396</v>
      </c>
      <c r="AL12" s="24">
        <f t="shared" si="133"/>
        <v>65.845958489583396</v>
      </c>
      <c r="AM12" s="24">
        <f t="shared" si="133"/>
        <v>65.845958489583396</v>
      </c>
      <c r="AN12" s="24">
        <f t="shared" si="133"/>
        <v>65.845958489583396</v>
      </c>
      <c r="AO12" s="24">
        <f t="shared" si="133"/>
        <v>40.553608286458314</v>
      </c>
      <c r="AP12" s="24">
        <f t="shared" si="133"/>
        <v>40.553608286458314</v>
      </c>
      <c r="AQ12" s="24">
        <f t="shared" si="133"/>
        <v>40.553608286458314</v>
      </c>
      <c r="AR12" s="24">
        <f t="shared" si="133"/>
        <v>40.553608286458314</v>
      </c>
      <c r="AS12" s="24">
        <f t="shared" si="133"/>
        <v>40.553608286458314</v>
      </c>
      <c r="AT12" s="24">
        <f t="shared" si="133"/>
        <v>40.553608286458314</v>
      </c>
      <c r="AU12" s="24">
        <f t="shared" si="133"/>
        <v>48.141313347395887</v>
      </c>
      <c r="AV12" s="24">
        <f t="shared" si="133"/>
        <v>48.141313347395887</v>
      </c>
      <c r="AW12" s="24">
        <f t="shared" si="133"/>
        <v>48.141313347395887</v>
      </c>
      <c r="AX12" s="24">
        <f t="shared" si="133"/>
        <v>48.141313347395887</v>
      </c>
      <c r="AY12" s="24">
        <f t="shared" si="133"/>
        <v>48.141313347395887</v>
      </c>
      <c r="AZ12" s="55">
        <f t="shared" si="133"/>
        <v>48.141313347395887</v>
      </c>
      <c r="BA12" s="18">
        <f t="shared" si="133"/>
        <v>48.141313347395887</v>
      </c>
      <c r="BB12" s="24">
        <f t="shared" si="133"/>
        <v>48.141313347395887</v>
      </c>
      <c r="BC12" s="24">
        <f t="shared" si="133"/>
        <v>48.141313347395887</v>
      </c>
      <c r="BD12" s="24">
        <f t="shared" si="133"/>
        <v>48.141313347395887</v>
      </c>
      <c r="BE12" s="24">
        <f t="shared" si="133"/>
        <v>48.141313347395887</v>
      </c>
      <c r="BF12" s="24">
        <f t="shared" si="133"/>
        <v>48.141313347395887</v>
      </c>
      <c r="BG12" s="24">
        <f t="shared" si="133"/>
        <v>56.242816158229211</v>
      </c>
      <c r="BH12" s="24">
        <f t="shared" si="133"/>
        <v>56.242816158229211</v>
      </c>
      <c r="BI12" s="24">
        <f t="shared" si="133"/>
        <v>56.242816158229211</v>
      </c>
      <c r="BJ12" s="24">
        <f t="shared" si="133"/>
        <v>56.242816158229211</v>
      </c>
      <c r="BK12" s="24">
        <f t="shared" si="133"/>
        <v>56.242816158229211</v>
      </c>
      <c r="BL12" s="24">
        <f t="shared" si="133"/>
        <v>56.242816158229211</v>
      </c>
      <c r="BM12" s="24">
        <f t="shared" si="133"/>
        <v>43.434550985864576</v>
      </c>
      <c r="BN12" s="24">
        <f t="shared" si="133"/>
        <v>43.434550985864576</v>
      </c>
      <c r="BO12" s="24">
        <f t="shared" si="133"/>
        <v>43.434550985864576</v>
      </c>
      <c r="BP12" s="24">
        <f t="shared" si="133"/>
        <v>43.434550985864576</v>
      </c>
      <c r="BQ12" s="24">
        <f t="shared" ref="BQ12:DT12" si="134">BQ44</f>
        <v>43.434550985864576</v>
      </c>
      <c r="BR12" s="24">
        <f t="shared" si="134"/>
        <v>43.434550985864576</v>
      </c>
      <c r="BS12" s="24">
        <f t="shared" si="134"/>
        <v>47.277030537573992</v>
      </c>
      <c r="BT12" s="24">
        <f t="shared" si="134"/>
        <v>47.277030537573992</v>
      </c>
      <c r="BU12" s="24">
        <f t="shared" si="134"/>
        <v>47.277030537573992</v>
      </c>
      <c r="BV12" s="24">
        <f t="shared" si="134"/>
        <v>47.277030537573992</v>
      </c>
      <c r="BW12" s="24">
        <f t="shared" si="134"/>
        <v>47.277030537573992</v>
      </c>
      <c r="BX12" s="55">
        <f t="shared" si="134"/>
        <v>47.277030537573992</v>
      </c>
      <c r="BY12" s="18">
        <f t="shared" si="134"/>
        <v>47.277030537573992</v>
      </c>
      <c r="BZ12" s="24">
        <f t="shared" si="134"/>
        <v>47.277030537573992</v>
      </c>
      <c r="CA12" s="24">
        <f t="shared" si="134"/>
        <v>47.277030537573992</v>
      </c>
      <c r="CB12" s="24">
        <f t="shared" si="134"/>
        <v>47.277030537573992</v>
      </c>
      <c r="CC12" s="24">
        <f t="shared" si="134"/>
        <v>47.277030537573992</v>
      </c>
      <c r="CD12" s="24">
        <f t="shared" si="134"/>
        <v>47.277030537573992</v>
      </c>
      <c r="CE12" s="24">
        <f t="shared" si="134"/>
        <v>62.69742751078897</v>
      </c>
      <c r="CF12" s="24">
        <f t="shared" si="134"/>
        <v>62.69742751078897</v>
      </c>
      <c r="CG12" s="24">
        <f t="shared" si="134"/>
        <v>62.69742751078897</v>
      </c>
      <c r="CH12" s="24">
        <f t="shared" si="134"/>
        <v>62.69742751078897</v>
      </c>
      <c r="CI12" s="24">
        <f t="shared" si="134"/>
        <v>62.69742751078897</v>
      </c>
      <c r="CJ12" s="24">
        <f t="shared" si="134"/>
        <v>62.69742751078897</v>
      </c>
      <c r="CK12" s="24">
        <f t="shared" si="134"/>
        <v>41.498167580096677</v>
      </c>
      <c r="CL12" s="24">
        <f t="shared" si="134"/>
        <v>41.498167580096677</v>
      </c>
      <c r="CM12" s="24">
        <f t="shared" si="134"/>
        <v>41.498167580096677</v>
      </c>
      <c r="CN12" s="24">
        <f t="shared" si="134"/>
        <v>41.498167580096677</v>
      </c>
      <c r="CO12" s="24">
        <f t="shared" si="134"/>
        <v>41.498167580096677</v>
      </c>
      <c r="CP12" s="24">
        <f t="shared" si="134"/>
        <v>41.498167580096677</v>
      </c>
      <c r="CQ12" s="24">
        <f t="shared" si="134"/>
        <v>47.857945559304369</v>
      </c>
      <c r="CR12" s="24">
        <f t="shared" si="134"/>
        <v>47.857945559304369</v>
      </c>
      <c r="CS12" s="24">
        <f t="shared" si="134"/>
        <v>47.857945559304369</v>
      </c>
      <c r="CT12" s="24">
        <f t="shared" si="134"/>
        <v>47.857945559304369</v>
      </c>
      <c r="CU12" s="24">
        <f t="shared" si="134"/>
        <v>47.857945559304369</v>
      </c>
      <c r="CV12" s="55">
        <f t="shared" si="134"/>
        <v>47.857945559304369</v>
      </c>
      <c r="CW12" s="18">
        <f t="shared" si="134"/>
        <v>47.857945559304369</v>
      </c>
      <c r="CX12" s="24">
        <f t="shared" si="134"/>
        <v>47.857945559304369</v>
      </c>
      <c r="CY12" s="24">
        <f t="shared" si="134"/>
        <v>47.857945559304369</v>
      </c>
      <c r="CZ12" s="24">
        <f t="shared" si="134"/>
        <v>47.857945559304369</v>
      </c>
      <c r="DA12" s="24">
        <f t="shared" si="134"/>
        <v>47.857945559304369</v>
      </c>
      <c r="DB12" s="24">
        <f t="shared" si="134"/>
        <v>47.857945559304369</v>
      </c>
      <c r="DC12" s="24">
        <f t="shared" si="134"/>
        <v>62.348878497750768</v>
      </c>
      <c r="DD12" s="24">
        <f t="shared" si="134"/>
        <v>62.348878497750768</v>
      </c>
      <c r="DE12" s="24">
        <f t="shared" si="134"/>
        <v>62.348878497750768</v>
      </c>
      <c r="DF12" s="24">
        <f t="shared" si="134"/>
        <v>62.348878497750768</v>
      </c>
      <c r="DG12" s="24">
        <f t="shared" si="134"/>
        <v>62.348878497750768</v>
      </c>
      <c r="DH12" s="24">
        <f t="shared" si="134"/>
        <v>62.348878497750768</v>
      </c>
      <c r="DI12" s="24">
        <f t="shared" si="134"/>
        <v>41.602732284008134</v>
      </c>
      <c r="DJ12" s="24">
        <f t="shared" si="134"/>
        <v>41.602732284008134</v>
      </c>
      <c r="DK12" s="24">
        <f t="shared" si="134"/>
        <v>41.602732284008134</v>
      </c>
      <c r="DL12" s="24">
        <f t="shared" si="134"/>
        <v>41.602732284008134</v>
      </c>
      <c r="DM12" s="24">
        <f t="shared" si="134"/>
        <v>41.602732284008134</v>
      </c>
      <c r="DN12" s="24">
        <f t="shared" si="134"/>
        <v>41.602732284008134</v>
      </c>
      <c r="DO12" s="24">
        <f t="shared" si="134"/>
        <v>47.826576148130918</v>
      </c>
      <c r="DP12" s="24">
        <f t="shared" si="134"/>
        <v>47.826576148130918</v>
      </c>
      <c r="DQ12" s="24">
        <f t="shared" si="134"/>
        <v>47.826576148130918</v>
      </c>
      <c r="DR12" s="24">
        <f t="shared" si="134"/>
        <v>47.826576148130918</v>
      </c>
      <c r="DS12" s="24">
        <f t="shared" si="134"/>
        <v>47.826576148130918</v>
      </c>
      <c r="DT12" s="24">
        <f t="shared" si="134"/>
        <v>47.826576148130918</v>
      </c>
    </row>
    <row r="13" spans="2:124" x14ac:dyDescent="0.25">
      <c r="B13" s="3" t="s">
        <v>11</v>
      </c>
      <c r="D13" s="102">
        <v>1766.32</v>
      </c>
      <c r="E13" s="18">
        <f>E12+D19</f>
        <v>1607.3241666666668</v>
      </c>
      <c r="F13" s="24">
        <f t="shared" ref="F13:BQ13" si="135">F12+E19</f>
        <v>1552.1004166666669</v>
      </c>
      <c r="G13" s="24">
        <f t="shared" si="135"/>
        <v>1496.876666666667</v>
      </c>
      <c r="H13" s="24">
        <f t="shared" si="135"/>
        <v>1441.6529166666671</v>
      </c>
      <c r="I13" s="24">
        <f t="shared" si="135"/>
        <v>1327.0291666666672</v>
      </c>
      <c r="J13" s="24">
        <f t="shared" si="135"/>
        <v>1212.4054166666672</v>
      </c>
      <c r="K13" s="24">
        <f t="shared" si="135"/>
        <v>1191.5016041666672</v>
      </c>
      <c r="L13" s="24">
        <f t="shared" si="135"/>
        <v>2743.2199375</v>
      </c>
      <c r="M13" s="24">
        <f t="shared" si="135"/>
        <v>2722.3161250000003</v>
      </c>
      <c r="N13" s="24">
        <f t="shared" si="135"/>
        <v>2701.4123125000006</v>
      </c>
      <c r="O13" s="24">
        <f t="shared" si="135"/>
        <v>2680.5085000000008</v>
      </c>
      <c r="P13" s="24">
        <f t="shared" si="135"/>
        <v>2659.6046875000011</v>
      </c>
      <c r="Q13" s="24">
        <f t="shared" si="135"/>
        <v>2638.7008750000014</v>
      </c>
      <c r="R13" s="24">
        <f t="shared" si="135"/>
        <v>2567.4967093750015</v>
      </c>
      <c r="S13" s="24">
        <f t="shared" si="135"/>
        <v>2692.9195843749999</v>
      </c>
      <c r="T13" s="24">
        <f t="shared" si="135"/>
        <v>2621.71541875</v>
      </c>
      <c r="U13" s="24">
        <f t="shared" si="135"/>
        <v>2550.5112531250002</v>
      </c>
      <c r="V13" s="24">
        <f t="shared" si="135"/>
        <v>2479.3070875000003</v>
      </c>
      <c r="W13" s="24">
        <f t="shared" si="135"/>
        <v>2406.7128164062506</v>
      </c>
      <c r="X13" s="24">
        <f t="shared" si="135"/>
        <v>2691.52947890625</v>
      </c>
      <c r="Y13" s="24">
        <f t="shared" si="135"/>
        <v>2618.9352078125003</v>
      </c>
      <c r="Z13" s="24">
        <f t="shared" si="135"/>
        <v>2546.3409367187505</v>
      </c>
      <c r="AA13" s="24">
        <f t="shared" si="135"/>
        <v>2533.1466656250009</v>
      </c>
      <c r="AB13" s="55">
        <f t="shared" si="135"/>
        <v>2519.9523945312512</v>
      </c>
      <c r="AC13" s="18">
        <f t="shared" si="135"/>
        <v>2506.7581234375016</v>
      </c>
      <c r="AD13" s="24">
        <f t="shared" si="135"/>
        <v>2493.5638523437519</v>
      </c>
      <c r="AE13" s="24">
        <f t="shared" si="135"/>
        <v>2480.3695812500023</v>
      </c>
      <c r="AF13" s="24">
        <f t="shared" si="135"/>
        <v>2467.1753101562526</v>
      </c>
      <c r="AG13" s="24">
        <f t="shared" si="135"/>
        <v>2394.5810390625029</v>
      </c>
      <c r="AH13" s="24">
        <f t="shared" si="135"/>
        <v>2321.9867679687532</v>
      </c>
      <c r="AI13" s="24">
        <f t="shared" si="135"/>
        <v>2273.208976458337</v>
      </c>
      <c r="AJ13" s="24">
        <f t="shared" si="135"/>
        <v>2715.3459584895836</v>
      </c>
      <c r="AK13" s="24">
        <f t="shared" si="135"/>
        <v>2666.5681669791675</v>
      </c>
      <c r="AL13" s="24">
        <f t="shared" si="135"/>
        <v>2617.7903754687513</v>
      </c>
      <c r="AM13" s="24">
        <f t="shared" si="135"/>
        <v>2569.0125839583352</v>
      </c>
      <c r="AN13" s="24">
        <f t="shared" si="135"/>
        <v>2520.2347924479191</v>
      </c>
      <c r="AO13" s="24">
        <f t="shared" si="135"/>
        <v>2446.1646507343776</v>
      </c>
      <c r="AP13" s="24">
        <f t="shared" si="135"/>
        <v>2690.0536082864583</v>
      </c>
      <c r="AQ13" s="24">
        <f t="shared" si="135"/>
        <v>2615.9834665729168</v>
      </c>
      <c r="AR13" s="24">
        <f t="shared" si="135"/>
        <v>2541.9133248593753</v>
      </c>
      <c r="AS13" s="24">
        <f t="shared" si="135"/>
        <v>2467.8431831458338</v>
      </c>
      <c r="AT13" s="24">
        <f t="shared" si="135"/>
        <v>2393.7730414322923</v>
      </c>
      <c r="AU13" s="24">
        <f t="shared" si="135"/>
        <v>2327.2906047796882</v>
      </c>
      <c r="AV13" s="24">
        <f t="shared" si="135"/>
        <v>2697.6413133473957</v>
      </c>
      <c r="AW13" s="24">
        <f t="shared" si="135"/>
        <v>2631.1588766947916</v>
      </c>
      <c r="AX13" s="24">
        <f t="shared" si="135"/>
        <v>2624.0764400421876</v>
      </c>
      <c r="AY13" s="24">
        <f t="shared" si="135"/>
        <v>2616.9940033895837</v>
      </c>
      <c r="AZ13" s="55">
        <f t="shared" si="135"/>
        <v>2609.9115667369797</v>
      </c>
      <c r="BA13" s="18">
        <f t="shared" si="135"/>
        <v>2602.8291300843757</v>
      </c>
      <c r="BB13" s="24">
        <f t="shared" si="135"/>
        <v>2595.7466934317717</v>
      </c>
      <c r="BC13" s="24">
        <f t="shared" si="135"/>
        <v>2588.6642567791678</v>
      </c>
      <c r="BD13" s="24">
        <f t="shared" si="135"/>
        <v>2581.5818201265638</v>
      </c>
      <c r="BE13" s="24">
        <f t="shared" si="135"/>
        <v>2515.0993834739597</v>
      </c>
      <c r="BF13" s="24">
        <f t="shared" si="135"/>
        <v>2448.6169468213557</v>
      </c>
      <c r="BG13" s="24">
        <f t="shared" si="135"/>
        <v>2390.2360129795852</v>
      </c>
      <c r="BH13" s="24">
        <f t="shared" si="135"/>
        <v>2705.7428161582293</v>
      </c>
      <c r="BI13" s="24">
        <f t="shared" si="135"/>
        <v>2647.3618823164588</v>
      </c>
      <c r="BJ13" s="24">
        <f t="shared" si="135"/>
        <v>2588.9809484746884</v>
      </c>
      <c r="BK13" s="24">
        <f t="shared" si="135"/>
        <v>2530.6000146329179</v>
      </c>
      <c r="BL13" s="24">
        <f t="shared" si="135"/>
        <v>2472.2190807911475</v>
      </c>
      <c r="BM13" s="24">
        <f t="shared" si="135"/>
        <v>2401.0298817770122</v>
      </c>
      <c r="BN13" s="24">
        <f t="shared" si="135"/>
        <v>2692.9345509858645</v>
      </c>
      <c r="BO13" s="24">
        <f t="shared" si="135"/>
        <v>2621.7453519717292</v>
      </c>
      <c r="BP13" s="24">
        <f t="shared" si="135"/>
        <v>2550.5561529575939</v>
      </c>
      <c r="BQ13" s="24">
        <f t="shared" si="135"/>
        <v>2479.3669539434586</v>
      </c>
      <c r="BR13" s="24">
        <f t="shared" ref="BR13:DT13" si="136">BR12+BQ19</f>
        <v>2408.1777549293233</v>
      </c>
      <c r="BS13" s="24">
        <f t="shared" si="136"/>
        <v>2340.8310354668974</v>
      </c>
      <c r="BT13" s="24">
        <f t="shared" si="136"/>
        <v>2696.7770305375739</v>
      </c>
      <c r="BU13" s="24">
        <f t="shared" si="136"/>
        <v>2629.430311075148</v>
      </c>
      <c r="BV13" s="24">
        <f t="shared" si="136"/>
        <v>2562.0835916127221</v>
      </c>
      <c r="BW13" s="24">
        <f t="shared" si="136"/>
        <v>2554.1368721502963</v>
      </c>
      <c r="BX13" s="55">
        <f t="shared" si="136"/>
        <v>2546.1901526878705</v>
      </c>
      <c r="BY13" s="18">
        <f t="shared" si="136"/>
        <v>2538.2434332254447</v>
      </c>
      <c r="BZ13" s="24">
        <f t="shared" si="136"/>
        <v>2530.2967137630189</v>
      </c>
      <c r="CA13" s="24">
        <f t="shared" si="136"/>
        <v>2522.3499943005932</v>
      </c>
      <c r="CB13" s="24">
        <f t="shared" si="136"/>
        <v>2514.4032748381674</v>
      </c>
      <c r="CC13" s="24">
        <f t="shared" si="136"/>
        <v>2447.0565553757415</v>
      </c>
      <c r="CD13" s="24">
        <f t="shared" si="136"/>
        <v>2379.7098359133156</v>
      </c>
      <c r="CE13" s="24">
        <f t="shared" si="136"/>
        <v>2327.783513424105</v>
      </c>
      <c r="CF13" s="24">
        <f t="shared" si="136"/>
        <v>2712.1974275107891</v>
      </c>
      <c r="CG13" s="24">
        <f t="shared" si="136"/>
        <v>2660.2711050215785</v>
      </c>
      <c r="CH13" s="24">
        <f t="shared" si="136"/>
        <v>2608.3447825323678</v>
      </c>
      <c r="CI13" s="24">
        <f t="shared" si="136"/>
        <v>2556.4184600431572</v>
      </c>
      <c r="CJ13" s="24">
        <f t="shared" si="136"/>
        <v>2504.4921375539466</v>
      </c>
      <c r="CK13" s="24">
        <f t="shared" si="136"/>
        <v>2431.3665551340437</v>
      </c>
      <c r="CL13" s="24">
        <f t="shared" si="136"/>
        <v>2690.9981675800968</v>
      </c>
      <c r="CM13" s="24">
        <f t="shared" si="136"/>
        <v>2617.8725851601939</v>
      </c>
      <c r="CN13" s="24">
        <f t="shared" si="136"/>
        <v>2544.747002740291</v>
      </c>
      <c r="CO13" s="24">
        <f t="shared" si="136"/>
        <v>2471.6214203203881</v>
      </c>
      <c r="CP13" s="24">
        <f t="shared" si="136"/>
        <v>2398.4958379004852</v>
      </c>
      <c r="CQ13" s="24">
        <f t="shared" si="136"/>
        <v>2331.7300334597899</v>
      </c>
      <c r="CR13" s="24">
        <f t="shared" si="136"/>
        <v>2697.3579455593044</v>
      </c>
      <c r="CS13" s="24">
        <f t="shared" si="136"/>
        <v>2630.5921411186091</v>
      </c>
      <c r="CT13" s="24">
        <f t="shared" si="136"/>
        <v>2563.8263366779138</v>
      </c>
      <c r="CU13" s="24">
        <f t="shared" si="136"/>
        <v>2556.4605322372186</v>
      </c>
      <c r="CV13" s="55">
        <f t="shared" si="136"/>
        <v>2549.0947277965233</v>
      </c>
      <c r="CW13" s="18">
        <f t="shared" si="136"/>
        <v>2541.7289233558281</v>
      </c>
      <c r="CX13" s="24">
        <f t="shared" si="136"/>
        <v>2534.3631189151329</v>
      </c>
      <c r="CY13" s="24">
        <f t="shared" si="136"/>
        <v>2526.9973144744376</v>
      </c>
      <c r="CZ13" s="24">
        <f t="shared" si="136"/>
        <v>2519.6315100337424</v>
      </c>
      <c r="DA13" s="24">
        <f t="shared" si="136"/>
        <v>2452.8657055930471</v>
      </c>
      <c r="DB13" s="24">
        <f t="shared" si="136"/>
        <v>2386.0999011523518</v>
      </c>
      <c r="DC13" s="24">
        <f t="shared" si="136"/>
        <v>2333.8250296501028</v>
      </c>
      <c r="DD13" s="24">
        <f t="shared" si="136"/>
        <v>2711.8488784977508</v>
      </c>
      <c r="DE13" s="24">
        <f t="shared" si="136"/>
        <v>2659.5740069955018</v>
      </c>
      <c r="DF13" s="24">
        <f t="shared" si="136"/>
        <v>2607.2991354932528</v>
      </c>
      <c r="DG13" s="24">
        <f t="shared" si="136"/>
        <v>2555.0242639910039</v>
      </c>
      <c r="DH13" s="24">
        <f t="shared" si="136"/>
        <v>2502.7493924887549</v>
      </c>
      <c r="DI13" s="24">
        <f t="shared" si="136"/>
        <v>2429.7283747727633</v>
      </c>
      <c r="DJ13" s="24">
        <f t="shared" si="136"/>
        <v>2691.1027322840082</v>
      </c>
      <c r="DK13" s="24">
        <f t="shared" si="136"/>
        <v>2618.0817145680167</v>
      </c>
      <c r="DL13" s="24">
        <f t="shared" si="136"/>
        <v>2545.0606968520251</v>
      </c>
      <c r="DM13" s="24">
        <f t="shared" si="136"/>
        <v>2472.0396791360336</v>
      </c>
      <c r="DN13" s="24">
        <f t="shared" si="136"/>
        <v>2399.018661420042</v>
      </c>
      <c r="DO13" s="24">
        <f t="shared" si="136"/>
        <v>2332.221487568173</v>
      </c>
      <c r="DP13" s="24">
        <f t="shared" si="136"/>
        <v>2697.3265761481307</v>
      </c>
      <c r="DQ13" s="24">
        <f t="shared" si="136"/>
        <v>2630.5294022962617</v>
      </c>
      <c r="DR13" s="24">
        <f t="shared" si="136"/>
        <v>2563.7322284443926</v>
      </c>
      <c r="DS13" s="24">
        <f t="shared" si="136"/>
        <v>2556.3350545925236</v>
      </c>
      <c r="DT13" s="24">
        <f t="shared" si="136"/>
        <v>2548.9378807406547</v>
      </c>
    </row>
    <row r="14" spans="2:124" s="2" customFormat="1" x14ac:dyDescent="0.25">
      <c r="B14" s="19" t="s">
        <v>12</v>
      </c>
      <c r="C14" s="76">
        <f>2649.5/24</f>
        <v>110.39583333333333</v>
      </c>
      <c r="D14" s="103">
        <f>$C$14</f>
        <v>110.39583333333333</v>
      </c>
      <c r="E14" s="26">
        <f>$C$14</f>
        <v>110.39583333333333</v>
      </c>
      <c r="F14" s="26">
        <f t="shared" ref="F14:BQ14" si="137">$C$14</f>
        <v>110.39583333333333</v>
      </c>
      <c r="G14" s="26">
        <f t="shared" si="137"/>
        <v>110.39583333333333</v>
      </c>
      <c r="H14" s="26">
        <f t="shared" si="137"/>
        <v>110.39583333333333</v>
      </c>
      <c r="I14" s="26">
        <f t="shared" si="137"/>
        <v>110.39583333333333</v>
      </c>
      <c r="J14" s="26">
        <f t="shared" si="137"/>
        <v>110.39583333333333</v>
      </c>
      <c r="K14" s="26">
        <f t="shared" si="137"/>
        <v>110.39583333333333</v>
      </c>
      <c r="L14" s="26">
        <f t="shared" si="137"/>
        <v>110.39583333333333</v>
      </c>
      <c r="M14" s="26">
        <f t="shared" si="137"/>
        <v>110.39583333333333</v>
      </c>
      <c r="N14" s="26">
        <f t="shared" si="137"/>
        <v>110.39583333333333</v>
      </c>
      <c r="O14" s="26">
        <f t="shared" si="137"/>
        <v>110.39583333333333</v>
      </c>
      <c r="P14" s="26">
        <f t="shared" si="137"/>
        <v>110.39583333333333</v>
      </c>
      <c r="Q14" s="26">
        <f t="shared" si="137"/>
        <v>110.39583333333333</v>
      </c>
      <c r="R14" s="26">
        <f t="shared" si="137"/>
        <v>110.39583333333333</v>
      </c>
      <c r="S14" s="26">
        <f t="shared" si="137"/>
        <v>110.39583333333333</v>
      </c>
      <c r="T14" s="26">
        <f t="shared" si="137"/>
        <v>110.39583333333333</v>
      </c>
      <c r="U14" s="26">
        <f t="shared" si="137"/>
        <v>110.39583333333333</v>
      </c>
      <c r="V14" s="26">
        <f t="shared" si="137"/>
        <v>110.39583333333333</v>
      </c>
      <c r="W14" s="26">
        <f t="shared" si="137"/>
        <v>110.39583333333333</v>
      </c>
      <c r="X14" s="26">
        <f t="shared" si="137"/>
        <v>110.39583333333333</v>
      </c>
      <c r="Y14" s="26">
        <f t="shared" si="137"/>
        <v>110.39583333333333</v>
      </c>
      <c r="Z14" s="26">
        <f t="shared" si="137"/>
        <v>110.39583333333333</v>
      </c>
      <c r="AA14" s="26">
        <f t="shared" si="137"/>
        <v>110.39583333333333</v>
      </c>
      <c r="AB14" s="58">
        <f t="shared" si="137"/>
        <v>110.39583333333333</v>
      </c>
      <c r="AC14" s="25">
        <f t="shared" si="137"/>
        <v>110.39583333333333</v>
      </c>
      <c r="AD14" s="26">
        <f t="shared" si="137"/>
        <v>110.39583333333333</v>
      </c>
      <c r="AE14" s="26">
        <f t="shared" si="137"/>
        <v>110.39583333333333</v>
      </c>
      <c r="AF14" s="26">
        <f t="shared" si="137"/>
        <v>110.39583333333333</v>
      </c>
      <c r="AG14" s="26">
        <f t="shared" si="137"/>
        <v>110.39583333333333</v>
      </c>
      <c r="AH14" s="26">
        <f t="shared" si="137"/>
        <v>110.39583333333333</v>
      </c>
      <c r="AI14" s="26">
        <f t="shared" si="137"/>
        <v>110.39583333333333</v>
      </c>
      <c r="AJ14" s="26">
        <f t="shared" si="137"/>
        <v>110.39583333333333</v>
      </c>
      <c r="AK14" s="26">
        <f t="shared" si="137"/>
        <v>110.39583333333333</v>
      </c>
      <c r="AL14" s="26">
        <f t="shared" si="137"/>
        <v>110.39583333333333</v>
      </c>
      <c r="AM14" s="26">
        <f t="shared" si="137"/>
        <v>110.39583333333333</v>
      </c>
      <c r="AN14" s="26">
        <f t="shared" si="137"/>
        <v>110.39583333333333</v>
      </c>
      <c r="AO14" s="26">
        <f t="shared" si="137"/>
        <v>110.39583333333333</v>
      </c>
      <c r="AP14" s="26">
        <f t="shared" si="137"/>
        <v>110.39583333333333</v>
      </c>
      <c r="AQ14" s="26">
        <f t="shared" si="137"/>
        <v>110.39583333333333</v>
      </c>
      <c r="AR14" s="26">
        <f t="shared" si="137"/>
        <v>110.39583333333333</v>
      </c>
      <c r="AS14" s="26">
        <f t="shared" si="137"/>
        <v>110.39583333333333</v>
      </c>
      <c r="AT14" s="26">
        <f t="shared" si="137"/>
        <v>110.39583333333333</v>
      </c>
      <c r="AU14" s="26">
        <f t="shared" si="137"/>
        <v>110.39583333333333</v>
      </c>
      <c r="AV14" s="26">
        <f t="shared" si="137"/>
        <v>110.39583333333333</v>
      </c>
      <c r="AW14" s="26">
        <f t="shared" si="137"/>
        <v>110.39583333333333</v>
      </c>
      <c r="AX14" s="26">
        <f t="shared" si="137"/>
        <v>110.39583333333333</v>
      </c>
      <c r="AY14" s="26">
        <f t="shared" si="137"/>
        <v>110.39583333333333</v>
      </c>
      <c r="AZ14" s="58">
        <f t="shared" si="137"/>
        <v>110.39583333333333</v>
      </c>
      <c r="BA14" s="25">
        <f t="shared" si="137"/>
        <v>110.39583333333333</v>
      </c>
      <c r="BB14" s="26">
        <f t="shared" si="137"/>
        <v>110.39583333333333</v>
      </c>
      <c r="BC14" s="26">
        <f t="shared" si="137"/>
        <v>110.39583333333333</v>
      </c>
      <c r="BD14" s="26">
        <f t="shared" si="137"/>
        <v>110.39583333333333</v>
      </c>
      <c r="BE14" s="26">
        <f t="shared" si="137"/>
        <v>110.39583333333333</v>
      </c>
      <c r="BF14" s="26">
        <f t="shared" si="137"/>
        <v>110.39583333333333</v>
      </c>
      <c r="BG14" s="26">
        <f t="shared" si="137"/>
        <v>110.39583333333333</v>
      </c>
      <c r="BH14" s="26">
        <f t="shared" si="137"/>
        <v>110.39583333333333</v>
      </c>
      <c r="BI14" s="26">
        <f t="shared" si="137"/>
        <v>110.39583333333333</v>
      </c>
      <c r="BJ14" s="26">
        <f t="shared" si="137"/>
        <v>110.39583333333333</v>
      </c>
      <c r="BK14" s="26">
        <f t="shared" si="137"/>
        <v>110.39583333333333</v>
      </c>
      <c r="BL14" s="26">
        <f t="shared" si="137"/>
        <v>110.39583333333333</v>
      </c>
      <c r="BM14" s="26">
        <f t="shared" si="137"/>
        <v>110.39583333333333</v>
      </c>
      <c r="BN14" s="26">
        <f t="shared" si="137"/>
        <v>110.39583333333333</v>
      </c>
      <c r="BO14" s="26">
        <f t="shared" si="137"/>
        <v>110.39583333333333</v>
      </c>
      <c r="BP14" s="26">
        <f t="shared" si="137"/>
        <v>110.39583333333333</v>
      </c>
      <c r="BQ14" s="26">
        <f t="shared" si="137"/>
        <v>110.39583333333333</v>
      </c>
      <c r="BR14" s="26">
        <f t="shared" ref="BR14:DT14" si="138">$C$14</f>
        <v>110.39583333333333</v>
      </c>
      <c r="BS14" s="26">
        <f t="shared" si="138"/>
        <v>110.39583333333333</v>
      </c>
      <c r="BT14" s="26">
        <f t="shared" si="138"/>
        <v>110.39583333333333</v>
      </c>
      <c r="BU14" s="26">
        <f t="shared" si="138"/>
        <v>110.39583333333333</v>
      </c>
      <c r="BV14" s="26">
        <f t="shared" si="138"/>
        <v>110.39583333333333</v>
      </c>
      <c r="BW14" s="26">
        <f t="shared" si="138"/>
        <v>110.39583333333333</v>
      </c>
      <c r="BX14" s="58">
        <f t="shared" si="138"/>
        <v>110.39583333333333</v>
      </c>
      <c r="BY14" s="25">
        <f t="shared" si="138"/>
        <v>110.39583333333333</v>
      </c>
      <c r="BZ14" s="26">
        <f t="shared" si="138"/>
        <v>110.39583333333333</v>
      </c>
      <c r="CA14" s="26">
        <f t="shared" si="138"/>
        <v>110.39583333333333</v>
      </c>
      <c r="CB14" s="26">
        <f t="shared" si="138"/>
        <v>110.39583333333333</v>
      </c>
      <c r="CC14" s="26">
        <f t="shared" si="138"/>
        <v>110.39583333333333</v>
      </c>
      <c r="CD14" s="26">
        <f t="shared" si="138"/>
        <v>110.39583333333333</v>
      </c>
      <c r="CE14" s="26">
        <f t="shared" si="138"/>
        <v>110.39583333333333</v>
      </c>
      <c r="CF14" s="26">
        <f t="shared" si="138"/>
        <v>110.39583333333333</v>
      </c>
      <c r="CG14" s="26">
        <f t="shared" si="138"/>
        <v>110.39583333333333</v>
      </c>
      <c r="CH14" s="26">
        <f t="shared" si="138"/>
        <v>110.39583333333333</v>
      </c>
      <c r="CI14" s="26">
        <f t="shared" si="138"/>
        <v>110.39583333333333</v>
      </c>
      <c r="CJ14" s="26">
        <f t="shared" si="138"/>
        <v>110.39583333333333</v>
      </c>
      <c r="CK14" s="26">
        <f t="shared" si="138"/>
        <v>110.39583333333333</v>
      </c>
      <c r="CL14" s="26">
        <f t="shared" si="138"/>
        <v>110.39583333333333</v>
      </c>
      <c r="CM14" s="26">
        <f t="shared" si="138"/>
        <v>110.39583333333333</v>
      </c>
      <c r="CN14" s="26">
        <f t="shared" si="138"/>
        <v>110.39583333333333</v>
      </c>
      <c r="CO14" s="26">
        <f t="shared" si="138"/>
        <v>110.39583333333333</v>
      </c>
      <c r="CP14" s="26">
        <f t="shared" si="138"/>
        <v>110.39583333333333</v>
      </c>
      <c r="CQ14" s="26">
        <f t="shared" si="138"/>
        <v>110.39583333333333</v>
      </c>
      <c r="CR14" s="26">
        <f t="shared" si="138"/>
        <v>110.39583333333333</v>
      </c>
      <c r="CS14" s="26">
        <f t="shared" si="138"/>
        <v>110.39583333333333</v>
      </c>
      <c r="CT14" s="26">
        <f t="shared" si="138"/>
        <v>110.39583333333333</v>
      </c>
      <c r="CU14" s="26">
        <f t="shared" si="138"/>
        <v>110.39583333333333</v>
      </c>
      <c r="CV14" s="58">
        <f t="shared" si="138"/>
        <v>110.39583333333333</v>
      </c>
      <c r="CW14" s="25">
        <f t="shared" si="138"/>
        <v>110.39583333333333</v>
      </c>
      <c r="CX14" s="26">
        <f t="shared" si="138"/>
        <v>110.39583333333333</v>
      </c>
      <c r="CY14" s="26">
        <f t="shared" si="138"/>
        <v>110.39583333333333</v>
      </c>
      <c r="CZ14" s="26">
        <f t="shared" si="138"/>
        <v>110.39583333333333</v>
      </c>
      <c r="DA14" s="26">
        <f t="shared" si="138"/>
        <v>110.39583333333333</v>
      </c>
      <c r="DB14" s="26">
        <f t="shared" si="138"/>
        <v>110.39583333333333</v>
      </c>
      <c r="DC14" s="26">
        <f t="shared" si="138"/>
        <v>110.39583333333333</v>
      </c>
      <c r="DD14" s="26">
        <f t="shared" si="138"/>
        <v>110.39583333333333</v>
      </c>
      <c r="DE14" s="26">
        <f t="shared" si="138"/>
        <v>110.39583333333333</v>
      </c>
      <c r="DF14" s="26">
        <f t="shared" si="138"/>
        <v>110.39583333333333</v>
      </c>
      <c r="DG14" s="26">
        <f t="shared" si="138"/>
        <v>110.39583333333333</v>
      </c>
      <c r="DH14" s="26">
        <f t="shared" si="138"/>
        <v>110.39583333333333</v>
      </c>
      <c r="DI14" s="26">
        <f t="shared" si="138"/>
        <v>110.39583333333333</v>
      </c>
      <c r="DJ14" s="26">
        <f t="shared" si="138"/>
        <v>110.39583333333333</v>
      </c>
      <c r="DK14" s="26">
        <f t="shared" si="138"/>
        <v>110.39583333333333</v>
      </c>
      <c r="DL14" s="26">
        <f t="shared" si="138"/>
        <v>110.39583333333333</v>
      </c>
      <c r="DM14" s="26">
        <f t="shared" si="138"/>
        <v>110.39583333333333</v>
      </c>
      <c r="DN14" s="26">
        <f t="shared" si="138"/>
        <v>110.39583333333333</v>
      </c>
      <c r="DO14" s="26">
        <f t="shared" si="138"/>
        <v>110.39583333333333</v>
      </c>
      <c r="DP14" s="26">
        <f t="shared" si="138"/>
        <v>110.39583333333333</v>
      </c>
      <c r="DQ14" s="26">
        <f t="shared" si="138"/>
        <v>110.39583333333333</v>
      </c>
      <c r="DR14" s="26">
        <f t="shared" si="138"/>
        <v>110.39583333333333</v>
      </c>
      <c r="DS14" s="26">
        <f t="shared" si="138"/>
        <v>110.39583333333333</v>
      </c>
      <c r="DT14" s="26">
        <f t="shared" si="138"/>
        <v>110.39583333333333</v>
      </c>
    </row>
    <row r="15" spans="2:124" s="11" customFormat="1" x14ac:dyDescent="0.25">
      <c r="B15" s="27" t="s">
        <v>13</v>
      </c>
      <c r="C15" s="73"/>
      <c r="D15" s="100">
        <f>IF(D41="T",-54*0.9,-54*2)</f>
        <v>-48.6</v>
      </c>
      <c r="E15" s="28">
        <f>IF(E41="T",-54*0.9,-54*2)</f>
        <v>-48.6</v>
      </c>
      <c r="F15" s="11">
        <f t="shared" ref="F15:BQ15" si="139">IF(F41="T",-54*0.9,-54*2)</f>
        <v>-48.6</v>
      </c>
      <c r="G15" s="11">
        <f t="shared" si="139"/>
        <v>-48.6</v>
      </c>
      <c r="H15" s="11">
        <f t="shared" si="139"/>
        <v>-108</v>
      </c>
      <c r="I15" s="11">
        <f t="shared" si="139"/>
        <v>-108</v>
      </c>
      <c r="J15" s="11">
        <f t="shared" si="139"/>
        <v>-108</v>
      </c>
      <c r="K15" s="11">
        <f t="shared" si="139"/>
        <v>-108</v>
      </c>
      <c r="L15" s="11">
        <f t="shared" si="139"/>
        <v>-108</v>
      </c>
      <c r="M15" s="11">
        <f t="shared" si="139"/>
        <v>-108</v>
      </c>
      <c r="N15" s="11">
        <f t="shared" si="139"/>
        <v>-108</v>
      </c>
      <c r="O15" s="11">
        <f t="shared" si="139"/>
        <v>-108</v>
      </c>
      <c r="P15" s="11">
        <f t="shared" si="139"/>
        <v>-108</v>
      </c>
      <c r="Q15" s="11">
        <f t="shared" si="139"/>
        <v>-108</v>
      </c>
      <c r="R15" s="11">
        <f t="shared" si="139"/>
        <v>-108</v>
      </c>
      <c r="S15" s="11">
        <f t="shared" si="139"/>
        <v>-108</v>
      </c>
      <c r="T15" s="11">
        <f t="shared" si="139"/>
        <v>-108</v>
      </c>
      <c r="U15" s="11">
        <f t="shared" si="139"/>
        <v>-108</v>
      </c>
      <c r="V15" s="11">
        <f t="shared" si="139"/>
        <v>-108</v>
      </c>
      <c r="W15" s="11">
        <f t="shared" si="139"/>
        <v>-108</v>
      </c>
      <c r="X15" s="11">
        <f t="shared" si="139"/>
        <v>-108</v>
      </c>
      <c r="Y15" s="11">
        <f t="shared" si="139"/>
        <v>-108</v>
      </c>
      <c r="Z15" s="11">
        <f t="shared" si="139"/>
        <v>-48.6</v>
      </c>
      <c r="AA15" s="11">
        <f t="shared" si="139"/>
        <v>-48.6</v>
      </c>
      <c r="AB15" s="59">
        <f t="shared" si="139"/>
        <v>-48.6</v>
      </c>
      <c r="AC15" s="11">
        <f t="shared" si="139"/>
        <v>-48.6</v>
      </c>
      <c r="AD15" s="11">
        <f t="shared" si="139"/>
        <v>-48.6</v>
      </c>
      <c r="AE15" s="11">
        <f t="shared" si="139"/>
        <v>-48.6</v>
      </c>
      <c r="AF15" s="11">
        <f t="shared" si="139"/>
        <v>-108</v>
      </c>
      <c r="AG15" s="11">
        <f t="shared" si="139"/>
        <v>-108</v>
      </c>
      <c r="AH15" s="11">
        <f t="shared" si="139"/>
        <v>-108</v>
      </c>
      <c r="AI15" s="11">
        <f t="shared" si="139"/>
        <v>-108</v>
      </c>
      <c r="AJ15" s="11">
        <f t="shared" si="139"/>
        <v>-108</v>
      </c>
      <c r="AK15" s="11">
        <f t="shared" si="139"/>
        <v>-108</v>
      </c>
      <c r="AL15" s="11">
        <f t="shared" si="139"/>
        <v>-108</v>
      </c>
      <c r="AM15" s="11">
        <f t="shared" si="139"/>
        <v>-108</v>
      </c>
      <c r="AN15" s="11">
        <f t="shared" si="139"/>
        <v>-108</v>
      </c>
      <c r="AO15" s="11">
        <f t="shared" si="139"/>
        <v>-108</v>
      </c>
      <c r="AP15" s="11">
        <f t="shared" si="139"/>
        <v>-108</v>
      </c>
      <c r="AQ15" s="11">
        <f t="shared" si="139"/>
        <v>-108</v>
      </c>
      <c r="AR15" s="11">
        <f t="shared" si="139"/>
        <v>-108</v>
      </c>
      <c r="AS15" s="11">
        <f t="shared" si="139"/>
        <v>-108</v>
      </c>
      <c r="AT15" s="11">
        <f t="shared" si="139"/>
        <v>-108</v>
      </c>
      <c r="AU15" s="11">
        <f t="shared" si="139"/>
        <v>-108</v>
      </c>
      <c r="AV15" s="11">
        <f t="shared" si="139"/>
        <v>-108</v>
      </c>
      <c r="AW15" s="11">
        <f t="shared" si="139"/>
        <v>-48.6</v>
      </c>
      <c r="AX15" s="11">
        <f t="shared" si="139"/>
        <v>-48.6</v>
      </c>
      <c r="AY15" s="11">
        <f t="shared" si="139"/>
        <v>-48.6</v>
      </c>
      <c r="AZ15" s="59">
        <f t="shared" si="139"/>
        <v>-48.6</v>
      </c>
      <c r="BA15" s="11">
        <f t="shared" si="139"/>
        <v>-48.6</v>
      </c>
      <c r="BB15" s="11">
        <f t="shared" si="139"/>
        <v>-48.6</v>
      </c>
      <c r="BC15" s="11">
        <f t="shared" si="139"/>
        <v>-48.6</v>
      </c>
      <c r="BD15" s="11">
        <f t="shared" si="139"/>
        <v>-108</v>
      </c>
      <c r="BE15" s="11">
        <f t="shared" si="139"/>
        <v>-108</v>
      </c>
      <c r="BF15" s="11">
        <f t="shared" si="139"/>
        <v>-108</v>
      </c>
      <c r="BG15" s="11">
        <f t="shared" si="139"/>
        <v>-108</v>
      </c>
      <c r="BH15" s="11">
        <f t="shared" si="139"/>
        <v>-108</v>
      </c>
      <c r="BI15" s="11">
        <f t="shared" si="139"/>
        <v>-108</v>
      </c>
      <c r="BJ15" s="11">
        <f t="shared" si="139"/>
        <v>-108</v>
      </c>
      <c r="BK15" s="11">
        <f t="shared" si="139"/>
        <v>-108</v>
      </c>
      <c r="BL15" s="11">
        <f t="shared" si="139"/>
        <v>-108</v>
      </c>
      <c r="BM15" s="11">
        <f t="shared" si="139"/>
        <v>-108</v>
      </c>
      <c r="BN15" s="11">
        <f t="shared" si="139"/>
        <v>-108</v>
      </c>
      <c r="BO15" s="11">
        <f t="shared" si="139"/>
        <v>-108</v>
      </c>
      <c r="BP15" s="11">
        <f t="shared" si="139"/>
        <v>-108</v>
      </c>
      <c r="BQ15" s="11">
        <f t="shared" si="139"/>
        <v>-108</v>
      </c>
      <c r="BR15" s="11">
        <f t="shared" ref="BR15:DT15" si="140">IF(BR41="T",-54*0.9,-54*2)</f>
        <v>-108</v>
      </c>
      <c r="BS15" s="11">
        <f t="shared" si="140"/>
        <v>-108</v>
      </c>
      <c r="BT15" s="11">
        <f t="shared" si="140"/>
        <v>-108</v>
      </c>
      <c r="BU15" s="11">
        <f t="shared" si="140"/>
        <v>-108</v>
      </c>
      <c r="BV15" s="11">
        <f t="shared" si="140"/>
        <v>-48.6</v>
      </c>
      <c r="BW15" s="11">
        <f t="shared" si="140"/>
        <v>-48.6</v>
      </c>
      <c r="BX15" s="59">
        <f t="shared" si="140"/>
        <v>-48.6</v>
      </c>
      <c r="BY15" s="11">
        <f t="shared" si="140"/>
        <v>-48.6</v>
      </c>
      <c r="BZ15" s="11">
        <f t="shared" si="140"/>
        <v>-48.6</v>
      </c>
      <c r="CA15" s="11">
        <f t="shared" si="140"/>
        <v>-48.6</v>
      </c>
      <c r="CB15" s="11">
        <f t="shared" si="140"/>
        <v>-108</v>
      </c>
      <c r="CC15" s="11">
        <f t="shared" si="140"/>
        <v>-108</v>
      </c>
      <c r="CD15" s="11">
        <f t="shared" si="140"/>
        <v>-108</v>
      </c>
      <c r="CE15" s="11">
        <f t="shared" si="140"/>
        <v>-108</v>
      </c>
      <c r="CF15" s="11">
        <f t="shared" si="140"/>
        <v>-108</v>
      </c>
      <c r="CG15" s="11">
        <f t="shared" si="140"/>
        <v>-108</v>
      </c>
      <c r="CH15" s="11">
        <f t="shared" si="140"/>
        <v>-108</v>
      </c>
      <c r="CI15" s="11">
        <f t="shared" si="140"/>
        <v>-108</v>
      </c>
      <c r="CJ15" s="11">
        <f t="shared" si="140"/>
        <v>-108</v>
      </c>
      <c r="CK15" s="11">
        <f t="shared" si="140"/>
        <v>-108</v>
      </c>
      <c r="CL15" s="11">
        <f t="shared" si="140"/>
        <v>-108</v>
      </c>
      <c r="CM15" s="11">
        <f t="shared" si="140"/>
        <v>-108</v>
      </c>
      <c r="CN15" s="11">
        <f t="shared" si="140"/>
        <v>-108</v>
      </c>
      <c r="CO15" s="11">
        <f t="shared" si="140"/>
        <v>-108</v>
      </c>
      <c r="CP15" s="11">
        <f t="shared" si="140"/>
        <v>-108</v>
      </c>
      <c r="CQ15" s="11">
        <f t="shared" si="140"/>
        <v>-108</v>
      </c>
      <c r="CR15" s="11">
        <f t="shared" si="140"/>
        <v>-108</v>
      </c>
      <c r="CS15" s="11">
        <f t="shared" si="140"/>
        <v>-108</v>
      </c>
      <c r="CT15" s="11">
        <f t="shared" si="140"/>
        <v>-48.6</v>
      </c>
      <c r="CU15" s="11">
        <f t="shared" si="140"/>
        <v>-48.6</v>
      </c>
      <c r="CV15" s="59">
        <f t="shared" si="140"/>
        <v>-48.6</v>
      </c>
      <c r="CW15" s="11">
        <f t="shared" si="140"/>
        <v>-48.6</v>
      </c>
      <c r="CX15" s="11">
        <f t="shared" si="140"/>
        <v>-48.6</v>
      </c>
      <c r="CY15" s="11">
        <f t="shared" si="140"/>
        <v>-48.6</v>
      </c>
      <c r="CZ15" s="11">
        <f t="shared" si="140"/>
        <v>-108</v>
      </c>
      <c r="DA15" s="11">
        <f t="shared" si="140"/>
        <v>-108</v>
      </c>
      <c r="DB15" s="11">
        <f t="shared" si="140"/>
        <v>-108</v>
      </c>
      <c r="DC15" s="11">
        <f t="shared" si="140"/>
        <v>-108</v>
      </c>
      <c r="DD15" s="11">
        <f t="shared" si="140"/>
        <v>-108</v>
      </c>
      <c r="DE15" s="11">
        <f t="shared" si="140"/>
        <v>-108</v>
      </c>
      <c r="DF15" s="11">
        <f t="shared" si="140"/>
        <v>-108</v>
      </c>
      <c r="DG15" s="11">
        <f t="shared" si="140"/>
        <v>-108</v>
      </c>
      <c r="DH15" s="11">
        <f t="shared" si="140"/>
        <v>-108</v>
      </c>
      <c r="DI15" s="11">
        <f t="shared" si="140"/>
        <v>-108</v>
      </c>
      <c r="DJ15" s="11">
        <f t="shared" si="140"/>
        <v>-108</v>
      </c>
      <c r="DK15" s="11">
        <f t="shared" si="140"/>
        <v>-108</v>
      </c>
      <c r="DL15" s="11">
        <f t="shared" si="140"/>
        <v>-108</v>
      </c>
      <c r="DM15" s="11">
        <f t="shared" si="140"/>
        <v>-108</v>
      </c>
      <c r="DN15" s="11">
        <f t="shared" si="140"/>
        <v>-108</v>
      </c>
      <c r="DO15" s="11">
        <f t="shared" si="140"/>
        <v>-108</v>
      </c>
      <c r="DP15" s="11">
        <f t="shared" si="140"/>
        <v>-108</v>
      </c>
      <c r="DQ15" s="11">
        <f t="shared" si="140"/>
        <v>-108</v>
      </c>
      <c r="DR15" s="11">
        <f t="shared" si="140"/>
        <v>-48.6</v>
      </c>
      <c r="DS15" s="11">
        <f t="shared" si="140"/>
        <v>-48.6</v>
      </c>
      <c r="DT15" s="11">
        <f t="shared" si="140"/>
        <v>-48.6</v>
      </c>
    </row>
    <row r="16" spans="2:124" x14ac:dyDescent="0.25">
      <c r="B16" s="3" t="s">
        <v>14</v>
      </c>
      <c r="D16" s="100">
        <v>1</v>
      </c>
      <c r="E16" s="29">
        <v>1.06</v>
      </c>
      <c r="F16" s="30">
        <v>1.06</v>
      </c>
      <c r="G16" s="30">
        <v>1.06</v>
      </c>
      <c r="H16" s="30">
        <v>1.06</v>
      </c>
      <c r="I16" s="30">
        <v>1.06</v>
      </c>
      <c r="J16" s="30">
        <v>1.06</v>
      </c>
      <c r="K16" s="30">
        <v>1.06</v>
      </c>
      <c r="L16" s="30">
        <v>1.06</v>
      </c>
      <c r="M16" s="30">
        <v>1.06</v>
      </c>
      <c r="N16" s="30">
        <v>1.06</v>
      </c>
      <c r="O16" s="30">
        <v>1.06</v>
      </c>
      <c r="P16" s="30">
        <v>1.06</v>
      </c>
      <c r="Q16" s="30">
        <v>1.06</v>
      </c>
      <c r="R16" s="30">
        <v>1.06</v>
      </c>
      <c r="S16" s="30">
        <v>1.06</v>
      </c>
      <c r="T16" s="30">
        <v>1.06</v>
      </c>
      <c r="U16" s="30">
        <v>1.06</v>
      </c>
      <c r="V16" s="30">
        <v>1.06</v>
      </c>
      <c r="W16" s="30">
        <v>1.06</v>
      </c>
      <c r="X16" s="30">
        <v>1.06</v>
      </c>
      <c r="Y16" s="30">
        <v>1.06</v>
      </c>
      <c r="Z16" s="30">
        <v>1.06</v>
      </c>
      <c r="AA16" s="30">
        <v>1.06</v>
      </c>
      <c r="AB16" s="60">
        <v>1.06</v>
      </c>
      <c r="AC16" s="29">
        <v>1.06</v>
      </c>
      <c r="AD16" s="30">
        <v>1.06</v>
      </c>
      <c r="AE16" s="30">
        <v>1.06</v>
      </c>
      <c r="AF16" s="30">
        <v>1.06</v>
      </c>
      <c r="AG16" s="30">
        <v>1.06</v>
      </c>
      <c r="AH16" s="30">
        <v>1.06</v>
      </c>
      <c r="AI16" s="30">
        <v>1.06</v>
      </c>
      <c r="AJ16" s="30">
        <v>1.06</v>
      </c>
      <c r="AK16" s="30">
        <v>1.06</v>
      </c>
      <c r="AL16" s="30">
        <v>1.06</v>
      </c>
      <c r="AM16" s="30">
        <v>1.06</v>
      </c>
      <c r="AN16" s="30">
        <v>1.06</v>
      </c>
      <c r="AO16" s="30">
        <v>1.06</v>
      </c>
      <c r="AP16" s="30">
        <v>1.06</v>
      </c>
      <c r="AQ16" s="30">
        <v>1.06</v>
      </c>
      <c r="AR16" s="30">
        <v>1.06</v>
      </c>
      <c r="AS16" s="30">
        <v>1.06</v>
      </c>
      <c r="AT16" s="30">
        <v>1.06</v>
      </c>
      <c r="AU16" s="30">
        <v>1.06</v>
      </c>
      <c r="AV16" s="30">
        <v>1.06</v>
      </c>
      <c r="AW16" s="30">
        <v>1.06</v>
      </c>
      <c r="AX16" s="30">
        <v>1.06</v>
      </c>
      <c r="AY16" s="30">
        <v>1.06</v>
      </c>
      <c r="AZ16" s="60">
        <v>1.06</v>
      </c>
      <c r="BA16" s="29">
        <v>1.06</v>
      </c>
      <c r="BB16" s="30">
        <v>1.06</v>
      </c>
      <c r="BC16" s="30">
        <v>1.06</v>
      </c>
      <c r="BD16" s="30">
        <v>1.06</v>
      </c>
      <c r="BE16" s="30">
        <v>1.06</v>
      </c>
      <c r="BF16" s="30">
        <v>1.06</v>
      </c>
      <c r="BG16" s="30">
        <v>1.06</v>
      </c>
      <c r="BH16" s="30">
        <v>1.06</v>
      </c>
      <c r="BI16" s="30">
        <v>1.06</v>
      </c>
      <c r="BJ16" s="30">
        <v>1.06</v>
      </c>
      <c r="BK16" s="30">
        <v>1.06</v>
      </c>
      <c r="BL16" s="30">
        <v>1.06</v>
      </c>
      <c r="BM16" s="30">
        <v>1.06</v>
      </c>
      <c r="BN16" s="30">
        <v>1.06</v>
      </c>
      <c r="BO16" s="30">
        <v>1.06</v>
      </c>
      <c r="BP16" s="30">
        <v>1.06</v>
      </c>
      <c r="BQ16" s="30">
        <v>1.06</v>
      </c>
      <c r="BR16" s="30">
        <v>1.06</v>
      </c>
      <c r="BS16" s="30">
        <v>1.06</v>
      </c>
      <c r="BT16" s="30">
        <v>1.06</v>
      </c>
      <c r="BU16" s="30">
        <v>1.06</v>
      </c>
      <c r="BV16" s="30">
        <v>1.06</v>
      </c>
      <c r="BW16" s="30">
        <v>1.06</v>
      </c>
      <c r="BX16" s="60">
        <v>1.06</v>
      </c>
      <c r="BY16" s="29">
        <v>1.06</v>
      </c>
      <c r="BZ16" s="30">
        <v>1.06</v>
      </c>
      <c r="CA16" s="30">
        <v>1.06</v>
      </c>
      <c r="CB16" s="30">
        <v>1.06</v>
      </c>
      <c r="CC16" s="30">
        <v>1.06</v>
      </c>
      <c r="CD16" s="30">
        <v>1.06</v>
      </c>
      <c r="CE16" s="30">
        <v>1.06</v>
      </c>
      <c r="CF16" s="30">
        <v>1.06</v>
      </c>
      <c r="CG16" s="30">
        <v>1.06</v>
      </c>
      <c r="CH16" s="30">
        <v>1.06</v>
      </c>
      <c r="CI16" s="30">
        <v>1.06</v>
      </c>
      <c r="CJ16" s="30">
        <v>1.06</v>
      </c>
      <c r="CK16" s="30">
        <v>1.06</v>
      </c>
      <c r="CL16" s="30">
        <v>1.06</v>
      </c>
      <c r="CM16" s="30">
        <v>1.06</v>
      </c>
      <c r="CN16" s="30">
        <v>1.06</v>
      </c>
      <c r="CO16" s="30">
        <v>1.06</v>
      </c>
      <c r="CP16" s="30">
        <v>1.06</v>
      </c>
      <c r="CQ16" s="30">
        <v>1.06</v>
      </c>
      <c r="CR16" s="30">
        <v>1.06</v>
      </c>
      <c r="CS16" s="30">
        <v>1.06</v>
      </c>
      <c r="CT16" s="30">
        <v>1.06</v>
      </c>
      <c r="CU16" s="30">
        <v>1.06</v>
      </c>
      <c r="CV16" s="60">
        <v>1.06</v>
      </c>
      <c r="CW16" s="29">
        <v>1.06</v>
      </c>
      <c r="CX16" s="30">
        <v>1.06</v>
      </c>
      <c r="CY16" s="30">
        <v>1.06</v>
      </c>
      <c r="CZ16" s="30">
        <v>1.06</v>
      </c>
      <c r="DA16" s="30">
        <v>1.06</v>
      </c>
      <c r="DB16" s="30">
        <v>1.06</v>
      </c>
      <c r="DC16" s="30">
        <v>1.06</v>
      </c>
      <c r="DD16" s="30">
        <v>1.06</v>
      </c>
      <c r="DE16" s="30">
        <v>1.06</v>
      </c>
      <c r="DF16" s="30">
        <v>1.06</v>
      </c>
      <c r="DG16" s="30">
        <v>1.06</v>
      </c>
      <c r="DH16" s="30">
        <v>1.06</v>
      </c>
      <c r="DI16" s="30">
        <v>1.06</v>
      </c>
      <c r="DJ16" s="30">
        <v>1.06</v>
      </c>
      <c r="DK16" s="30">
        <v>1.06</v>
      </c>
      <c r="DL16" s="30">
        <v>1.06</v>
      </c>
      <c r="DM16" s="30">
        <v>1.06</v>
      </c>
      <c r="DN16" s="30">
        <v>1.06</v>
      </c>
      <c r="DO16" s="30">
        <v>1.06</v>
      </c>
      <c r="DP16" s="30">
        <v>1.06</v>
      </c>
      <c r="DQ16" s="30">
        <v>1.06</v>
      </c>
      <c r="DR16" s="30">
        <v>1.06</v>
      </c>
      <c r="DS16" s="30">
        <v>1.06</v>
      </c>
      <c r="DT16" s="30">
        <v>1.06</v>
      </c>
    </row>
    <row r="17" spans="2:124" x14ac:dyDescent="0.25">
      <c r="B17" s="3" t="s">
        <v>15</v>
      </c>
      <c r="D17" s="100">
        <f>D13-(D14*D16)+D15</f>
        <v>1607.3241666666668</v>
      </c>
      <c r="E17" s="29">
        <f>E13-(E14*E16)+E15</f>
        <v>1441.7045833333336</v>
      </c>
      <c r="F17" s="30">
        <f t="shared" ref="F17:BQ17" si="141">F13-(F14*F16)+F15</f>
        <v>1386.4808333333337</v>
      </c>
      <c r="G17" s="30">
        <f t="shared" si="141"/>
        <v>1331.2570833333339</v>
      </c>
      <c r="H17" s="30">
        <f t="shared" si="141"/>
        <v>1216.6333333333339</v>
      </c>
      <c r="I17" s="30">
        <f t="shared" si="141"/>
        <v>1102.0095833333339</v>
      </c>
      <c r="J17" s="30">
        <f t="shared" si="141"/>
        <v>987.38583333333395</v>
      </c>
      <c r="K17" s="30">
        <f t="shared" si="141"/>
        <v>966.48202083333399</v>
      </c>
      <c r="L17" s="30">
        <f t="shared" si="141"/>
        <v>2518.2003541666668</v>
      </c>
      <c r="M17" s="30">
        <f t="shared" si="141"/>
        <v>2497.2965416666671</v>
      </c>
      <c r="N17" s="30">
        <f t="shared" si="141"/>
        <v>2476.3927291666673</v>
      </c>
      <c r="O17" s="30">
        <f t="shared" si="141"/>
        <v>2455.4889166666676</v>
      </c>
      <c r="P17" s="30">
        <f t="shared" si="141"/>
        <v>2434.5851041666679</v>
      </c>
      <c r="Q17" s="30">
        <f t="shared" si="141"/>
        <v>2413.6812916666681</v>
      </c>
      <c r="R17" s="30">
        <f t="shared" si="141"/>
        <v>2342.4771260416683</v>
      </c>
      <c r="S17" s="30">
        <f t="shared" si="141"/>
        <v>2467.9000010416667</v>
      </c>
      <c r="T17" s="30">
        <f t="shared" si="141"/>
        <v>2396.6958354166668</v>
      </c>
      <c r="U17" s="30">
        <f t="shared" si="141"/>
        <v>2325.4916697916669</v>
      </c>
      <c r="V17" s="30">
        <f t="shared" si="141"/>
        <v>2254.2875041666671</v>
      </c>
      <c r="W17" s="30">
        <f t="shared" si="141"/>
        <v>2181.6932330729173</v>
      </c>
      <c r="X17" s="30">
        <f t="shared" si="141"/>
        <v>2466.5098955729168</v>
      </c>
      <c r="Y17" s="30">
        <f t="shared" si="141"/>
        <v>2393.915624479167</v>
      </c>
      <c r="Z17" s="30">
        <f t="shared" si="141"/>
        <v>2380.7213533854174</v>
      </c>
      <c r="AA17" s="30">
        <f t="shared" si="141"/>
        <v>2367.5270822916677</v>
      </c>
      <c r="AB17" s="60">
        <f t="shared" si="141"/>
        <v>2354.3328111979181</v>
      </c>
      <c r="AC17" s="29">
        <f t="shared" si="141"/>
        <v>2341.1385401041684</v>
      </c>
      <c r="AD17" s="30">
        <f t="shared" si="141"/>
        <v>2327.9442690104188</v>
      </c>
      <c r="AE17" s="30">
        <f t="shared" si="141"/>
        <v>2314.7499979166691</v>
      </c>
      <c r="AF17" s="30">
        <f t="shared" si="141"/>
        <v>2242.1557268229194</v>
      </c>
      <c r="AG17" s="30">
        <f t="shared" si="141"/>
        <v>2169.5614557291697</v>
      </c>
      <c r="AH17" s="30">
        <f t="shared" si="141"/>
        <v>2096.9671846354199</v>
      </c>
      <c r="AI17" s="30">
        <f t="shared" si="141"/>
        <v>2048.1893931250038</v>
      </c>
      <c r="AJ17" s="30">
        <f t="shared" si="141"/>
        <v>2490.3263751562504</v>
      </c>
      <c r="AK17" s="30">
        <f t="shared" si="141"/>
        <v>2441.5485836458342</v>
      </c>
      <c r="AL17" s="30">
        <f t="shared" si="141"/>
        <v>2392.7707921354181</v>
      </c>
      <c r="AM17" s="30">
        <f t="shared" si="141"/>
        <v>2343.993000625002</v>
      </c>
      <c r="AN17" s="30">
        <f t="shared" si="141"/>
        <v>2295.2152091145858</v>
      </c>
      <c r="AO17" s="30">
        <f t="shared" si="141"/>
        <v>2221.1450674010443</v>
      </c>
      <c r="AP17" s="30">
        <f t="shared" si="141"/>
        <v>2465.034024953125</v>
      </c>
      <c r="AQ17" s="30">
        <f t="shared" si="141"/>
        <v>2390.9638832395835</v>
      </c>
      <c r="AR17" s="30">
        <f t="shared" si="141"/>
        <v>2316.893741526042</v>
      </c>
      <c r="AS17" s="30">
        <f t="shared" si="141"/>
        <v>2242.8235998125006</v>
      </c>
      <c r="AT17" s="30">
        <f t="shared" si="141"/>
        <v>2168.7534580989591</v>
      </c>
      <c r="AU17" s="30">
        <f t="shared" si="141"/>
        <v>2102.271021446355</v>
      </c>
      <c r="AV17" s="30">
        <f t="shared" si="141"/>
        <v>2472.6217300140625</v>
      </c>
      <c r="AW17" s="30">
        <f t="shared" si="141"/>
        <v>2465.5392933614585</v>
      </c>
      <c r="AX17" s="30">
        <f t="shared" si="141"/>
        <v>2458.4568567088545</v>
      </c>
      <c r="AY17" s="30">
        <f t="shared" si="141"/>
        <v>2451.3744200562505</v>
      </c>
      <c r="AZ17" s="60">
        <f t="shared" si="141"/>
        <v>2444.2919834036466</v>
      </c>
      <c r="BA17" s="29">
        <f t="shared" si="141"/>
        <v>2437.2095467510426</v>
      </c>
      <c r="BB17" s="30">
        <f t="shared" si="141"/>
        <v>2430.1271100984386</v>
      </c>
      <c r="BC17" s="30">
        <f t="shared" si="141"/>
        <v>2423.0446734458346</v>
      </c>
      <c r="BD17" s="30">
        <f t="shared" si="141"/>
        <v>2356.5622367932306</v>
      </c>
      <c r="BE17" s="30">
        <f t="shared" si="141"/>
        <v>2290.0798001406265</v>
      </c>
      <c r="BF17" s="30">
        <f t="shared" si="141"/>
        <v>2223.5973634880224</v>
      </c>
      <c r="BG17" s="30">
        <f t="shared" si="141"/>
        <v>2165.216429646252</v>
      </c>
      <c r="BH17" s="30">
        <f t="shared" si="141"/>
        <v>2480.7232328248961</v>
      </c>
      <c r="BI17" s="30">
        <f t="shared" si="141"/>
        <v>2422.3422989831256</v>
      </c>
      <c r="BJ17" s="30">
        <f t="shared" si="141"/>
        <v>2363.9613651413551</v>
      </c>
      <c r="BK17" s="30">
        <f t="shared" si="141"/>
        <v>2305.5804312995847</v>
      </c>
      <c r="BL17" s="30">
        <f t="shared" si="141"/>
        <v>2247.1994974578142</v>
      </c>
      <c r="BM17" s="30">
        <f t="shared" si="141"/>
        <v>2176.0102984436789</v>
      </c>
      <c r="BN17" s="30">
        <f t="shared" si="141"/>
        <v>2467.9149676525312</v>
      </c>
      <c r="BO17" s="30">
        <f t="shared" si="141"/>
        <v>2396.7257686383959</v>
      </c>
      <c r="BP17" s="30">
        <f t="shared" si="141"/>
        <v>2325.5365696242607</v>
      </c>
      <c r="BQ17" s="30">
        <f t="shared" si="141"/>
        <v>2254.3473706101254</v>
      </c>
      <c r="BR17" s="30">
        <f t="shared" ref="BR17:DT17" si="142">BR13-(BR14*BR16)+BR15</f>
        <v>2183.1581715959901</v>
      </c>
      <c r="BS17" s="30">
        <f t="shared" si="142"/>
        <v>2115.8114521335642</v>
      </c>
      <c r="BT17" s="30">
        <f t="shared" si="142"/>
        <v>2471.7574472042406</v>
      </c>
      <c r="BU17" s="30">
        <f t="shared" si="142"/>
        <v>2404.4107277418148</v>
      </c>
      <c r="BV17" s="30">
        <f t="shared" si="142"/>
        <v>2396.464008279389</v>
      </c>
      <c r="BW17" s="30">
        <f t="shared" si="142"/>
        <v>2388.5172888169632</v>
      </c>
      <c r="BX17" s="60">
        <f t="shared" si="142"/>
        <v>2380.5705693545374</v>
      </c>
      <c r="BY17" s="29">
        <f t="shared" si="142"/>
        <v>2372.6238498921116</v>
      </c>
      <c r="BZ17" s="30">
        <f t="shared" si="142"/>
        <v>2364.6771304296858</v>
      </c>
      <c r="CA17" s="30">
        <f t="shared" si="142"/>
        <v>2356.73041096726</v>
      </c>
      <c r="CB17" s="30">
        <f t="shared" si="142"/>
        <v>2289.3836915048341</v>
      </c>
      <c r="CC17" s="30">
        <f t="shared" si="142"/>
        <v>2222.0369720424083</v>
      </c>
      <c r="CD17" s="30">
        <f t="shared" si="142"/>
        <v>2154.6902525799824</v>
      </c>
      <c r="CE17" s="30">
        <f t="shared" si="142"/>
        <v>2102.7639300907717</v>
      </c>
      <c r="CF17" s="30">
        <f t="shared" si="142"/>
        <v>2487.1778441774559</v>
      </c>
      <c r="CG17" s="30">
        <f t="shared" si="142"/>
        <v>2435.2515216882452</v>
      </c>
      <c r="CH17" s="30">
        <f t="shared" si="142"/>
        <v>2383.3251991990346</v>
      </c>
      <c r="CI17" s="30">
        <f t="shared" si="142"/>
        <v>2331.398876709824</v>
      </c>
      <c r="CJ17" s="30">
        <f t="shared" si="142"/>
        <v>2279.4725542206133</v>
      </c>
      <c r="CK17" s="30">
        <f t="shared" si="142"/>
        <v>2206.3469718007104</v>
      </c>
      <c r="CL17" s="30">
        <f t="shared" si="142"/>
        <v>2465.9785842467636</v>
      </c>
      <c r="CM17" s="30">
        <f t="shared" si="142"/>
        <v>2392.8530018268607</v>
      </c>
      <c r="CN17" s="30">
        <f t="shared" si="142"/>
        <v>2319.7274194069578</v>
      </c>
      <c r="CO17" s="30">
        <f t="shared" si="142"/>
        <v>2246.6018369870549</v>
      </c>
      <c r="CP17" s="30">
        <f t="shared" si="142"/>
        <v>2173.476254567152</v>
      </c>
      <c r="CQ17" s="30">
        <f t="shared" si="142"/>
        <v>2106.7104501264566</v>
      </c>
      <c r="CR17" s="30">
        <f t="shared" si="142"/>
        <v>2472.3383622259712</v>
      </c>
      <c r="CS17" s="30">
        <f t="shared" si="142"/>
        <v>2405.5725577852759</v>
      </c>
      <c r="CT17" s="30">
        <f t="shared" si="142"/>
        <v>2398.2067533445806</v>
      </c>
      <c r="CU17" s="30">
        <f t="shared" si="142"/>
        <v>2390.8409489038854</v>
      </c>
      <c r="CV17" s="60">
        <f t="shared" si="142"/>
        <v>2383.4751444631902</v>
      </c>
      <c r="CW17" s="29">
        <f t="shared" si="142"/>
        <v>2376.109340022495</v>
      </c>
      <c r="CX17" s="30">
        <f t="shared" si="142"/>
        <v>2368.7435355817997</v>
      </c>
      <c r="CY17" s="30">
        <f t="shared" si="142"/>
        <v>2361.3777311411045</v>
      </c>
      <c r="CZ17" s="30">
        <f t="shared" si="142"/>
        <v>2294.6119267004092</v>
      </c>
      <c r="DA17" s="30">
        <f t="shared" si="142"/>
        <v>2227.8461222597139</v>
      </c>
      <c r="DB17" s="30">
        <f t="shared" si="142"/>
        <v>2161.0803178190185</v>
      </c>
      <c r="DC17" s="30">
        <f t="shared" si="142"/>
        <v>2108.8054463167696</v>
      </c>
      <c r="DD17" s="30">
        <f t="shared" si="142"/>
        <v>2486.8292951644175</v>
      </c>
      <c r="DE17" s="30">
        <f t="shared" si="142"/>
        <v>2434.5544236621686</v>
      </c>
      <c r="DF17" s="30">
        <f t="shared" si="142"/>
        <v>2382.2795521599196</v>
      </c>
      <c r="DG17" s="30">
        <f t="shared" si="142"/>
        <v>2330.0046806576706</v>
      </c>
      <c r="DH17" s="30">
        <f t="shared" si="142"/>
        <v>2277.7298091554217</v>
      </c>
      <c r="DI17" s="30">
        <f t="shared" si="142"/>
        <v>2204.7087914394301</v>
      </c>
      <c r="DJ17" s="30">
        <f t="shared" si="142"/>
        <v>2466.083148950675</v>
      </c>
      <c r="DK17" s="30">
        <f t="shared" si="142"/>
        <v>2393.0621312346834</v>
      </c>
      <c r="DL17" s="30">
        <f t="shared" si="142"/>
        <v>2320.0411135186919</v>
      </c>
      <c r="DM17" s="30">
        <f t="shared" si="142"/>
        <v>2247.0200958027003</v>
      </c>
      <c r="DN17" s="30">
        <f t="shared" si="142"/>
        <v>2173.9990780867088</v>
      </c>
      <c r="DO17" s="30">
        <f t="shared" si="142"/>
        <v>2107.2019042348397</v>
      </c>
      <c r="DP17" s="30">
        <f t="shared" si="142"/>
        <v>2472.3069928147975</v>
      </c>
      <c r="DQ17" s="30">
        <f t="shared" si="142"/>
        <v>2405.5098189629284</v>
      </c>
      <c r="DR17" s="30">
        <f t="shared" si="142"/>
        <v>2398.1126451110595</v>
      </c>
      <c r="DS17" s="30">
        <f t="shared" si="142"/>
        <v>2390.7154712591905</v>
      </c>
      <c r="DT17" s="30">
        <f t="shared" si="142"/>
        <v>2383.3182974073216</v>
      </c>
    </row>
    <row r="18" spans="2:124" x14ac:dyDescent="0.25">
      <c r="B18" s="3" t="s">
        <v>16</v>
      </c>
      <c r="D18" s="100">
        <v>0</v>
      </c>
      <c r="E18" s="29">
        <f>D51</f>
        <v>0</v>
      </c>
      <c r="F18" s="30">
        <f t="shared" ref="F18:BQ18" si="143">E51</f>
        <v>0</v>
      </c>
      <c r="G18" s="30">
        <f t="shared" si="143"/>
        <v>0</v>
      </c>
      <c r="H18" s="30">
        <f t="shared" si="143"/>
        <v>0</v>
      </c>
      <c r="I18" s="30">
        <f t="shared" si="143"/>
        <v>0</v>
      </c>
      <c r="J18" s="30">
        <f t="shared" si="143"/>
        <v>0</v>
      </c>
      <c r="K18" s="30">
        <f t="shared" si="143"/>
        <v>1874.3987500000007</v>
      </c>
      <c r="L18" s="30">
        <f t="shared" si="143"/>
        <v>0</v>
      </c>
      <c r="M18" s="30">
        <f t="shared" si="143"/>
        <v>0</v>
      </c>
      <c r="N18" s="30">
        <f t="shared" si="143"/>
        <v>0</v>
      </c>
      <c r="O18" s="30">
        <f t="shared" si="143"/>
        <v>0</v>
      </c>
      <c r="P18" s="30">
        <f t="shared" si="143"/>
        <v>0</v>
      </c>
      <c r="Q18" s="30">
        <f t="shared" si="143"/>
        <v>0</v>
      </c>
      <c r="R18" s="30">
        <f t="shared" si="143"/>
        <v>868.3916875000009</v>
      </c>
      <c r="S18" s="30">
        <f t="shared" si="143"/>
        <v>0</v>
      </c>
      <c r="T18" s="30">
        <f t="shared" si="143"/>
        <v>0</v>
      </c>
      <c r="U18" s="30">
        <f t="shared" si="143"/>
        <v>0</v>
      </c>
      <c r="V18" s="30">
        <f t="shared" si="143"/>
        <v>0</v>
      </c>
      <c r="W18" s="30">
        <f t="shared" si="143"/>
        <v>840.58957812500034</v>
      </c>
      <c r="X18" s="30">
        <f t="shared" si="143"/>
        <v>0</v>
      </c>
      <c r="Y18" s="30">
        <f t="shared" si="143"/>
        <v>0</v>
      </c>
      <c r="Z18" s="30">
        <f t="shared" si="143"/>
        <v>0</v>
      </c>
      <c r="AA18" s="30">
        <f t="shared" si="143"/>
        <v>0</v>
      </c>
      <c r="AB18" s="60">
        <f t="shared" si="143"/>
        <v>0</v>
      </c>
      <c r="AC18" s="29">
        <f t="shared" si="143"/>
        <v>0</v>
      </c>
      <c r="AD18" s="30">
        <f t="shared" si="143"/>
        <v>0</v>
      </c>
      <c r="AE18" s="30">
        <f t="shared" si="143"/>
        <v>0</v>
      </c>
      <c r="AF18" s="30">
        <f t="shared" si="143"/>
        <v>0</v>
      </c>
      <c r="AG18" s="30">
        <f t="shared" si="143"/>
        <v>0</v>
      </c>
      <c r="AH18" s="30">
        <f t="shared" si="143"/>
        <v>0</v>
      </c>
      <c r="AI18" s="30">
        <f t="shared" si="143"/>
        <v>1316.9191697916679</v>
      </c>
      <c r="AJ18" s="30">
        <f t="shared" si="143"/>
        <v>0</v>
      </c>
      <c r="AK18" s="30">
        <f t="shared" si="143"/>
        <v>0</v>
      </c>
      <c r="AL18" s="30">
        <f t="shared" si="143"/>
        <v>0</v>
      </c>
      <c r="AM18" s="30">
        <f t="shared" si="143"/>
        <v>0</v>
      </c>
      <c r="AN18" s="30">
        <f t="shared" si="143"/>
        <v>0</v>
      </c>
      <c r="AO18" s="30">
        <f t="shared" si="143"/>
        <v>811.07216572916627</v>
      </c>
      <c r="AP18" s="30">
        <f t="shared" si="143"/>
        <v>0</v>
      </c>
      <c r="AQ18" s="30">
        <f t="shared" si="143"/>
        <v>0</v>
      </c>
      <c r="AR18" s="30">
        <f t="shared" si="143"/>
        <v>0</v>
      </c>
      <c r="AS18" s="30">
        <f t="shared" si="143"/>
        <v>0</v>
      </c>
      <c r="AT18" s="30">
        <f t="shared" si="143"/>
        <v>0</v>
      </c>
      <c r="AU18" s="30">
        <f t="shared" si="143"/>
        <v>962.8262669479177</v>
      </c>
      <c r="AV18" s="30">
        <f t="shared" si="143"/>
        <v>0</v>
      </c>
      <c r="AW18" s="30">
        <f t="shared" si="143"/>
        <v>0</v>
      </c>
      <c r="AX18" s="30">
        <f t="shared" si="143"/>
        <v>0</v>
      </c>
      <c r="AY18" s="30">
        <f t="shared" si="143"/>
        <v>0</v>
      </c>
      <c r="AZ18" s="60">
        <f t="shared" si="143"/>
        <v>0</v>
      </c>
      <c r="BA18" s="29">
        <f t="shared" si="143"/>
        <v>0</v>
      </c>
      <c r="BB18" s="30">
        <f t="shared" si="143"/>
        <v>0</v>
      </c>
      <c r="BC18" s="30">
        <f t="shared" si="143"/>
        <v>0</v>
      </c>
      <c r="BD18" s="30">
        <f t="shared" si="143"/>
        <v>0</v>
      </c>
      <c r="BE18" s="30">
        <f t="shared" si="143"/>
        <v>0</v>
      </c>
      <c r="BF18" s="30">
        <f t="shared" si="143"/>
        <v>0</v>
      </c>
      <c r="BG18" s="30">
        <f t="shared" si="143"/>
        <v>1124.8563231645842</v>
      </c>
      <c r="BH18" s="30">
        <f t="shared" si="143"/>
        <v>0</v>
      </c>
      <c r="BI18" s="30">
        <f t="shared" si="143"/>
        <v>0</v>
      </c>
      <c r="BJ18" s="30">
        <f t="shared" si="143"/>
        <v>0</v>
      </c>
      <c r="BK18" s="30">
        <f t="shared" si="143"/>
        <v>0</v>
      </c>
      <c r="BL18" s="30">
        <f t="shared" si="143"/>
        <v>0</v>
      </c>
      <c r="BM18" s="30">
        <f t="shared" si="143"/>
        <v>868.69101971729151</v>
      </c>
      <c r="BN18" s="30">
        <f t="shared" si="143"/>
        <v>0</v>
      </c>
      <c r="BO18" s="30">
        <f t="shared" si="143"/>
        <v>0</v>
      </c>
      <c r="BP18" s="30">
        <f t="shared" si="143"/>
        <v>0</v>
      </c>
      <c r="BQ18" s="30">
        <f t="shared" si="143"/>
        <v>0</v>
      </c>
      <c r="BR18" s="30">
        <f t="shared" ref="BR18:DT18" si="144">BQ51</f>
        <v>0</v>
      </c>
      <c r="BS18" s="30">
        <f t="shared" si="144"/>
        <v>945.54061075147979</v>
      </c>
      <c r="BT18" s="30">
        <f t="shared" si="144"/>
        <v>0</v>
      </c>
      <c r="BU18" s="30">
        <f t="shared" si="144"/>
        <v>0</v>
      </c>
      <c r="BV18" s="30">
        <f t="shared" si="144"/>
        <v>0</v>
      </c>
      <c r="BW18" s="30">
        <f t="shared" si="144"/>
        <v>0</v>
      </c>
      <c r="BX18" s="60">
        <f t="shared" si="144"/>
        <v>0</v>
      </c>
      <c r="BY18" s="29">
        <f t="shared" si="144"/>
        <v>0</v>
      </c>
      <c r="BZ18" s="30">
        <f t="shared" si="144"/>
        <v>0</v>
      </c>
      <c r="CA18" s="30">
        <f t="shared" si="144"/>
        <v>0</v>
      </c>
      <c r="CB18" s="30">
        <f t="shared" si="144"/>
        <v>0</v>
      </c>
      <c r="CC18" s="30">
        <f t="shared" si="144"/>
        <v>0</v>
      </c>
      <c r="CD18" s="30">
        <f t="shared" si="144"/>
        <v>0</v>
      </c>
      <c r="CE18" s="30">
        <f t="shared" si="144"/>
        <v>1253.9485502157793</v>
      </c>
      <c r="CF18" s="30">
        <f t="shared" si="144"/>
        <v>0</v>
      </c>
      <c r="CG18" s="30">
        <f t="shared" si="144"/>
        <v>0</v>
      </c>
      <c r="CH18" s="30">
        <f t="shared" si="144"/>
        <v>0</v>
      </c>
      <c r="CI18" s="30">
        <f t="shared" si="144"/>
        <v>0</v>
      </c>
      <c r="CJ18" s="30">
        <f t="shared" si="144"/>
        <v>0</v>
      </c>
      <c r="CK18" s="30">
        <f t="shared" si="144"/>
        <v>829.96335160193348</v>
      </c>
      <c r="CL18" s="30">
        <f t="shared" si="144"/>
        <v>0</v>
      </c>
      <c r="CM18" s="30">
        <f t="shared" si="144"/>
        <v>0</v>
      </c>
      <c r="CN18" s="30">
        <f t="shared" si="144"/>
        <v>0</v>
      </c>
      <c r="CO18" s="30">
        <f t="shared" si="144"/>
        <v>0</v>
      </c>
      <c r="CP18" s="30">
        <f t="shared" si="144"/>
        <v>0</v>
      </c>
      <c r="CQ18" s="30">
        <f t="shared" si="144"/>
        <v>957.15891118608738</v>
      </c>
      <c r="CR18" s="30">
        <f t="shared" si="144"/>
        <v>0</v>
      </c>
      <c r="CS18" s="30">
        <f t="shared" si="144"/>
        <v>0</v>
      </c>
      <c r="CT18" s="30">
        <f t="shared" si="144"/>
        <v>0</v>
      </c>
      <c r="CU18" s="30">
        <f t="shared" si="144"/>
        <v>0</v>
      </c>
      <c r="CV18" s="60">
        <f t="shared" si="144"/>
        <v>0</v>
      </c>
      <c r="CW18" s="29">
        <f t="shared" si="144"/>
        <v>0</v>
      </c>
      <c r="CX18" s="30">
        <f t="shared" si="144"/>
        <v>0</v>
      </c>
      <c r="CY18" s="30">
        <f t="shared" si="144"/>
        <v>0</v>
      </c>
      <c r="CZ18" s="30">
        <f t="shared" si="144"/>
        <v>0</v>
      </c>
      <c r="DA18" s="30">
        <f t="shared" si="144"/>
        <v>0</v>
      </c>
      <c r="DB18" s="30">
        <f t="shared" si="144"/>
        <v>0</v>
      </c>
      <c r="DC18" s="30">
        <f t="shared" si="144"/>
        <v>1246.9775699550153</v>
      </c>
      <c r="DD18" s="30">
        <f t="shared" si="144"/>
        <v>0</v>
      </c>
      <c r="DE18" s="30">
        <f t="shared" si="144"/>
        <v>0</v>
      </c>
      <c r="DF18" s="30">
        <f t="shared" si="144"/>
        <v>0</v>
      </c>
      <c r="DG18" s="30">
        <f t="shared" si="144"/>
        <v>0</v>
      </c>
      <c r="DH18" s="30">
        <f t="shared" si="144"/>
        <v>0</v>
      </c>
      <c r="DI18" s="30">
        <f t="shared" si="144"/>
        <v>832.05464568016259</v>
      </c>
      <c r="DJ18" s="30">
        <f t="shared" si="144"/>
        <v>0</v>
      </c>
      <c r="DK18" s="30">
        <f t="shared" si="144"/>
        <v>0</v>
      </c>
      <c r="DL18" s="30">
        <f t="shared" si="144"/>
        <v>0</v>
      </c>
      <c r="DM18" s="30">
        <f t="shared" si="144"/>
        <v>0</v>
      </c>
      <c r="DN18" s="30">
        <f t="shared" si="144"/>
        <v>0</v>
      </c>
      <c r="DO18" s="30">
        <f t="shared" si="144"/>
        <v>956.53152296261828</v>
      </c>
      <c r="DP18" s="30">
        <f t="shared" si="144"/>
        <v>0</v>
      </c>
      <c r="DQ18" s="30">
        <f t="shared" si="144"/>
        <v>0</v>
      </c>
      <c r="DR18" s="30">
        <f t="shared" si="144"/>
        <v>0</v>
      </c>
      <c r="DS18" s="30">
        <f t="shared" si="144"/>
        <v>0</v>
      </c>
      <c r="DT18" s="30">
        <f t="shared" si="144"/>
        <v>0</v>
      </c>
    </row>
    <row r="19" spans="2:124" s="33" customFormat="1" x14ac:dyDescent="0.25">
      <c r="B19" s="31" t="s">
        <v>17</v>
      </c>
      <c r="C19" s="77"/>
      <c r="D19" s="104">
        <f>D17+D18</f>
        <v>1607.3241666666668</v>
      </c>
      <c r="E19" s="32">
        <f>IF(E17+E18+E14&gt;=2649.5,2649.5,E17+E18+E14)</f>
        <v>1552.1004166666669</v>
      </c>
      <c r="F19" s="32">
        <f t="shared" ref="F19:BQ19" si="145">IF(F17+F18+F14&gt;=2649.5,2649.5,F17+F18+F14)</f>
        <v>1496.876666666667</v>
      </c>
      <c r="G19" s="32">
        <f t="shared" si="145"/>
        <v>1441.6529166666671</v>
      </c>
      <c r="H19" s="32">
        <f t="shared" si="145"/>
        <v>1327.0291666666672</v>
      </c>
      <c r="I19" s="32">
        <f t="shared" si="145"/>
        <v>1212.4054166666672</v>
      </c>
      <c r="J19" s="32">
        <f t="shared" si="145"/>
        <v>1097.7816666666672</v>
      </c>
      <c r="K19" s="32">
        <f t="shared" si="145"/>
        <v>2649.5</v>
      </c>
      <c r="L19" s="32">
        <f t="shared" si="145"/>
        <v>2628.5961875000003</v>
      </c>
      <c r="M19" s="32">
        <f t="shared" si="145"/>
        <v>2607.6923750000005</v>
      </c>
      <c r="N19" s="32">
        <f t="shared" si="145"/>
        <v>2586.7885625000008</v>
      </c>
      <c r="O19" s="32">
        <f t="shared" si="145"/>
        <v>2565.8847500000011</v>
      </c>
      <c r="P19" s="32">
        <f t="shared" si="145"/>
        <v>2544.9809375000013</v>
      </c>
      <c r="Q19" s="32">
        <f t="shared" si="145"/>
        <v>2524.0771250000016</v>
      </c>
      <c r="R19" s="32">
        <f t="shared" si="145"/>
        <v>2649.5</v>
      </c>
      <c r="S19" s="32">
        <f t="shared" si="145"/>
        <v>2578.2958343750001</v>
      </c>
      <c r="T19" s="32">
        <f t="shared" si="145"/>
        <v>2507.0916687500003</v>
      </c>
      <c r="U19" s="32">
        <f t="shared" si="145"/>
        <v>2435.8875031250004</v>
      </c>
      <c r="V19" s="32">
        <f t="shared" si="145"/>
        <v>2364.6833375000006</v>
      </c>
      <c r="W19" s="32">
        <f t="shared" si="145"/>
        <v>2649.5</v>
      </c>
      <c r="X19" s="32">
        <f t="shared" si="145"/>
        <v>2576.9057289062503</v>
      </c>
      <c r="Y19" s="32">
        <f t="shared" si="145"/>
        <v>2504.3114578125005</v>
      </c>
      <c r="Z19" s="32">
        <f t="shared" si="145"/>
        <v>2491.1171867187509</v>
      </c>
      <c r="AA19" s="32">
        <f t="shared" si="145"/>
        <v>2477.9229156250012</v>
      </c>
      <c r="AB19" s="61">
        <f t="shared" si="145"/>
        <v>2464.7286445312516</v>
      </c>
      <c r="AC19" s="32">
        <f t="shared" si="145"/>
        <v>2451.5343734375019</v>
      </c>
      <c r="AD19" s="32">
        <f t="shared" si="145"/>
        <v>2438.3401023437523</v>
      </c>
      <c r="AE19" s="32">
        <f t="shared" si="145"/>
        <v>2425.1458312500026</v>
      </c>
      <c r="AF19" s="32">
        <f t="shared" si="145"/>
        <v>2352.5515601562529</v>
      </c>
      <c r="AG19" s="32">
        <f t="shared" si="145"/>
        <v>2279.9572890625032</v>
      </c>
      <c r="AH19" s="32">
        <f t="shared" si="145"/>
        <v>2207.3630179687534</v>
      </c>
      <c r="AI19" s="32">
        <f t="shared" si="145"/>
        <v>2649.5</v>
      </c>
      <c r="AJ19" s="32">
        <f t="shared" si="145"/>
        <v>2600.7222084895839</v>
      </c>
      <c r="AK19" s="32">
        <f t="shared" si="145"/>
        <v>2551.9444169791677</v>
      </c>
      <c r="AL19" s="32">
        <f t="shared" si="145"/>
        <v>2503.1666254687516</v>
      </c>
      <c r="AM19" s="32">
        <f t="shared" si="145"/>
        <v>2454.3888339583355</v>
      </c>
      <c r="AN19" s="32">
        <f t="shared" si="145"/>
        <v>2405.6110424479193</v>
      </c>
      <c r="AO19" s="32">
        <f t="shared" si="145"/>
        <v>2649.5</v>
      </c>
      <c r="AP19" s="32">
        <f t="shared" si="145"/>
        <v>2575.4298582864585</v>
      </c>
      <c r="AQ19" s="32">
        <f t="shared" si="145"/>
        <v>2501.359716572917</v>
      </c>
      <c r="AR19" s="32">
        <f t="shared" si="145"/>
        <v>2427.2895748593755</v>
      </c>
      <c r="AS19" s="32">
        <f t="shared" si="145"/>
        <v>2353.219433145834</v>
      </c>
      <c r="AT19" s="32">
        <f t="shared" si="145"/>
        <v>2279.1492914322926</v>
      </c>
      <c r="AU19" s="32">
        <f t="shared" si="145"/>
        <v>2649.5</v>
      </c>
      <c r="AV19" s="32">
        <f t="shared" si="145"/>
        <v>2583.0175633473959</v>
      </c>
      <c r="AW19" s="32">
        <f t="shared" si="145"/>
        <v>2575.935126694792</v>
      </c>
      <c r="AX19" s="32">
        <f t="shared" si="145"/>
        <v>2568.852690042188</v>
      </c>
      <c r="AY19" s="32">
        <f t="shared" si="145"/>
        <v>2561.770253389584</v>
      </c>
      <c r="AZ19" s="61">
        <f t="shared" si="145"/>
        <v>2554.68781673698</v>
      </c>
      <c r="BA19" s="32">
        <f t="shared" si="145"/>
        <v>2547.6053800843761</v>
      </c>
      <c r="BB19" s="32">
        <f t="shared" si="145"/>
        <v>2540.5229434317721</v>
      </c>
      <c r="BC19" s="32">
        <f t="shared" si="145"/>
        <v>2533.4405067791681</v>
      </c>
      <c r="BD19" s="32">
        <f t="shared" si="145"/>
        <v>2466.9580701265641</v>
      </c>
      <c r="BE19" s="32">
        <f t="shared" si="145"/>
        <v>2400.47563347396</v>
      </c>
      <c r="BF19" s="32">
        <f t="shared" si="145"/>
        <v>2333.9931968213559</v>
      </c>
      <c r="BG19" s="32">
        <f t="shared" si="145"/>
        <v>2649.5</v>
      </c>
      <c r="BH19" s="32">
        <f t="shared" si="145"/>
        <v>2591.1190661582295</v>
      </c>
      <c r="BI19" s="32">
        <f t="shared" si="145"/>
        <v>2532.7381323164591</v>
      </c>
      <c r="BJ19" s="32">
        <f t="shared" si="145"/>
        <v>2474.3571984746886</v>
      </c>
      <c r="BK19" s="32">
        <f t="shared" si="145"/>
        <v>2415.9762646329182</v>
      </c>
      <c r="BL19" s="32">
        <f t="shared" si="145"/>
        <v>2357.5953307911477</v>
      </c>
      <c r="BM19" s="32">
        <f t="shared" si="145"/>
        <v>2649.5</v>
      </c>
      <c r="BN19" s="32">
        <f t="shared" si="145"/>
        <v>2578.3108009858647</v>
      </c>
      <c r="BO19" s="32">
        <f t="shared" si="145"/>
        <v>2507.1216019717294</v>
      </c>
      <c r="BP19" s="32">
        <f t="shared" si="145"/>
        <v>2435.9324029575941</v>
      </c>
      <c r="BQ19" s="32">
        <f t="shared" si="145"/>
        <v>2364.7432039434589</v>
      </c>
      <c r="BR19" s="32">
        <f t="shared" ref="BR19:DT19" si="146">IF(BR17+BR18+BR14&gt;=2649.5,2649.5,BR17+BR18+BR14)</f>
        <v>2293.5540049293236</v>
      </c>
      <c r="BS19" s="32">
        <f t="shared" si="146"/>
        <v>2649.5</v>
      </c>
      <c r="BT19" s="32">
        <f t="shared" si="146"/>
        <v>2582.1532805375741</v>
      </c>
      <c r="BU19" s="32">
        <f t="shared" si="146"/>
        <v>2514.8065610751482</v>
      </c>
      <c r="BV19" s="32">
        <f t="shared" si="146"/>
        <v>2506.8598416127224</v>
      </c>
      <c r="BW19" s="32">
        <f t="shared" si="146"/>
        <v>2498.9131221502967</v>
      </c>
      <c r="BX19" s="61">
        <f t="shared" si="146"/>
        <v>2490.9664026878709</v>
      </c>
      <c r="BY19" s="32">
        <f t="shared" si="146"/>
        <v>2483.0196832254451</v>
      </c>
      <c r="BZ19" s="32">
        <f t="shared" si="146"/>
        <v>2475.0729637630193</v>
      </c>
      <c r="CA19" s="32">
        <f t="shared" si="146"/>
        <v>2467.1262443005935</v>
      </c>
      <c r="CB19" s="32">
        <f t="shared" si="146"/>
        <v>2399.7795248381676</v>
      </c>
      <c r="CC19" s="32">
        <f t="shared" si="146"/>
        <v>2332.4328053757417</v>
      </c>
      <c r="CD19" s="32">
        <f t="shared" si="146"/>
        <v>2265.0860859133159</v>
      </c>
      <c r="CE19" s="32">
        <f t="shared" si="146"/>
        <v>2649.5</v>
      </c>
      <c r="CF19" s="32">
        <f t="shared" si="146"/>
        <v>2597.5736775107894</v>
      </c>
      <c r="CG19" s="32">
        <f t="shared" si="146"/>
        <v>2545.6473550215787</v>
      </c>
      <c r="CH19" s="32">
        <f t="shared" si="146"/>
        <v>2493.7210325323681</v>
      </c>
      <c r="CI19" s="32">
        <f t="shared" si="146"/>
        <v>2441.7947100431575</v>
      </c>
      <c r="CJ19" s="32">
        <f t="shared" si="146"/>
        <v>2389.8683875539468</v>
      </c>
      <c r="CK19" s="32">
        <f t="shared" si="146"/>
        <v>2649.5</v>
      </c>
      <c r="CL19" s="32">
        <f t="shared" si="146"/>
        <v>2576.3744175800971</v>
      </c>
      <c r="CM19" s="32">
        <f t="shared" si="146"/>
        <v>2503.2488351601942</v>
      </c>
      <c r="CN19" s="32">
        <f t="shared" si="146"/>
        <v>2430.1232527402913</v>
      </c>
      <c r="CO19" s="32">
        <f t="shared" si="146"/>
        <v>2356.9976703203884</v>
      </c>
      <c r="CP19" s="32">
        <f t="shared" si="146"/>
        <v>2283.8720879004854</v>
      </c>
      <c r="CQ19" s="32">
        <f t="shared" si="146"/>
        <v>2649.5</v>
      </c>
      <c r="CR19" s="32">
        <f t="shared" si="146"/>
        <v>2582.7341955593047</v>
      </c>
      <c r="CS19" s="32">
        <f t="shared" si="146"/>
        <v>2515.9683911186094</v>
      </c>
      <c r="CT19" s="32">
        <f t="shared" si="146"/>
        <v>2508.6025866779141</v>
      </c>
      <c r="CU19" s="32">
        <f t="shared" si="146"/>
        <v>2501.2367822372189</v>
      </c>
      <c r="CV19" s="61">
        <f t="shared" si="146"/>
        <v>2493.8709777965237</v>
      </c>
      <c r="CW19" s="32">
        <f t="shared" si="146"/>
        <v>2486.5051733558284</v>
      </c>
      <c r="CX19" s="32">
        <f t="shared" si="146"/>
        <v>2479.1393689151332</v>
      </c>
      <c r="CY19" s="32">
        <f t="shared" si="146"/>
        <v>2471.773564474438</v>
      </c>
      <c r="CZ19" s="32">
        <f t="shared" si="146"/>
        <v>2405.0077600337427</v>
      </c>
      <c r="DA19" s="32">
        <f t="shared" si="146"/>
        <v>2338.2419555930474</v>
      </c>
      <c r="DB19" s="32">
        <f t="shared" si="146"/>
        <v>2271.476151152352</v>
      </c>
      <c r="DC19" s="32">
        <f t="shared" si="146"/>
        <v>2649.5</v>
      </c>
      <c r="DD19" s="32">
        <f t="shared" si="146"/>
        <v>2597.225128497751</v>
      </c>
      <c r="DE19" s="32">
        <f t="shared" si="146"/>
        <v>2544.9502569955021</v>
      </c>
      <c r="DF19" s="32">
        <f t="shared" si="146"/>
        <v>2492.6753854932531</v>
      </c>
      <c r="DG19" s="32">
        <f t="shared" si="146"/>
        <v>2440.4005139910041</v>
      </c>
      <c r="DH19" s="32">
        <f t="shared" si="146"/>
        <v>2388.1256424887551</v>
      </c>
      <c r="DI19" s="32">
        <f t="shared" si="146"/>
        <v>2649.5</v>
      </c>
      <c r="DJ19" s="32">
        <f t="shared" si="146"/>
        <v>2576.4789822840085</v>
      </c>
      <c r="DK19" s="32">
        <f t="shared" si="146"/>
        <v>2503.4579645680169</v>
      </c>
      <c r="DL19" s="32">
        <f t="shared" si="146"/>
        <v>2430.4369468520254</v>
      </c>
      <c r="DM19" s="32">
        <f t="shared" si="146"/>
        <v>2357.4159291360338</v>
      </c>
      <c r="DN19" s="32">
        <f t="shared" si="146"/>
        <v>2284.3949114200423</v>
      </c>
      <c r="DO19" s="32">
        <f t="shared" si="146"/>
        <v>2649.5</v>
      </c>
      <c r="DP19" s="32">
        <f t="shared" si="146"/>
        <v>2582.702826148131</v>
      </c>
      <c r="DQ19" s="32">
        <f t="shared" si="146"/>
        <v>2515.9056522962619</v>
      </c>
      <c r="DR19" s="32">
        <f t="shared" si="146"/>
        <v>2508.5084784443929</v>
      </c>
      <c r="DS19" s="32">
        <f t="shared" si="146"/>
        <v>2501.111304592524</v>
      </c>
      <c r="DT19" s="32">
        <f t="shared" si="146"/>
        <v>2493.714130740655</v>
      </c>
    </row>
    <row r="20" spans="2:124" s="36" customFormat="1" ht="15.75" thickBot="1" x14ac:dyDescent="0.3">
      <c r="B20" s="34" t="s">
        <v>18</v>
      </c>
      <c r="C20" s="78"/>
      <c r="D20" s="105">
        <f>(D19/1891.4)*10</f>
        <v>8.4980658066335337</v>
      </c>
      <c r="E20" s="35">
        <f>(E19/2649.5)*10</f>
        <v>5.8580880040259178</v>
      </c>
      <c r="F20" s="35">
        <f t="shared" ref="F20:BQ20" si="147">(F19/2649.5)*10</f>
        <v>5.6496571680191243</v>
      </c>
      <c r="G20" s="35">
        <f t="shared" si="147"/>
        <v>5.4412263320123309</v>
      </c>
      <c r="H20" s="35">
        <f t="shared" si="147"/>
        <v>5.0086022519972335</v>
      </c>
      <c r="I20" s="35">
        <f t="shared" si="147"/>
        <v>4.5759781719821371</v>
      </c>
      <c r="J20" s="35">
        <f t="shared" si="147"/>
        <v>4.1433540919670397</v>
      </c>
      <c r="K20" s="35">
        <f t="shared" si="147"/>
        <v>10</v>
      </c>
      <c r="L20" s="35">
        <f t="shared" si="147"/>
        <v>9.9211028024155503</v>
      </c>
      <c r="M20" s="35">
        <f t="shared" si="147"/>
        <v>9.8422056048311024</v>
      </c>
      <c r="N20" s="35">
        <f t="shared" si="147"/>
        <v>9.7633084072466545</v>
      </c>
      <c r="O20" s="35">
        <f t="shared" si="147"/>
        <v>9.6844112096622048</v>
      </c>
      <c r="P20" s="35">
        <f t="shared" si="147"/>
        <v>9.6055140120777551</v>
      </c>
      <c r="Q20" s="35">
        <f t="shared" si="147"/>
        <v>9.5266168144933072</v>
      </c>
      <c r="R20" s="35">
        <f t="shared" si="147"/>
        <v>10</v>
      </c>
      <c r="S20" s="35">
        <f t="shared" si="147"/>
        <v>9.7312543286469158</v>
      </c>
      <c r="T20" s="35">
        <f t="shared" si="147"/>
        <v>9.4625086572938297</v>
      </c>
      <c r="U20" s="35">
        <f t="shared" si="147"/>
        <v>9.1937629859407455</v>
      </c>
      <c r="V20" s="35">
        <f t="shared" si="147"/>
        <v>8.9250173145876595</v>
      </c>
      <c r="W20" s="35">
        <f t="shared" si="147"/>
        <v>10</v>
      </c>
      <c r="X20" s="35">
        <f t="shared" si="147"/>
        <v>9.7260076576948489</v>
      </c>
      <c r="Y20" s="35">
        <f t="shared" si="147"/>
        <v>9.4520153153896977</v>
      </c>
      <c r="Z20" s="35">
        <f t="shared" si="147"/>
        <v>9.4022162170928514</v>
      </c>
      <c r="AA20" s="35">
        <f t="shared" si="147"/>
        <v>9.3524171187960032</v>
      </c>
      <c r="AB20" s="62">
        <f t="shared" si="147"/>
        <v>9.3026180204991569</v>
      </c>
      <c r="AC20" s="35">
        <f t="shared" si="147"/>
        <v>9.2528189222023087</v>
      </c>
      <c r="AD20" s="35">
        <f t="shared" si="147"/>
        <v>9.2030198239054624</v>
      </c>
      <c r="AE20" s="35">
        <f t="shared" si="147"/>
        <v>9.153220725608616</v>
      </c>
      <c r="AF20" s="35">
        <f t="shared" si="147"/>
        <v>8.8792283833034649</v>
      </c>
      <c r="AG20" s="35">
        <f t="shared" si="147"/>
        <v>8.6052360409983137</v>
      </c>
      <c r="AH20" s="35">
        <f t="shared" si="147"/>
        <v>8.3312436986931626</v>
      </c>
      <c r="AI20" s="35">
        <f t="shared" si="147"/>
        <v>10</v>
      </c>
      <c r="AJ20" s="35">
        <f t="shared" si="147"/>
        <v>9.8158981260222085</v>
      </c>
      <c r="AK20" s="35">
        <f t="shared" si="147"/>
        <v>9.6317962520444151</v>
      </c>
      <c r="AL20" s="35">
        <f t="shared" si="147"/>
        <v>9.4476943780666218</v>
      </c>
      <c r="AM20" s="35">
        <f t="shared" si="147"/>
        <v>9.2635925040888303</v>
      </c>
      <c r="AN20" s="35">
        <f t="shared" si="147"/>
        <v>9.079490630111037</v>
      </c>
      <c r="AO20" s="35">
        <f t="shared" si="147"/>
        <v>10</v>
      </c>
      <c r="AP20" s="35">
        <f t="shared" si="147"/>
        <v>9.7204372835873123</v>
      </c>
      <c r="AQ20" s="35">
        <f t="shared" si="147"/>
        <v>9.4408745671746246</v>
      </c>
      <c r="AR20" s="35">
        <f t="shared" si="147"/>
        <v>9.1613118507619387</v>
      </c>
      <c r="AS20" s="35">
        <f t="shared" si="147"/>
        <v>8.881749134349251</v>
      </c>
      <c r="AT20" s="35">
        <f t="shared" si="147"/>
        <v>8.6021864179365632</v>
      </c>
      <c r="AU20" s="35">
        <f t="shared" si="147"/>
        <v>10</v>
      </c>
      <c r="AV20" s="35">
        <f t="shared" si="147"/>
        <v>9.7490755363177808</v>
      </c>
      <c r="AW20" s="35">
        <f t="shared" si="147"/>
        <v>9.7223443166438646</v>
      </c>
      <c r="AX20" s="35">
        <f t="shared" si="147"/>
        <v>9.6956130969699501</v>
      </c>
      <c r="AY20" s="35">
        <f t="shared" si="147"/>
        <v>9.6688818772960321</v>
      </c>
      <c r="AZ20" s="62">
        <f t="shared" si="147"/>
        <v>9.6421506576221176</v>
      </c>
      <c r="BA20" s="35">
        <f t="shared" si="147"/>
        <v>9.6154194379482014</v>
      </c>
      <c r="BB20" s="35">
        <f t="shared" si="147"/>
        <v>9.5886882182742852</v>
      </c>
      <c r="BC20" s="35">
        <f t="shared" si="147"/>
        <v>9.5619569986003707</v>
      </c>
      <c r="BD20" s="35">
        <f t="shared" si="147"/>
        <v>9.3110325349181515</v>
      </c>
      <c r="BE20" s="35">
        <f t="shared" si="147"/>
        <v>9.0601080712359323</v>
      </c>
      <c r="BF20" s="35">
        <f t="shared" si="147"/>
        <v>8.8091836075537131</v>
      </c>
      <c r="BG20" s="35">
        <f t="shared" si="147"/>
        <v>10</v>
      </c>
      <c r="BH20" s="35">
        <f t="shared" si="147"/>
        <v>9.7796530143733893</v>
      </c>
      <c r="BI20" s="35">
        <f t="shared" si="147"/>
        <v>9.5593060287467786</v>
      </c>
      <c r="BJ20" s="35">
        <f t="shared" si="147"/>
        <v>9.3389590431201679</v>
      </c>
      <c r="BK20" s="35">
        <f t="shared" si="147"/>
        <v>9.1186120574935572</v>
      </c>
      <c r="BL20" s="35">
        <f t="shared" si="147"/>
        <v>8.8982650718669483</v>
      </c>
      <c r="BM20" s="35">
        <f t="shared" si="147"/>
        <v>10</v>
      </c>
      <c r="BN20" s="35">
        <f t="shared" si="147"/>
        <v>9.7313108170819582</v>
      </c>
      <c r="BO20" s="35">
        <f t="shared" si="147"/>
        <v>9.4626216341639164</v>
      </c>
      <c r="BP20" s="35">
        <f t="shared" si="147"/>
        <v>9.1939324512458729</v>
      </c>
      <c r="BQ20" s="35">
        <f t="shared" si="147"/>
        <v>8.9252432683278311</v>
      </c>
      <c r="BR20" s="35">
        <f t="shared" ref="BR20:DT20" si="148">(BR19/2649.5)*10</f>
        <v>8.6565540854097893</v>
      </c>
      <c r="BS20" s="35">
        <f t="shared" si="148"/>
        <v>10</v>
      </c>
      <c r="BT20" s="35">
        <f t="shared" si="148"/>
        <v>9.7458134762693867</v>
      </c>
      <c r="BU20" s="35">
        <f t="shared" si="148"/>
        <v>9.4916269525387733</v>
      </c>
      <c r="BV20" s="35">
        <f t="shared" si="148"/>
        <v>9.4616336728164647</v>
      </c>
      <c r="BW20" s="35">
        <f t="shared" si="148"/>
        <v>9.4316403930941561</v>
      </c>
      <c r="BX20" s="62">
        <f t="shared" si="148"/>
        <v>9.4016471133718476</v>
      </c>
      <c r="BY20" s="35">
        <f t="shared" si="148"/>
        <v>9.371653833649539</v>
      </c>
      <c r="BZ20" s="35">
        <f t="shared" si="148"/>
        <v>9.3416605539272286</v>
      </c>
      <c r="CA20" s="35">
        <f t="shared" si="148"/>
        <v>9.31166727420492</v>
      </c>
      <c r="CB20" s="35">
        <f t="shared" si="148"/>
        <v>9.0574807504743067</v>
      </c>
      <c r="CC20" s="35">
        <f t="shared" si="148"/>
        <v>8.8032942267436951</v>
      </c>
      <c r="CD20" s="35">
        <f t="shared" si="148"/>
        <v>8.5491077030130818</v>
      </c>
      <c r="CE20" s="35">
        <f t="shared" si="148"/>
        <v>10</v>
      </c>
      <c r="CF20" s="35">
        <f t="shared" si="148"/>
        <v>9.8040146348774844</v>
      </c>
      <c r="CG20" s="35">
        <f t="shared" si="148"/>
        <v>9.608029269754967</v>
      </c>
      <c r="CH20" s="35">
        <f t="shared" si="148"/>
        <v>9.4120439046324513</v>
      </c>
      <c r="CI20" s="35">
        <f t="shared" si="148"/>
        <v>9.2160585395099357</v>
      </c>
      <c r="CJ20" s="35">
        <f t="shared" si="148"/>
        <v>9.0200731743874201</v>
      </c>
      <c r="CK20" s="35">
        <f t="shared" si="148"/>
        <v>10</v>
      </c>
      <c r="CL20" s="35">
        <f t="shared" si="148"/>
        <v>9.7240023309307304</v>
      </c>
      <c r="CM20" s="35">
        <f t="shared" si="148"/>
        <v>9.4480046618614608</v>
      </c>
      <c r="CN20" s="35">
        <f t="shared" si="148"/>
        <v>9.1720069927921912</v>
      </c>
      <c r="CO20" s="35">
        <f t="shared" si="148"/>
        <v>8.8960093237229216</v>
      </c>
      <c r="CP20" s="35">
        <f t="shared" si="148"/>
        <v>8.6200116546536538</v>
      </c>
      <c r="CQ20" s="35">
        <f t="shared" si="148"/>
        <v>10</v>
      </c>
      <c r="CR20" s="35">
        <f t="shared" si="148"/>
        <v>9.7480060221147564</v>
      </c>
      <c r="CS20" s="35">
        <f t="shared" si="148"/>
        <v>9.4960120442295128</v>
      </c>
      <c r="CT20" s="35">
        <f t="shared" si="148"/>
        <v>9.4682113103525722</v>
      </c>
      <c r="CU20" s="35">
        <f t="shared" si="148"/>
        <v>9.4404105764756334</v>
      </c>
      <c r="CV20" s="62">
        <f t="shared" si="148"/>
        <v>9.4126098425986928</v>
      </c>
      <c r="CW20" s="35">
        <f t="shared" si="148"/>
        <v>9.384809108721754</v>
      </c>
      <c r="CX20" s="35">
        <f t="shared" si="148"/>
        <v>9.3570083748448134</v>
      </c>
      <c r="CY20" s="35">
        <f t="shared" si="148"/>
        <v>9.3292076409678728</v>
      </c>
      <c r="CZ20" s="35">
        <f t="shared" si="148"/>
        <v>9.0772136630826292</v>
      </c>
      <c r="DA20" s="35">
        <f t="shared" si="148"/>
        <v>8.8252196851973856</v>
      </c>
      <c r="DB20" s="35">
        <f t="shared" si="148"/>
        <v>8.5732257073121421</v>
      </c>
      <c r="DC20" s="35">
        <f t="shared" si="148"/>
        <v>10</v>
      </c>
      <c r="DD20" s="35">
        <f t="shared" si="148"/>
        <v>9.8026991073702625</v>
      </c>
      <c r="DE20" s="35">
        <f t="shared" si="148"/>
        <v>9.605398214740525</v>
      </c>
      <c r="DF20" s="35">
        <f t="shared" si="148"/>
        <v>9.4080973221107875</v>
      </c>
      <c r="DG20" s="35">
        <f t="shared" si="148"/>
        <v>9.21079642948105</v>
      </c>
      <c r="DH20" s="35">
        <f t="shared" si="148"/>
        <v>9.0134955368513126</v>
      </c>
      <c r="DI20" s="35">
        <f t="shared" si="148"/>
        <v>10</v>
      </c>
      <c r="DJ20" s="35">
        <f t="shared" si="148"/>
        <v>9.7243969891828961</v>
      </c>
      <c r="DK20" s="35">
        <f t="shared" si="148"/>
        <v>9.4487939783657939</v>
      </c>
      <c r="DL20" s="35">
        <f t="shared" si="148"/>
        <v>9.17319096754869</v>
      </c>
      <c r="DM20" s="35">
        <f t="shared" si="148"/>
        <v>8.8975879567315861</v>
      </c>
      <c r="DN20" s="35">
        <f t="shared" si="148"/>
        <v>8.6219849459144822</v>
      </c>
      <c r="DO20" s="35">
        <f t="shared" si="148"/>
        <v>10</v>
      </c>
      <c r="DP20" s="35">
        <f t="shared" si="148"/>
        <v>9.7478876246391053</v>
      </c>
      <c r="DQ20" s="35">
        <f t="shared" si="148"/>
        <v>9.4957752492782106</v>
      </c>
      <c r="DR20" s="35">
        <f t="shared" si="148"/>
        <v>9.4678561179256189</v>
      </c>
      <c r="DS20" s="35">
        <f t="shared" si="148"/>
        <v>9.4399369865730289</v>
      </c>
      <c r="DT20" s="35">
        <f t="shared" si="148"/>
        <v>9.4120178552204372</v>
      </c>
    </row>
    <row r="21" spans="2:124" x14ac:dyDescent="0.25">
      <c r="D21" s="100"/>
      <c r="E21" s="122" t="s">
        <v>69</v>
      </c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4"/>
      <c r="AC21" s="125" t="s">
        <v>70</v>
      </c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7"/>
      <c r="BA21" s="122" t="s">
        <v>71</v>
      </c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23"/>
      <c r="BP21" s="123"/>
      <c r="BQ21" s="123"/>
      <c r="BR21" s="123"/>
      <c r="BS21" s="123"/>
      <c r="BT21" s="123"/>
      <c r="BU21" s="123"/>
      <c r="BV21" s="123"/>
      <c r="BW21" s="123"/>
      <c r="BX21" s="124"/>
      <c r="BY21" s="125" t="s">
        <v>72</v>
      </c>
      <c r="BZ21" s="126"/>
      <c r="CA21" s="126"/>
      <c r="CB21" s="126"/>
      <c r="CC21" s="126"/>
      <c r="CD21" s="126"/>
      <c r="CE21" s="126"/>
      <c r="CF21" s="126"/>
      <c r="CG21" s="126"/>
      <c r="CH21" s="126"/>
      <c r="CI21" s="126"/>
      <c r="CJ21" s="126"/>
      <c r="CK21" s="126"/>
      <c r="CL21" s="126"/>
      <c r="CM21" s="126"/>
      <c r="CN21" s="126"/>
      <c r="CO21" s="126"/>
      <c r="CP21" s="126"/>
      <c r="CQ21" s="126"/>
      <c r="CR21" s="126"/>
      <c r="CS21" s="126"/>
      <c r="CT21" s="126"/>
      <c r="CU21" s="126"/>
      <c r="CV21" s="127"/>
      <c r="CW21" s="122" t="s">
        <v>73</v>
      </c>
      <c r="CX21" s="123"/>
      <c r="CY21" s="123"/>
      <c r="CZ21" s="123"/>
      <c r="DA21" s="123"/>
      <c r="DB21" s="123"/>
      <c r="DC21" s="123"/>
      <c r="DD21" s="123"/>
      <c r="DE21" s="123"/>
      <c r="DF21" s="123"/>
      <c r="DG21" s="123"/>
      <c r="DH21" s="123"/>
      <c r="DI21" s="123"/>
      <c r="DJ21" s="123"/>
      <c r="DK21" s="123"/>
      <c r="DL21" s="123"/>
      <c r="DM21" s="123"/>
      <c r="DN21" s="123"/>
      <c r="DO21" s="123"/>
      <c r="DP21" s="123"/>
      <c r="DQ21" s="123"/>
      <c r="DR21" s="123"/>
      <c r="DS21" s="123"/>
      <c r="DT21" s="124"/>
    </row>
    <row r="22" spans="2:124" x14ac:dyDescent="0.25">
      <c r="B22" s="4" t="s">
        <v>19</v>
      </c>
      <c r="D22" s="100"/>
      <c r="E22" s="22">
        <v>4.1666666666666664E-2</v>
      </c>
      <c r="F22" s="23">
        <v>8.3333333333333301E-2</v>
      </c>
      <c r="G22" s="23">
        <v>0.125</v>
      </c>
      <c r="H22" s="23">
        <v>0.16666666666666699</v>
      </c>
      <c r="I22" s="23">
        <v>0.20833333333333301</v>
      </c>
      <c r="J22" s="23">
        <v>0.25</v>
      </c>
      <c r="K22" s="23">
        <v>0.29166666666666702</v>
      </c>
      <c r="L22" s="23">
        <v>0.33333333333333298</v>
      </c>
      <c r="M22" s="23">
        <v>0.375</v>
      </c>
      <c r="N22" s="23">
        <v>0.41666666666666702</v>
      </c>
      <c r="O22" s="23">
        <v>0.45833333333333298</v>
      </c>
      <c r="P22" s="23">
        <v>0.5</v>
      </c>
      <c r="Q22" s="23">
        <v>0.54166666666666696</v>
      </c>
      <c r="R22" s="23">
        <v>0.58333333333333304</v>
      </c>
      <c r="S22" s="23">
        <v>0.625</v>
      </c>
      <c r="T22" s="23">
        <v>0.66666666666666696</v>
      </c>
      <c r="U22" s="23">
        <v>0.70833333333333304</v>
      </c>
      <c r="V22" s="23">
        <v>0.75</v>
      </c>
      <c r="W22" s="23">
        <v>0.79166666666666696</v>
      </c>
      <c r="X22" s="23">
        <v>0.83333333333333304</v>
      </c>
      <c r="Y22" s="23">
        <v>0.875</v>
      </c>
      <c r="Z22" s="23">
        <v>0.91666666666666696</v>
      </c>
      <c r="AA22" s="23">
        <v>0.95833333333333404</v>
      </c>
      <c r="AB22" s="57">
        <v>1</v>
      </c>
      <c r="AC22" s="22">
        <v>1.0416666666666701</v>
      </c>
      <c r="AD22" s="23">
        <v>1.0833333333333299</v>
      </c>
      <c r="AE22" s="23">
        <v>1.125</v>
      </c>
      <c r="AF22" s="23">
        <v>1.1666666666666701</v>
      </c>
      <c r="AG22" s="23">
        <v>1.2083333333333299</v>
      </c>
      <c r="AH22" s="23">
        <v>1.25</v>
      </c>
      <c r="AI22" s="23">
        <v>1.2916666666666701</v>
      </c>
      <c r="AJ22" s="23">
        <v>1.3333333333333299</v>
      </c>
      <c r="AK22" s="23">
        <v>1.375</v>
      </c>
      <c r="AL22" s="23">
        <v>1.4166666666666701</v>
      </c>
      <c r="AM22" s="23">
        <v>1.4583333333333299</v>
      </c>
      <c r="AN22" s="23">
        <v>1.5</v>
      </c>
      <c r="AO22" s="23">
        <v>1.5416666666666701</v>
      </c>
      <c r="AP22" s="23">
        <v>1.5833333333333299</v>
      </c>
      <c r="AQ22" s="23">
        <v>1.625</v>
      </c>
      <c r="AR22" s="23">
        <v>1.6666666666666701</v>
      </c>
      <c r="AS22" s="23">
        <v>1.7083333333333299</v>
      </c>
      <c r="AT22" s="23">
        <v>1.75</v>
      </c>
      <c r="AU22" s="23">
        <v>1.7916666666666701</v>
      </c>
      <c r="AV22" s="23">
        <v>1.8333333333333299</v>
      </c>
      <c r="AW22" s="23">
        <v>1.875</v>
      </c>
      <c r="AX22" s="23">
        <v>1.9166666666666701</v>
      </c>
      <c r="AY22" s="23">
        <v>1.9583333333333299</v>
      </c>
      <c r="AZ22" s="57">
        <v>2</v>
      </c>
      <c r="BA22" s="22">
        <v>1.0416666666666701</v>
      </c>
      <c r="BB22" s="23">
        <v>1.0833333333333299</v>
      </c>
      <c r="BC22" s="23">
        <v>1.125</v>
      </c>
      <c r="BD22" s="23">
        <v>1.1666666666666701</v>
      </c>
      <c r="BE22" s="23">
        <v>1.2083333333333299</v>
      </c>
      <c r="BF22" s="23">
        <v>1.25</v>
      </c>
      <c r="BG22" s="23">
        <v>1.2916666666666701</v>
      </c>
      <c r="BH22" s="23">
        <v>1.3333333333333299</v>
      </c>
      <c r="BI22" s="23">
        <v>1.375</v>
      </c>
      <c r="BJ22" s="23">
        <v>1.4166666666666701</v>
      </c>
      <c r="BK22" s="23">
        <v>1.4583333333333299</v>
      </c>
      <c r="BL22" s="23">
        <v>1.5</v>
      </c>
      <c r="BM22" s="23">
        <v>1.5416666666666701</v>
      </c>
      <c r="BN22" s="23">
        <v>1.5833333333333299</v>
      </c>
      <c r="BO22" s="23">
        <v>1.625</v>
      </c>
      <c r="BP22" s="23">
        <v>1.6666666666666701</v>
      </c>
      <c r="BQ22" s="23">
        <v>1.7083333333333299</v>
      </c>
      <c r="BR22" s="23">
        <v>1.75</v>
      </c>
      <c r="BS22" s="23">
        <v>1.7916666666666701</v>
      </c>
      <c r="BT22" s="23">
        <v>1.8333333333333299</v>
      </c>
      <c r="BU22" s="23">
        <v>1.875</v>
      </c>
      <c r="BV22" s="23">
        <v>1.9166666666666701</v>
      </c>
      <c r="BW22" s="23">
        <v>1.9583333333333299</v>
      </c>
      <c r="BX22" s="57">
        <v>2</v>
      </c>
      <c r="BY22" s="22">
        <v>1.0416666666666701</v>
      </c>
      <c r="BZ22" s="23">
        <v>1.0833333333333299</v>
      </c>
      <c r="CA22" s="23">
        <v>1.125</v>
      </c>
      <c r="CB22" s="23">
        <v>1.1666666666666701</v>
      </c>
      <c r="CC22" s="23">
        <v>1.2083333333333299</v>
      </c>
      <c r="CD22" s="23">
        <v>1.25</v>
      </c>
      <c r="CE22" s="23">
        <v>1.2916666666666701</v>
      </c>
      <c r="CF22" s="23">
        <v>1.3333333333333299</v>
      </c>
      <c r="CG22" s="23">
        <v>1.375</v>
      </c>
      <c r="CH22" s="23">
        <v>1.4166666666666701</v>
      </c>
      <c r="CI22" s="23">
        <v>1.4583333333333299</v>
      </c>
      <c r="CJ22" s="23">
        <v>1.5</v>
      </c>
      <c r="CK22" s="23">
        <v>1.5416666666666701</v>
      </c>
      <c r="CL22" s="23">
        <v>1.5833333333333299</v>
      </c>
      <c r="CM22" s="23">
        <v>1.625</v>
      </c>
      <c r="CN22" s="23">
        <v>1.6666666666666701</v>
      </c>
      <c r="CO22" s="23">
        <v>1.7083333333333299</v>
      </c>
      <c r="CP22" s="23">
        <v>1.75</v>
      </c>
      <c r="CQ22" s="23">
        <v>1.7916666666666701</v>
      </c>
      <c r="CR22" s="23">
        <v>1.8333333333333299</v>
      </c>
      <c r="CS22" s="23">
        <v>1.875</v>
      </c>
      <c r="CT22" s="23">
        <v>1.9166666666666701</v>
      </c>
      <c r="CU22" s="23">
        <v>1.9583333333333299</v>
      </c>
      <c r="CV22" s="57">
        <v>2</v>
      </c>
      <c r="CW22" s="22">
        <v>1.0416666666666701</v>
      </c>
      <c r="CX22" s="23">
        <v>1.0833333333333299</v>
      </c>
      <c r="CY22" s="23">
        <v>1.125</v>
      </c>
      <c r="CZ22" s="23">
        <v>1.1666666666666701</v>
      </c>
      <c r="DA22" s="23">
        <v>1.2083333333333299</v>
      </c>
      <c r="DB22" s="23">
        <v>1.25</v>
      </c>
      <c r="DC22" s="23">
        <v>1.2916666666666701</v>
      </c>
      <c r="DD22" s="23">
        <v>1.3333333333333299</v>
      </c>
      <c r="DE22" s="23">
        <v>1.375</v>
      </c>
      <c r="DF22" s="23">
        <v>1.4166666666666701</v>
      </c>
      <c r="DG22" s="23">
        <v>1.4583333333333299</v>
      </c>
      <c r="DH22" s="23">
        <v>1.5</v>
      </c>
      <c r="DI22" s="23">
        <v>1.5416666666666701</v>
      </c>
      <c r="DJ22" s="23">
        <v>1.5833333333333299</v>
      </c>
      <c r="DK22" s="23">
        <v>1.625</v>
      </c>
      <c r="DL22" s="23">
        <v>1.6666666666666701</v>
      </c>
      <c r="DM22" s="23">
        <v>1.7083333333333299</v>
      </c>
      <c r="DN22" s="23">
        <v>1.75</v>
      </c>
      <c r="DO22" s="23">
        <v>1.7916666666666701</v>
      </c>
      <c r="DP22" s="23">
        <v>1.8333333333333299</v>
      </c>
      <c r="DQ22" s="23">
        <v>1.875</v>
      </c>
      <c r="DR22" s="23">
        <v>1.9166666666666701</v>
      </c>
      <c r="DS22" s="23">
        <v>1.9583333333333299</v>
      </c>
      <c r="DT22" s="23">
        <v>2</v>
      </c>
    </row>
    <row r="23" spans="2:124" x14ac:dyDescent="0.25">
      <c r="B23" s="3" t="s">
        <v>20</v>
      </c>
      <c r="D23" s="102">
        <v>6</v>
      </c>
      <c r="E23" s="17">
        <f>D29</f>
        <v>7.1333333333333337</v>
      </c>
      <c r="F23" s="24">
        <f t="shared" ref="F23:BQ23" si="149">E29</f>
        <v>2.1276337633498996</v>
      </c>
      <c r="G23" s="24">
        <f t="shared" si="149"/>
        <v>5.9504724496454253</v>
      </c>
      <c r="H23" s="24">
        <f t="shared" si="149"/>
        <v>4.1432685245010594</v>
      </c>
      <c r="I23" s="24">
        <f t="shared" si="149"/>
        <v>5.1510859050766387</v>
      </c>
      <c r="J23" s="24">
        <f t="shared" si="149"/>
        <v>5.183489254796398</v>
      </c>
      <c r="K23" s="24">
        <f t="shared" si="149"/>
        <v>5.3835996199440661</v>
      </c>
      <c r="L23" s="24">
        <f t="shared" si="149"/>
        <v>5.4998564773777803</v>
      </c>
      <c r="M23" s="24">
        <f t="shared" si="149"/>
        <v>2.5134050946444426</v>
      </c>
      <c r="N23" s="24">
        <f t="shared" si="149"/>
        <v>4.0460793848033374</v>
      </c>
      <c r="O23" s="24">
        <f t="shared" si="149"/>
        <v>3.3191908385161129</v>
      </c>
      <c r="P23" s="24">
        <f t="shared" si="149"/>
        <v>3.7220837104519497</v>
      </c>
      <c r="Q23" s="24">
        <f t="shared" si="149"/>
        <v>3.5600858732762561</v>
      </c>
      <c r="R23" s="24">
        <f t="shared" si="149"/>
        <v>3.6805333906563278</v>
      </c>
      <c r="S23" s="24">
        <f t="shared" si="149"/>
        <v>3.6597582307585159</v>
      </c>
      <c r="T23" s="24">
        <f t="shared" si="149"/>
        <v>3.4334542179540759</v>
      </c>
      <c r="U23" s="24">
        <f t="shared" si="149"/>
        <v>3.6809790600328376</v>
      </c>
      <c r="V23" s="24">
        <f t="shared" si="149"/>
        <v>3.6915894746700002</v>
      </c>
      <c r="W23" s="24">
        <f t="shared" si="149"/>
        <v>3.8206571030279606</v>
      </c>
      <c r="X23" s="24">
        <f t="shared" si="149"/>
        <v>3.8904961245255234</v>
      </c>
      <c r="Y23" s="24">
        <f t="shared" si="149"/>
        <v>3.3180852710705717</v>
      </c>
      <c r="Z23" s="24">
        <f t="shared" si="149"/>
        <v>3.7412868689506227</v>
      </c>
      <c r="AA23" s="24">
        <f t="shared" si="149"/>
        <v>3.6666822411631732</v>
      </c>
      <c r="AB23" s="55">
        <f t="shared" si="149"/>
        <v>3.4088841042053208</v>
      </c>
      <c r="AC23" s="18">
        <f t="shared" si="149"/>
        <v>3.5626827218326711</v>
      </c>
      <c r="AD23" s="24">
        <f t="shared" si="149"/>
        <v>3.5106829621674192</v>
      </c>
      <c r="AE23" s="24">
        <f t="shared" si="149"/>
        <v>3.5615823911484692</v>
      </c>
      <c r="AF23" s="24">
        <f t="shared" si="149"/>
        <v>3.5610322258063678</v>
      </c>
      <c r="AG23" s="24">
        <f t="shared" si="149"/>
        <v>3.5862068576258417</v>
      </c>
      <c r="AH23" s="24">
        <f t="shared" si="149"/>
        <v>4.0306157128686806</v>
      </c>
      <c r="AI23" s="24">
        <f t="shared" si="149"/>
        <v>3.945407456399836</v>
      </c>
      <c r="AJ23" s="24">
        <f t="shared" si="149"/>
        <v>4.125007755786835</v>
      </c>
      <c r="AK23" s="24">
        <f t="shared" si="149"/>
        <v>3.2008294554399161</v>
      </c>
      <c r="AL23" s="24">
        <f t="shared" si="149"/>
        <v>3.7549695426022711</v>
      </c>
      <c r="AM23" s="24">
        <f t="shared" si="149"/>
        <v>3.5699504360099898</v>
      </c>
      <c r="AN23" s="24">
        <f t="shared" si="149"/>
        <v>3.7545109262950276</v>
      </c>
      <c r="AO23" s="24">
        <f t="shared" si="149"/>
        <v>3.754281618141404</v>
      </c>
      <c r="AP23" s="24">
        <f t="shared" si="149"/>
        <v>3.8464472092071129</v>
      </c>
      <c r="AQ23" s="24">
        <f t="shared" si="149"/>
        <v>3.3401097287297774</v>
      </c>
      <c r="AR23" s="24">
        <f t="shared" si="149"/>
        <v>3.7330598271747886</v>
      </c>
      <c r="AS23" s="24">
        <f t="shared" si="149"/>
        <v>3.6763661361586268</v>
      </c>
      <c r="AT23" s="24">
        <f t="shared" si="149"/>
        <v>3.8444943398730502</v>
      </c>
      <c r="AU23" s="24">
        <f t="shared" si="149"/>
        <v>3.9002115962221828</v>
      </c>
      <c r="AV23" s="24">
        <f t="shared" si="149"/>
        <v>4.0121343262539613</v>
      </c>
      <c r="AW23" s="24">
        <f t="shared" si="149"/>
        <v>3.2572661702063521</v>
      </c>
      <c r="AX23" s="24">
        <f t="shared" si="149"/>
        <v>3.760162480071267</v>
      </c>
      <c r="AY23" s="24">
        <f t="shared" si="149"/>
        <v>3.2020799349757678</v>
      </c>
      <c r="AZ23" s="55">
        <f t="shared" si="149"/>
        <v>3.4944868173604742</v>
      </c>
      <c r="BA23" s="18">
        <f t="shared" si="149"/>
        <v>3.3616489860050804</v>
      </c>
      <c r="BB23" s="24">
        <f t="shared" si="149"/>
        <v>3.4414335115197345</v>
      </c>
      <c r="BC23" s="24">
        <f t="shared" si="149"/>
        <v>3.4149068585993656</v>
      </c>
      <c r="BD23" s="24">
        <f t="shared" si="149"/>
        <v>3.4415357948965082</v>
      </c>
      <c r="BE23" s="24">
        <f t="shared" si="149"/>
        <v>3.4415869365848937</v>
      </c>
      <c r="BF23" s="24">
        <f t="shared" si="149"/>
        <v>3.8870235975818113</v>
      </c>
      <c r="BG23" s="24">
        <f t="shared" si="149"/>
        <v>3.7897674989244616</v>
      </c>
      <c r="BH23" s="24">
        <f t="shared" si="149"/>
        <v>3.9638577800942465</v>
      </c>
      <c r="BI23" s="24">
        <f t="shared" si="149"/>
        <v>3.2814044432862102</v>
      </c>
      <c r="BJ23" s="24">
        <f t="shared" si="149"/>
        <v>3.7328046045035337</v>
      </c>
      <c r="BK23" s="24">
        <f t="shared" si="149"/>
        <v>3.6172780167081773</v>
      </c>
      <c r="BL23" s="24">
        <f t="shared" si="149"/>
        <v>3.7852148034191608</v>
      </c>
      <c r="BM23" s="24">
        <f t="shared" si="149"/>
        <v>3.8114199028769744</v>
      </c>
      <c r="BN23" s="24">
        <f t="shared" si="149"/>
        <v>3.9084908459613721</v>
      </c>
      <c r="BO23" s="24">
        <f t="shared" si="149"/>
        <v>3.3090879103526469</v>
      </c>
      <c r="BP23" s="24">
        <f t="shared" si="149"/>
        <v>3.7431339696160308</v>
      </c>
      <c r="BQ23" s="24">
        <f t="shared" si="149"/>
        <v>3.6604555314433598</v>
      </c>
      <c r="BR23" s="24">
        <f t="shared" ref="BR23:BX23" si="150">BQ29</f>
        <v>3.8361393419887171</v>
      </c>
      <c r="BS23" s="24">
        <f t="shared" si="150"/>
        <v>3.8826420281750598</v>
      </c>
      <c r="BT23" s="24">
        <f t="shared" si="150"/>
        <v>3.9937352765409089</v>
      </c>
      <c r="BU23" s="24">
        <f t="shared" si="150"/>
        <v>3.266465695062879</v>
      </c>
      <c r="BV23" s="24">
        <f t="shared" si="150"/>
        <v>3.7571937476672006</v>
      </c>
      <c r="BW23" s="24">
        <f t="shared" si="150"/>
        <v>3.6389229832303465</v>
      </c>
      <c r="BX23" s="55">
        <f t="shared" si="150"/>
        <v>3.3930550053099275</v>
      </c>
      <c r="BY23" s="18">
        <f t="shared" ref="BY23" si="151">BX29</f>
        <v>3.5309856341312913</v>
      </c>
      <c r="BZ23" s="24">
        <f t="shared" ref="BZ23" si="152">BY29</f>
        <v>3.4770169595817637</v>
      </c>
      <c r="CA23" s="24">
        <f t="shared" ref="CA23" si="153">BZ29</f>
        <v>3.5189979367176822</v>
      </c>
      <c r="CB23" s="24">
        <f t="shared" ref="CB23" si="154">CA29</f>
        <v>3.5130040880108777</v>
      </c>
      <c r="CC23" s="24">
        <f t="shared" ref="CC23" si="155">CB29</f>
        <v>3.5309976522254343</v>
      </c>
      <c r="CD23" s="24">
        <f t="shared" ref="CD23" si="156">CC29</f>
        <v>3.9690941319834629</v>
      </c>
      <c r="CE23" s="24">
        <f t="shared" ref="CE23" si="157">CD29</f>
        <v>3.8771391539697544</v>
      </c>
      <c r="CF23" s="24">
        <f t="shared" ref="CF23" si="158">CE29</f>
        <v>4.0502099048419158</v>
      </c>
      <c r="CG23" s="24">
        <f t="shared" ref="CG23" si="159">CF29</f>
        <v>3.2382283809123753</v>
      </c>
      <c r="CH23" s="24">
        <f t="shared" ref="CH23" si="160">CG29</f>
        <v>3.7422118254384036</v>
      </c>
      <c r="CI23" s="24">
        <f t="shared" ref="CI23" si="161">CH29</f>
        <v>3.5882127857366481</v>
      </c>
      <c r="CJ23" s="24">
        <f t="shared" ref="CJ23" si="162">CI29</f>
        <v>3.7632049881487837</v>
      </c>
      <c r="CK23" s="24">
        <f t="shared" ref="CK23" si="163">CJ29</f>
        <v>3.7737015695039742</v>
      </c>
      <c r="CL23" s="24">
        <f t="shared" ref="CL23" si="164">CK29</f>
        <v>3.8664459613876363</v>
      </c>
      <c r="CM23" s="24">
        <f t="shared" ref="CM23" si="165">CL29</f>
        <v>3.3301103526395157</v>
      </c>
      <c r="CN23" s="24">
        <f t="shared" ref="CN23" si="166">CM29</f>
        <v>3.7362769915482104</v>
      </c>
      <c r="CO23" s="24">
        <f t="shared" ref="CO23" si="167">CN29</f>
        <v>3.6711925066284974</v>
      </c>
      <c r="CP23" s="24">
        <f t="shared" ref="CP23" si="168">CO29</f>
        <v>3.8417335836229891</v>
      </c>
      <c r="CQ23" s="24">
        <f t="shared" ref="CQ23" si="169">CP29</f>
        <v>3.8944618796603785</v>
      </c>
      <c r="CR23" s="24">
        <f t="shared" ref="CR23" si="170">CQ29</f>
        <v>4.0060965661763177</v>
      </c>
      <c r="CS23" s="24">
        <f t="shared" ref="CS23" si="171">CR29</f>
        <v>3.2602850502451743</v>
      </c>
      <c r="CT23" s="24">
        <f t="shared" ref="CT23" si="172">CS29</f>
        <v>3.7591877971533685</v>
      </c>
      <c r="CU23" s="24">
        <f t="shared" ref="CU23" si="173">CT29</f>
        <v>3.6357334126418928</v>
      </c>
      <c r="CV23" s="55">
        <f t="shared" ref="CV23" si="174">CU29</f>
        <v>3.3913609718361006</v>
      </c>
      <c r="CW23" s="18">
        <f t="shared" ref="CW23" si="175">CV29</f>
        <v>3.5274475591774661</v>
      </c>
      <c r="CX23" s="24">
        <f t="shared" ref="CX23" si="176">CW29</f>
        <v>3.4733046324452537</v>
      </c>
      <c r="CY23" s="24">
        <f t="shared" ref="CY23" si="177">CX29</f>
        <v>3.5142764627498297</v>
      </c>
      <c r="CZ23" s="24">
        <f t="shared" ref="CZ23" si="178">CY29</f>
        <v>3.507690914536012</v>
      </c>
      <c r="DA23" s="24">
        <f t="shared" ref="DA23" si="179">CZ29</f>
        <v>3.5248840555813907</v>
      </c>
      <c r="DB23" s="24">
        <f t="shared" ref="DB23" si="180">DA29</f>
        <v>3.9622844740013234</v>
      </c>
      <c r="DC23" s="24">
        <f t="shared" ref="DC23" si="181">DB29</f>
        <v>3.8695812537339784</v>
      </c>
      <c r="DD23" s="24">
        <f t="shared" ref="DD23" si="182">DC29</f>
        <v>4.0419298528102736</v>
      </c>
      <c r="DE23" s="24">
        <f t="shared" ref="DE23" si="183">DD29</f>
        <v>3.2423684069281964</v>
      </c>
      <c r="DF23" s="24">
        <f t="shared" ref="DF23" si="184">DE29</f>
        <v>3.7407995761841044</v>
      </c>
      <c r="DG23" s="24">
        <f t="shared" ref="DG23" si="185">DF29</f>
        <v>3.5902344378710187</v>
      </c>
      <c r="DH23" s="24">
        <f t="shared" ref="DH23" si="186">DG29</f>
        <v>3.7641674533424303</v>
      </c>
      <c r="DI23" s="24">
        <f t="shared" ref="DI23" si="187">DH29</f>
        <v>3.7758513919215937</v>
      </c>
      <c r="DJ23" s="24">
        <f t="shared" ref="DJ23" si="188">DI29</f>
        <v>3.8686598689468803</v>
      </c>
      <c r="DK23" s="24">
        <f t="shared" ref="DK23" si="189">DJ29</f>
        <v>3.3290033988598933</v>
      </c>
      <c r="DL23" s="24">
        <f t="shared" ref="DL23" si="190">DK29</f>
        <v>3.7366331393119387</v>
      </c>
      <c r="DM23" s="24">
        <f t="shared" ref="DM23" si="191">DL29</f>
        <v>3.6706197744944675</v>
      </c>
      <c r="DN23" s="24">
        <f t="shared" ref="DN23" si="192">DM29</f>
        <v>3.8414279623117547</v>
      </c>
      <c r="DO23" s="24">
        <f t="shared" ref="DO23" si="193">DN29</f>
        <v>3.8938253738116626</v>
      </c>
      <c r="DP23" s="24">
        <f t="shared" ref="DP23" si="194">DO29</f>
        <v>4.0054281734702615</v>
      </c>
      <c r="DQ23" s="24">
        <f t="shared" ref="DQ23" si="195">DP29</f>
        <v>3.260619246598202</v>
      </c>
      <c r="DR23" s="24">
        <f t="shared" ref="DR23" si="196">DQ29</f>
        <v>3.7590798977146798</v>
      </c>
      <c r="DS23" s="24">
        <f t="shared" ref="DS23" si="197">DR29</f>
        <v>3.6359057598368882</v>
      </c>
      <c r="DT23" s="24">
        <f t="shared" ref="DT23" si="198">DS29</f>
        <v>3.3914523944520796</v>
      </c>
    </row>
    <row r="24" spans="2:124" s="2" customFormat="1" x14ac:dyDescent="0.25">
      <c r="B24" s="19" t="s">
        <v>21</v>
      </c>
      <c r="C24" s="73"/>
      <c r="D24" s="100">
        <f>10/15</f>
        <v>0.66666666666666663</v>
      </c>
      <c r="E24" s="25">
        <f t="shared" ref="E24:AJ24" si="199">IF(D41="T",-$D$24*0.5,$D$24)</f>
        <v>-0.33333333333333331</v>
      </c>
      <c r="F24" s="26">
        <f t="shared" si="199"/>
        <v>-0.33333333333333331</v>
      </c>
      <c r="G24" s="26">
        <f t="shared" si="199"/>
        <v>-0.33333333333333331</v>
      </c>
      <c r="H24" s="26">
        <f t="shared" si="199"/>
        <v>-0.33333333333333331</v>
      </c>
      <c r="I24" s="26">
        <f t="shared" si="199"/>
        <v>0.66666666666666663</v>
      </c>
      <c r="J24" s="26">
        <f t="shared" si="199"/>
        <v>0.66666666666666663</v>
      </c>
      <c r="K24" s="26">
        <f t="shared" si="199"/>
        <v>0.66666666666666663</v>
      </c>
      <c r="L24" s="26">
        <f t="shared" si="199"/>
        <v>0.66666666666666663</v>
      </c>
      <c r="M24" s="26">
        <f t="shared" si="199"/>
        <v>0.66666666666666663</v>
      </c>
      <c r="N24" s="26">
        <f t="shared" si="199"/>
        <v>0.66666666666666663</v>
      </c>
      <c r="O24" s="26">
        <f t="shared" si="199"/>
        <v>0.66666666666666663</v>
      </c>
      <c r="P24" s="26">
        <f t="shared" si="199"/>
        <v>0.66666666666666663</v>
      </c>
      <c r="Q24" s="26">
        <f t="shared" si="199"/>
        <v>0.66666666666666663</v>
      </c>
      <c r="R24" s="26">
        <f t="shared" si="199"/>
        <v>0.66666666666666663</v>
      </c>
      <c r="S24" s="26">
        <f t="shared" si="199"/>
        <v>0.66666666666666663</v>
      </c>
      <c r="T24" s="26">
        <f t="shared" si="199"/>
        <v>0.66666666666666663</v>
      </c>
      <c r="U24" s="26">
        <f t="shared" si="199"/>
        <v>0.66666666666666663</v>
      </c>
      <c r="V24" s="26">
        <f t="shared" si="199"/>
        <v>0.66666666666666663</v>
      </c>
      <c r="W24" s="26">
        <f t="shared" si="199"/>
        <v>0.66666666666666663</v>
      </c>
      <c r="X24" s="26">
        <f t="shared" si="199"/>
        <v>0.66666666666666663</v>
      </c>
      <c r="Y24" s="26">
        <f t="shared" si="199"/>
        <v>0.66666666666666663</v>
      </c>
      <c r="Z24" s="26">
        <f t="shared" si="199"/>
        <v>0.66666666666666663</v>
      </c>
      <c r="AA24" s="26">
        <f t="shared" si="199"/>
        <v>-0.33333333333333331</v>
      </c>
      <c r="AB24" s="58">
        <f t="shared" si="199"/>
        <v>-0.33333333333333331</v>
      </c>
      <c r="AC24" s="25">
        <f t="shared" si="199"/>
        <v>-0.33333333333333331</v>
      </c>
      <c r="AD24" s="26">
        <f t="shared" si="199"/>
        <v>-0.33333333333333331</v>
      </c>
      <c r="AE24" s="26">
        <f t="shared" si="199"/>
        <v>-0.33333333333333331</v>
      </c>
      <c r="AF24" s="26">
        <f t="shared" si="199"/>
        <v>-0.33333333333333331</v>
      </c>
      <c r="AG24" s="26">
        <f t="shared" si="199"/>
        <v>0.66666666666666663</v>
      </c>
      <c r="AH24" s="26">
        <f t="shared" si="199"/>
        <v>0.66666666666666663</v>
      </c>
      <c r="AI24" s="26">
        <f t="shared" si="199"/>
        <v>0.66666666666666663</v>
      </c>
      <c r="AJ24" s="26">
        <f t="shared" si="199"/>
        <v>0.66666666666666663</v>
      </c>
      <c r="AK24" s="26">
        <f t="shared" ref="AK24:BP24" si="200">IF(AJ41="T",-$D$24*0.5,$D$24)</f>
        <v>0.66666666666666663</v>
      </c>
      <c r="AL24" s="26">
        <f t="shared" si="200"/>
        <v>0.66666666666666663</v>
      </c>
      <c r="AM24" s="26">
        <f t="shared" si="200"/>
        <v>0.66666666666666663</v>
      </c>
      <c r="AN24" s="26">
        <f t="shared" si="200"/>
        <v>0.66666666666666663</v>
      </c>
      <c r="AO24" s="26">
        <f t="shared" si="200"/>
        <v>0.66666666666666663</v>
      </c>
      <c r="AP24" s="26">
        <f t="shared" si="200"/>
        <v>0.66666666666666663</v>
      </c>
      <c r="AQ24" s="26">
        <f t="shared" si="200"/>
        <v>0.66666666666666663</v>
      </c>
      <c r="AR24" s="26">
        <f t="shared" si="200"/>
        <v>0.66666666666666663</v>
      </c>
      <c r="AS24" s="26">
        <f t="shared" si="200"/>
        <v>0.66666666666666663</v>
      </c>
      <c r="AT24" s="26">
        <f t="shared" si="200"/>
        <v>0.66666666666666663</v>
      </c>
      <c r="AU24" s="26">
        <f t="shared" si="200"/>
        <v>0.66666666666666663</v>
      </c>
      <c r="AV24" s="26">
        <f t="shared" si="200"/>
        <v>0.66666666666666663</v>
      </c>
      <c r="AW24" s="26">
        <f t="shared" si="200"/>
        <v>0.66666666666666663</v>
      </c>
      <c r="AX24" s="26">
        <f t="shared" si="200"/>
        <v>-0.33333333333333331</v>
      </c>
      <c r="AY24" s="26">
        <f t="shared" si="200"/>
        <v>-0.33333333333333331</v>
      </c>
      <c r="AZ24" s="58">
        <f t="shared" si="200"/>
        <v>-0.33333333333333331</v>
      </c>
      <c r="BA24" s="25">
        <f t="shared" si="200"/>
        <v>-0.33333333333333331</v>
      </c>
      <c r="BB24" s="26">
        <f t="shared" si="200"/>
        <v>-0.33333333333333331</v>
      </c>
      <c r="BC24" s="26">
        <f t="shared" si="200"/>
        <v>-0.33333333333333331</v>
      </c>
      <c r="BD24" s="26">
        <f t="shared" si="200"/>
        <v>-0.33333333333333331</v>
      </c>
      <c r="BE24" s="26">
        <f t="shared" si="200"/>
        <v>0.66666666666666663</v>
      </c>
      <c r="BF24" s="26">
        <f t="shared" si="200"/>
        <v>0.66666666666666663</v>
      </c>
      <c r="BG24" s="26">
        <f t="shared" si="200"/>
        <v>0.66666666666666663</v>
      </c>
      <c r="BH24" s="26">
        <f t="shared" si="200"/>
        <v>0.66666666666666663</v>
      </c>
      <c r="BI24" s="26">
        <f t="shared" si="200"/>
        <v>0.66666666666666663</v>
      </c>
      <c r="BJ24" s="26">
        <f t="shared" si="200"/>
        <v>0.66666666666666663</v>
      </c>
      <c r="BK24" s="26">
        <f t="shared" si="200"/>
        <v>0.66666666666666663</v>
      </c>
      <c r="BL24" s="26">
        <f t="shared" si="200"/>
        <v>0.66666666666666663</v>
      </c>
      <c r="BM24" s="26">
        <f t="shared" si="200"/>
        <v>0.66666666666666663</v>
      </c>
      <c r="BN24" s="26">
        <f t="shared" si="200"/>
        <v>0.66666666666666663</v>
      </c>
      <c r="BO24" s="26">
        <f t="shared" si="200"/>
        <v>0.66666666666666663</v>
      </c>
      <c r="BP24" s="26">
        <f t="shared" si="200"/>
        <v>0.66666666666666663</v>
      </c>
      <c r="BQ24" s="26">
        <f t="shared" ref="BQ24:CV24" si="201">IF(BP41="T",-$D$24*0.5,$D$24)</f>
        <v>0.66666666666666663</v>
      </c>
      <c r="BR24" s="26">
        <f t="shared" si="201"/>
        <v>0.66666666666666663</v>
      </c>
      <c r="BS24" s="26">
        <f t="shared" si="201"/>
        <v>0.66666666666666663</v>
      </c>
      <c r="BT24" s="26">
        <f t="shared" si="201"/>
        <v>0.66666666666666663</v>
      </c>
      <c r="BU24" s="26">
        <f t="shared" si="201"/>
        <v>0.66666666666666663</v>
      </c>
      <c r="BV24" s="26">
        <f t="shared" si="201"/>
        <v>0.66666666666666663</v>
      </c>
      <c r="BW24" s="26">
        <f t="shared" si="201"/>
        <v>-0.33333333333333331</v>
      </c>
      <c r="BX24" s="58">
        <f t="shared" si="201"/>
        <v>-0.33333333333333331</v>
      </c>
      <c r="BY24" s="25">
        <f t="shared" si="201"/>
        <v>-0.33333333333333331</v>
      </c>
      <c r="BZ24" s="26">
        <f t="shared" si="201"/>
        <v>-0.33333333333333331</v>
      </c>
      <c r="CA24" s="26">
        <f t="shared" si="201"/>
        <v>-0.33333333333333331</v>
      </c>
      <c r="CB24" s="26">
        <f t="shared" si="201"/>
        <v>-0.33333333333333331</v>
      </c>
      <c r="CC24" s="26">
        <f t="shared" si="201"/>
        <v>0.66666666666666663</v>
      </c>
      <c r="CD24" s="26">
        <f t="shared" si="201"/>
        <v>0.66666666666666663</v>
      </c>
      <c r="CE24" s="26">
        <f t="shared" si="201"/>
        <v>0.66666666666666663</v>
      </c>
      <c r="CF24" s="26">
        <f t="shared" si="201"/>
        <v>0.66666666666666663</v>
      </c>
      <c r="CG24" s="26">
        <f t="shared" si="201"/>
        <v>0.66666666666666663</v>
      </c>
      <c r="CH24" s="26">
        <f t="shared" si="201"/>
        <v>0.66666666666666663</v>
      </c>
      <c r="CI24" s="26">
        <f t="shared" si="201"/>
        <v>0.66666666666666663</v>
      </c>
      <c r="CJ24" s="26">
        <f t="shared" si="201"/>
        <v>0.66666666666666663</v>
      </c>
      <c r="CK24" s="26">
        <f t="shared" si="201"/>
        <v>0.66666666666666663</v>
      </c>
      <c r="CL24" s="26">
        <f t="shared" si="201"/>
        <v>0.66666666666666663</v>
      </c>
      <c r="CM24" s="26">
        <f t="shared" si="201"/>
        <v>0.66666666666666663</v>
      </c>
      <c r="CN24" s="26">
        <f t="shared" si="201"/>
        <v>0.66666666666666663</v>
      </c>
      <c r="CO24" s="26">
        <f t="shared" si="201"/>
        <v>0.66666666666666663</v>
      </c>
      <c r="CP24" s="26">
        <f t="shared" si="201"/>
        <v>0.66666666666666663</v>
      </c>
      <c r="CQ24" s="26">
        <f t="shared" si="201"/>
        <v>0.66666666666666663</v>
      </c>
      <c r="CR24" s="26">
        <f t="shared" si="201"/>
        <v>0.66666666666666663</v>
      </c>
      <c r="CS24" s="26">
        <f t="shared" si="201"/>
        <v>0.66666666666666663</v>
      </c>
      <c r="CT24" s="26">
        <f t="shared" si="201"/>
        <v>0.66666666666666663</v>
      </c>
      <c r="CU24" s="26">
        <f t="shared" si="201"/>
        <v>-0.33333333333333331</v>
      </c>
      <c r="CV24" s="58">
        <f t="shared" si="201"/>
        <v>-0.33333333333333331</v>
      </c>
      <c r="CW24" s="25">
        <f t="shared" ref="CW24:DT24" si="202">IF(CV41="T",-$D$24*0.5,$D$24)</f>
        <v>-0.33333333333333331</v>
      </c>
      <c r="CX24" s="26">
        <f t="shared" si="202"/>
        <v>-0.33333333333333331</v>
      </c>
      <c r="CY24" s="26">
        <f t="shared" si="202"/>
        <v>-0.33333333333333331</v>
      </c>
      <c r="CZ24" s="26">
        <f t="shared" si="202"/>
        <v>-0.33333333333333331</v>
      </c>
      <c r="DA24" s="26">
        <f t="shared" si="202"/>
        <v>0.66666666666666663</v>
      </c>
      <c r="DB24" s="26">
        <f t="shared" si="202"/>
        <v>0.66666666666666663</v>
      </c>
      <c r="DC24" s="26">
        <f t="shared" si="202"/>
        <v>0.66666666666666663</v>
      </c>
      <c r="DD24" s="26">
        <f t="shared" si="202"/>
        <v>0.66666666666666663</v>
      </c>
      <c r="DE24" s="26">
        <f t="shared" si="202"/>
        <v>0.66666666666666663</v>
      </c>
      <c r="DF24" s="26">
        <f t="shared" si="202"/>
        <v>0.66666666666666663</v>
      </c>
      <c r="DG24" s="26">
        <f t="shared" si="202"/>
        <v>0.66666666666666663</v>
      </c>
      <c r="DH24" s="26">
        <f t="shared" si="202"/>
        <v>0.66666666666666663</v>
      </c>
      <c r="DI24" s="26">
        <f t="shared" si="202"/>
        <v>0.66666666666666663</v>
      </c>
      <c r="DJ24" s="26">
        <f t="shared" si="202"/>
        <v>0.66666666666666663</v>
      </c>
      <c r="DK24" s="26">
        <f t="shared" si="202"/>
        <v>0.66666666666666663</v>
      </c>
      <c r="DL24" s="26">
        <f t="shared" si="202"/>
        <v>0.66666666666666663</v>
      </c>
      <c r="DM24" s="26">
        <f t="shared" si="202"/>
        <v>0.66666666666666663</v>
      </c>
      <c r="DN24" s="26">
        <f t="shared" si="202"/>
        <v>0.66666666666666663</v>
      </c>
      <c r="DO24" s="26">
        <f t="shared" si="202"/>
        <v>0.66666666666666663</v>
      </c>
      <c r="DP24" s="26">
        <f t="shared" si="202"/>
        <v>0.66666666666666663</v>
      </c>
      <c r="DQ24" s="26">
        <f t="shared" si="202"/>
        <v>0.66666666666666663</v>
      </c>
      <c r="DR24" s="26">
        <f t="shared" si="202"/>
        <v>0.66666666666666663</v>
      </c>
      <c r="DS24" s="26">
        <f t="shared" si="202"/>
        <v>-0.33333333333333331</v>
      </c>
      <c r="DT24" s="26">
        <f t="shared" si="202"/>
        <v>-0.33333333333333331</v>
      </c>
    </row>
    <row r="25" spans="2:124" s="11" customFormat="1" x14ac:dyDescent="0.25">
      <c r="B25" s="27" t="s">
        <v>13</v>
      </c>
      <c r="C25" s="73"/>
      <c r="D25" s="100">
        <v>-0.2</v>
      </c>
      <c r="E25" s="28">
        <f>IF(D41="T",-0.2,0.1)</f>
        <v>-0.2</v>
      </c>
      <c r="F25" s="11">
        <f t="shared" ref="F25:BQ25" si="203">IF(E41="T",-0.2,0.1)</f>
        <v>-0.2</v>
      </c>
      <c r="G25" s="11">
        <f t="shared" si="203"/>
        <v>-0.2</v>
      </c>
      <c r="H25" s="11">
        <f t="shared" si="203"/>
        <v>-0.2</v>
      </c>
      <c r="I25" s="11">
        <f t="shared" si="203"/>
        <v>0.1</v>
      </c>
      <c r="J25" s="11">
        <f t="shared" si="203"/>
        <v>0.1</v>
      </c>
      <c r="K25" s="11">
        <f t="shared" si="203"/>
        <v>0.1</v>
      </c>
      <c r="L25" s="11">
        <f t="shared" si="203"/>
        <v>0.1</v>
      </c>
      <c r="M25" s="11">
        <f t="shared" si="203"/>
        <v>0.1</v>
      </c>
      <c r="N25" s="11">
        <f t="shared" si="203"/>
        <v>0.1</v>
      </c>
      <c r="O25" s="11">
        <f t="shared" si="203"/>
        <v>0.1</v>
      </c>
      <c r="P25" s="11">
        <f t="shared" si="203"/>
        <v>0.1</v>
      </c>
      <c r="Q25" s="11">
        <f t="shared" si="203"/>
        <v>0.1</v>
      </c>
      <c r="R25" s="11">
        <f t="shared" si="203"/>
        <v>0.1</v>
      </c>
      <c r="S25" s="11">
        <f t="shared" si="203"/>
        <v>0.1</v>
      </c>
      <c r="T25" s="11">
        <f t="shared" si="203"/>
        <v>0.1</v>
      </c>
      <c r="U25" s="11">
        <f t="shared" si="203"/>
        <v>0.1</v>
      </c>
      <c r="V25" s="11">
        <f t="shared" si="203"/>
        <v>0.1</v>
      </c>
      <c r="W25" s="11">
        <f t="shared" si="203"/>
        <v>0.1</v>
      </c>
      <c r="X25" s="11">
        <f t="shared" si="203"/>
        <v>0.1</v>
      </c>
      <c r="Y25" s="11">
        <f t="shared" si="203"/>
        <v>0.1</v>
      </c>
      <c r="Z25" s="11">
        <f t="shared" si="203"/>
        <v>0.1</v>
      </c>
      <c r="AA25" s="11">
        <f t="shared" si="203"/>
        <v>-0.2</v>
      </c>
      <c r="AB25" s="59">
        <f t="shared" si="203"/>
        <v>-0.2</v>
      </c>
      <c r="AC25" s="28">
        <f t="shared" si="203"/>
        <v>-0.2</v>
      </c>
      <c r="AD25" s="11">
        <f t="shared" si="203"/>
        <v>-0.2</v>
      </c>
      <c r="AE25" s="11">
        <f t="shared" si="203"/>
        <v>-0.2</v>
      </c>
      <c r="AF25" s="11">
        <f t="shared" si="203"/>
        <v>-0.2</v>
      </c>
      <c r="AG25" s="11">
        <f t="shared" si="203"/>
        <v>0.1</v>
      </c>
      <c r="AH25" s="11">
        <f t="shared" si="203"/>
        <v>0.1</v>
      </c>
      <c r="AI25" s="11">
        <f t="shared" si="203"/>
        <v>0.1</v>
      </c>
      <c r="AJ25" s="11">
        <f t="shared" si="203"/>
        <v>0.1</v>
      </c>
      <c r="AK25" s="11">
        <f t="shared" si="203"/>
        <v>0.1</v>
      </c>
      <c r="AL25" s="11">
        <f t="shared" si="203"/>
        <v>0.1</v>
      </c>
      <c r="AM25" s="11">
        <f t="shared" si="203"/>
        <v>0.1</v>
      </c>
      <c r="AN25" s="11">
        <f t="shared" si="203"/>
        <v>0.1</v>
      </c>
      <c r="AO25" s="11">
        <f t="shared" si="203"/>
        <v>0.1</v>
      </c>
      <c r="AP25" s="11">
        <f t="shared" si="203"/>
        <v>0.1</v>
      </c>
      <c r="AQ25" s="11">
        <f t="shared" si="203"/>
        <v>0.1</v>
      </c>
      <c r="AR25" s="11">
        <f t="shared" si="203"/>
        <v>0.1</v>
      </c>
      <c r="AS25" s="11">
        <f t="shared" si="203"/>
        <v>0.1</v>
      </c>
      <c r="AT25" s="11">
        <f t="shared" si="203"/>
        <v>0.1</v>
      </c>
      <c r="AU25" s="11">
        <f t="shared" si="203"/>
        <v>0.1</v>
      </c>
      <c r="AV25" s="11">
        <f t="shared" si="203"/>
        <v>0.1</v>
      </c>
      <c r="AW25" s="11">
        <f t="shared" si="203"/>
        <v>0.1</v>
      </c>
      <c r="AX25" s="11">
        <f t="shared" si="203"/>
        <v>-0.2</v>
      </c>
      <c r="AY25" s="11">
        <f t="shared" si="203"/>
        <v>-0.2</v>
      </c>
      <c r="AZ25" s="59">
        <f t="shared" si="203"/>
        <v>-0.2</v>
      </c>
      <c r="BA25" s="28">
        <f t="shared" si="203"/>
        <v>-0.2</v>
      </c>
      <c r="BB25" s="11">
        <f t="shared" si="203"/>
        <v>-0.2</v>
      </c>
      <c r="BC25" s="11">
        <f t="shared" si="203"/>
        <v>-0.2</v>
      </c>
      <c r="BD25" s="11">
        <f t="shared" si="203"/>
        <v>-0.2</v>
      </c>
      <c r="BE25" s="11">
        <f t="shared" si="203"/>
        <v>0.1</v>
      </c>
      <c r="BF25" s="11">
        <f t="shared" si="203"/>
        <v>0.1</v>
      </c>
      <c r="BG25" s="11">
        <f t="shared" si="203"/>
        <v>0.1</v>
      </c>
      <c r="BH25" s="11">
        <f t="shared" si="203"/>
        <v>0.1</v>
      </c>
      <c r="BI25" s="11">
        <f t="shared" si="203"/>
        <v>0.1</v>
      </c>
      <c r="BJ25" s="11">
        <f t="shared" si="203"/>
        <v>0.1</v>
      </c>
      <c r="BK25" s="11">
        <f t="shared" si="203"/>
        <v>0.1</v>
      </c>
      <c r="BL25" s="11">
        <f t="shared" si="203"/>
        <v>0.1</v>
      </c>
      <c r="BM25" s="11">
        <f t="shared" si="203"/>
        <v>0.1</v>
      </c>
      <c r="BN25" s="11">
        <f t="shared" si="203"/>
        <v>0.1</v>
      </c>
      <c r="BO25" s="11">
        <f t="shared" si="203"/>
        <v>0.1</v>
      </c>
      <c r="BP25" s="11">
        <f t="shared" si="203"/>
        <v>0.1</v>
      </c>
      <c r="BQ25" s="11">
        <f t="shared" si="203"/>
        <v>0.1</v>
      </c>
      <c r="BR25" s="11">
        <f t="shared" ref="BR25:CV25" si="204">IF(BQ41="T",-0.2,0.1)</f>
        <v>0.1</v>
      </c>
      <c r="BS25" s="11">
        <f t="shared" si="204"/>
        <v>0.1</v>
      </c>
      <c r="BT25" s="11">
        <f t="shared" si="204"/>
        <v>0.1</v>
      </c>
      <c r="BU25" s="11">
        <f t="shared" si="204"/>
        <v>0.1</v>
      </c>
      <c r="BV25" s="11">
        <f t="shared" si="204"/>
        <v>0.1</v>
      </c>
      <c r="BW25" s="11">
        <f t="shared" si="204"/>
        <v>-0.2</v>
      </c>
      <c r="BX25" s="59">
        <f t="shared" si="204"/>
        <v>-0.2</v>
      </c>
      <c r="BY25" s="28">
        <f t="shared" si="204"/>
        <v>-0.2</v>
      </c>
      <c r="BZ25" s="11">
        <f t="shared" si="204"/>
        <v>-0.2</v>
      </c>
      <c r="CA25" s="11">
        <f t="shared" si="204"/>
        <v>-0.2</v>
      </c>
      <c r="CB25" s="11">
        <f t="shared" si="204"/>
        <v>-0.2</v>
      </c>
      <c r="CC25" s="11">
        <f t="shared" si="204"/>
        <v>0.1</v>
      </c>
      <c r="CD25" s="11">
        <f t="shared" si="204"/>
        <v>0.1</v>
      </c>
      <c r="CE25" s="11">
        <f t="shared" si="204"/>
        <v>0.1</v>
      </c>
      <c r="CF25" s="11">
        <f t="shared" si="204"/>
        <v>0.1</v>
      </c>
      <c r="CG25" s="11">
        <f t="shared" si="204"/>
        <v>0.1</v>
      </c>
      <c r="CH25" s="11">
        <f t="shared" si="204"/>
        <v>0.1</v>
      </c>
      <c r="CI25" s="11">
        <f t="shared" si="204"/>
        <v>0.1</v>
      </c>
      <c r="CJ25" s="11">
        <f t="shared" si="204"/>
        <v>0.1</v>
      </c>
      <c r="CK25" s="11">
        <f t="shared" si="204"/>
        <v>0.1</v>
      </c>
      <c r="CL25" s="11">
        <f t="shared" si="204"/>
        <v>0.1</v>
      </c>
      <c r="CM25" s="11">
        <f t="shared" si="204"/>
        <v>0.1</v>
      </c>
      <c r="CN25" s="11">
        <f t="shared" si="204"/>
        <v>0.1</v>
      </c>
      <c r="CO25" s="11">
        <f t="shared" si="204"/>
        <v>0.1</v>
      </c>
      <c r="CP25" s="11">
        <f t="shared" si="204"/>
        <v>0.1</v>
      </c>
      <c r="CQ25" s="11">
        <f t="shared" si="204"/>
        <v>0.1</v>
      </c>
      <c r="CR25" s="11">
        <f t="shared" si="204"/>
        <v>0.1</v>
      </c>
      <c r="CS25" s="11">
        <f t="shared" si="204"/>
        <v>0.1</v>
      </c>
      <c r="CT25" s="11">
        <f t="shared" si="204"/>
        <v>0.1</v>
      </c>
      <c r="CU25" s="11">
        <f t="shared" si="204"/>
        <v>-0.2</v>
      </c>
      <c r="CV25" s="59">
        <f t="shared" si="204"/>
        <v>-0.2</v>
      </c>
      <c r="CW25" s="28">
        <f t="shared" ref="CW25:DT25" si="205">IF(CV41="T",-0.2,0.1)</f>
        <v>-0.2</v>
      </c>
      <c r="CX25" s="11">
        <f t="shared" si="205"/>
        <v>-0.2</v>
      </c>
      <c r="CY25" s="11">
        <f t="shared" si="205"/>
        <v>-0.2</v>
      </c>
      <c r="CZ25" s="11">
        <f t="shared" si="205"/>
        <v>-0.2</v>
      </c>
      <c r="DA25" s="11">
        <f t="shared" si="205"/>
        <v>0.1</v>
      </c>
      <c r="DB25" s="11">
        <f t="shared" si="205"/>
        <v>0.1</v>
      </c>
      <c r="DC25" s="11">
        <f t="shared" si="205"/>
        <v>0.1</v>
      </c>
      <c r="DD25" s="11">
        <f t="shared" si="205"/>
        <v>0.1</v>
      </c>
      <c r="DE25" s="11">
        <f t="shared" si="205"/>
        <v>0.1</v>
      </c>
      <c r="DF25" s="11">
        <f t="shared" si="205"/>
        <v>0.1</v>
      </c>
      <c r="DG25" s="11">
        <f t="shared" si="205"/>
        <v>0.1</v>
      </c>
      <c r="DH25" s="11">
        <f t="shared" si="205"/>
        <v>0.1</v>
      </c>
      <c r="DI25" s="11">
        <f t="shared" si="205"/>
        <v>0.1</v>
      </c>
      <c r="DJ25" s="11">
        <f t="shared" si="205"/>
        <v>0.1</v>
      </c>
      <c r="DK25" s="11">
        <f t="shared" si="205"/>
        <v>0.1</v>
      </c>
      <c r="DL25" s="11">
        <f t="shared" si="205"/>
        <v>0.1</v>
      </c>
      <c r="DM25" s="11">
        <f t="shared" si="205"/>
        <v>0.1</v>
      </c>
      <c r="DN25" s="11">
        <f t="shared" si="205"/>
        <v>0.1</v>
      </c>
      <c r="DO25" s="11">
        <f t="shared" si="205"/>
        <v>0.1</v>
      </c>
      <c r="DP25" s="11">
        <f t="shared" si="205"/>
        <v>0.1</v>
      </c>
      <c r="DQ25" s="11">
        <f t="shared" si="205"/>
        <v>0.1</v>
      </c>
      <c r="DR25" s="11">
        <f t="shared" si="205"/>
        <v>0.1</v>
      </c>
      <c r="DS25" s="11">
        <f t="shared" si="205"/>
        <v>-0.2</v>
      </c>
      <c r="DT25" s="11">
        <f t="shared" si="205"/>
        <v>-0.2</v>
      </c>
    </row>
    <row r="26" spans="2:124" x14ac:dyDescent="0.25">
      <c r="B26" s="3" t="s">
        <v>14</v>
      </c>
      <c r="D26" s="100">
        <v>1</v>
      </c>
      <c r="E26" s="29">
        <v>1.06</v>
      </c>
      <c r="F26" s="30">
        <v>1.06</v>
      </c>
      <c r="G26" s="30">
        <v>1.06</v>
      </c>
      <c r="H26" s="30">
        <v>1.06</v>
      </c>
      <c r="I26" s="30">
        <v>1.06</v>
      </c>
      <c r="J26" s="30">
        <v>1.06</v>
      </c>
      <c r="K26" s="30">
        <v>1.06</v>
      </c>
      <c r="L26" s="30">
        <v>1.06</v>
      </c>
      <c r="M26" s="30">
        <v>1.06</v>
      </c>
      <c r="N26" s="30">
        <v>1.06</v>
      </c>
      <c r="O26" s="30">
        <v>1.06</v>
      </c>
      <c r="P26" s="30">
        <v>1.06</v>
      </c>
      <c r="Q26" s="30">
        <v>1.06</v>
      </c>
      <c r="R26" s="30">
        <v>1.06</v>
      </c>
      <c r="S26" s="30">
        <v>1.06</v>
      </c>
      <c r="T26" s="30">
        <v>1.06</v>
      </c>
      <c r="U26" s="30">
        <v>1.06</v>
      </c>
      <c r="V26" s="30">
        <v>1.06</v>
      </c>
      <c r="W26" s="30">
        <v>1.06</v>
      </c>
      <c r="X26" s="30">
        <v>1.06</v>
      </c>
      <c r="Y26" s="30">
        <v>1.06</v>
      </c>
      <c r="Z26" s="30">
        <v>1.06</v>
      </c>
      <c r="AA26" s="30">
        <v>1.06</v>
      </c>
      <c r="AB26" s="60">
        <v>1.06</v>
      </c>
      <c r="AC26" s="29">
        <v>1.06</v>
      </c>
      <c r="AD26" s="30">
        <v>1.06</v>
      </c>
      <c r="AE26" s="30">
        <v>1.06</v>
      </c>
      <c r="AF26" s="30">
        <v>1.06</v>
      </c>
      <c r="AG26" s="30">
        <v>1.06</v>
      </c>
      <c r="AH26" s="30">
        <v>1.06</v>
      </c>
      <c r="AI26" s="30">
        <v>1.06</v>
      </c>
      <c r="AJ26" s="30">
        <v>1.06</v>
      </c>
      <c r="AK26" s="30">
        <v>1.06</v>
      </c>
      <c r="AL26" s="30">
        <v>1.06</v>
      </c>
      <c r="AM26" s="30">
        <v>1.06</v>
      </c>
      <c r="AN26" s="30">
        <v>1.06</v>
      </c>
      <c r="AO26" s="30">
        <v>1.06</v>
      </c>
      <c r="AP26" s="30">
        <v>1.06</v>
      </c>
      <c r="AQ26" s="30">
        <v>1.06</v>
      </c>
      <c r="AR26" s="30">
        <v>1.06</v>
      </c>
      <c r="AS26" s="30">
        <v>1.06</v>
      </c>
      <c r="AT26" s="30">
        <v>1.06</v>
      </c>
      <c r="AU26" s="30">
        <v>1.06</v>
      </c>
      <c r="AV26" s="30">
        <v>1.06</v>
      </c>
      <c r="AW26" s="30">
        <v>1.06</v>
      </c>
      <c r="AX26" s="30">
        <v>1.06</v>
      </c>
      <c r="AY26" s="30">
        <v>1.06</v>
      </c>
      <c r="AZ26" s="60">
        <v>1.06</v>
      </c>
      <c r="BA26" s="29">
        <v>1.06</v>
      </c>
      <c r="BB26" s="30">
        <v>1.06</v>
      </c>
      <c r="BC26" s="30">
        <v>1.06</v>
      </c>
      <c r="BD26" s="30">
        <v>1.06</v>
      </c>
      <c r="BE26" s="30">
        <v>1.06</v>
      </c>
      <c r="BF26" s="30">
        <v>1.06</v>
      </c>
      <c r="BG26" s="30">
        <v>1.06</v>
      </c>
      <c r="BH26" s="30">
        <v>1.06</v>
      </c>
      <c r="BI26" s="30">
        <v>1.06</v>
      </c>
      <c r="BJ26" s="30">
        <v>1.06</v>
      </c>
      <c r="BK26" s="30">
        <v>1.06</v>
      </c>
      <c r="BL26" s="30">
        <v>1.06</v>
      </c>
      <c r="BM26" s="30">
        <v>1.06</v>
      </c>
      <c r="BN26" s="30">
        <v>1.06</v>
      </c>
      <c r="BO26" s="30">
        <v>1.06</v>
      </c>
      <c r="BP26" s="30">
        <v>1.06</v>
      </c>
      <c r="BQ26" s="30">
        <v>1.06</v>
      </c>
      <c r="BR26" s="30">
        <v>1.06</v>
      </c>
      <c r="BS26" s="30">
        <v>1.06</v>
      </c>
      <c r="BT26" s="30">
        <v>1.06</v>
      </c>
      <c r="BU26" s="30">
        <v>1.06</v>
      </c>
      <c r="BV26" s="30">
        <v>1.06</v>
      </c>
      <c r="BW26" s="30">
        <v>1.06</v>
      </c>
      <c r="BX26" s="60">
        <v>1.06</v>
      </c>
      <c r="BY26" s="29">
        <v>1.06</v>
      </c>
      <c r="BZ26" s="30">
        <v>1.06</v>
      </c>
      <c r="CA26" s="30">
        <v>1.06</v>
      </c>
      <c r="CB26" s="30">
        <v>1.06</v>
      </c>
      <c r="CC26" s="30">
        <v>1.06</v>
      </c>
      <c r="CD26" s="30">
        <v>1.06</v>
      </c>
      <c r="CE26" s="30">
        <v>1.06</v>
      </c>
      <c r="CF26" s="30">
        <v>1.06</v>
      </c>
      <c r="CG26" s="30">
        <v>1.06</v>
      </c>
      <c r="CH26" s="30">
        <v>1.06</v>
      </c>
      <c r="CI26" s="30">
        <v>1.06</v>
      </c>
      <c r="CJ26" s="30">
        <v>1.06</v>
      </c>
      <c r="CK26" s="30">
        <v>1.06</v>
      </c>
      <c r="CL26" s="30">
        <v>1.06</v>
      </c>
      <c r="CM26" s="30">
        <v>1.06</v>
      </c>
      <c r="CN26" s="30">
        <v>1.06</v>
      </c>
      <c r="CO26" s="30">
        <v>1.06</v>
      </c>
      <c r="CP26" s="30">
        <v>1.06</v>
      </c>
      <c r="CQ26" s="30">
        <v>1.06</v>
      </c>
      <c r="CR26" s="30">
        <v>1.06</v>
      </c>
      <c r="CS26" s="30">
        <v>1.06</v>
      </c>
      <c r="CT26" s="30">
        <v>1.06</v>
      </c>
      <c r="CU26" s="30">
        <v>1.06</v>
      </c>
      <c r="CV26" s="60">
        <v>1.06</v>
      </c>
      <c r="CW26" s="29">
        <v>1.06</v>
      </c>
      <c r="CX26" s="30">
        <v>1.06</v>
      </c>
      <c r="CY26" s="30">
        <v>1.06</v>
      </c>
      <c r="CZ26" s="30">
        <v>1.06</v>
      </c>
      <c r="DA26" s="30">
        <v>1.06</v>
      </c>
      <c r="DB26" s="30">
        <v>1.06</v>
      </c>
      <c r="DC26" s="30">
        <v>1.06</v>
      </c>
      <c r="DD26" s="30">
        <v>1.06</v>
      </c>
      <c r="DE26" s="30">
        <v>1.06</v>
      </c>
      <c r="DF26" s="30">
        <v>1.06</v>
      </c>
      <c r="DG26" s="30">
        <v>1.06</v>
      </c>
      <c r="DH26" s="30">
        <v>1.06</v>
      </c>
      <c r="DI26" s="30">
        <v>1.06</v>
      </c>
      <c r="DJ26" s="30">
        <v>1.06</v>
      </c>
      <c r="DK26" s="30">
        <v>1.06</v>
      </c>
      <c r="DL26" s="30">
        <v>1.06</v>
      </c>
      <c r="DM26" s="30">
        <v>1.06</v>
      </c>
      <c r="DN26" s="30">
        <v>1.06</v>
      </c>
      <c r="DO26" s="30">
        <v>1.06</v>
      </c>
      <c r="DP26" s="30">
        <v>1.06</v>
      </c>
      <c r="DQ26" s="30">
        <v>1.06</v>
      </c>
      <c r="DR26" s="30">
        <v>1.06</v>
      </c>
      <c r="DS26" s="30">
        <v>1.06</v>
      </c>
      <c r="DT26" s="30">
        <v>1.06</v>
      </c>
    </row>
    <row r="27" spans="2:124" x14ac:dyDescent="0.25">
      <c r="B27" s="3" t="s">
        <v>15</v>
      </c>
      <c r="D27" s="100">
        <f>D23+(D24*D26)+D25</f>
        <v>6.4666666666666668</v>
      </c>
      <c r="E27" s="29">
        <f t="shared" ref="E27:BP27" si="206">E23+(E24*E26)+E25</f>
        <v>6.58</v>
      </c>
      <c r="F27" s="30">
        <f t="shared" si="206"/>
        <v>1.5743004300165664</v>
      </c>
      <c r="G27" s="30">
        <f t="shared" si="206"/>
        <v>5.3971391163120916</v>
      </c>
      <c r="H27" s="30">
        <f t="shared" si="206"/>
        <v>3.5899351911677257</v>
      </c>
      <c r="I27" s="30">
        <f t="shared" si="206"/>
        <v>5.9577525717433053</v>
      </c>
      <c r="J27" s="30">
        <f t="shared" si="206"/>
        <v>5.9901559214630646</v>
      </c>
      <c r="K27" s="30">
        <f t="shared" si="206"/>
        <v>6.1902662866107327</v>
      </c>
      <c r="L27" s="30">
        <f t="shared" si="206"/>
        <v>6.3065231440444469</v>
      </c>
      <c r="M27" s="30">
        <f t="shared" si="206"/>
        <v>3.3200717613111093</v>
      </c>
      <c r="N27" s="30">
        <f t="shared" si="206"/>
        <v>4.852746051470004</v>
      </c>
      <c r="O27" s="30">
        <f t="shared" si="206"/>
        <v>4.1258575051827791</v>
      </c>
      <c r="P27" s="30">
        <f t="shared" si="206"/>
        <v>4.5287503771186159</v>
      </c>
      <c r="Q27" s="30">
        <f t="shared" si="206"/>
        <v>4.3667525399429223</v>
      </c>
      <c r="R27" s="30">
        <f t="shared" si="206"/>
        <v>4.487200057322994</v>
      </c>
      <c r="S27" s="30">
        <f t="shared" si="206"/>
        <v>4.4664248974251821</v>
      </c>
      <c r="T27" s="30">
        <f t="shared" si="206"/>
        <v>4.2401208846207421</v>
      </c>
      <c r="U27" s="30">
        <f t="shared" si="206"/>
        <v>4.4876457266995038</v>
      </c>
      <c r="V27" s="30">
        <f t="shared" si="206"/>
        <v>4.4982561413366664</v>
      </c>
      <c r="W27" s="30">
        <f t="shared" si="206"/>
        <v>4.6273237696946268</v>
      </c>
      <c r="X27" s="30">
        <f t="shared" si="206"/>
        <v>4.6971627911921896</v>
      </c>
      <c r="Y27" s="30">
        <f t="shared" si="206"/>
        <v>4.1247519377372379</v>
      </c>
      <c r="Z27" s="30">
        <f t="shared" si="206"/>
        <v>4.5479535356172889</v>
      </c>
      <c r="AA27" s="30">
        <f t="shared" si="206"/>
        <v>3.1133489078298395</v>
      </c>
      <c r="AB27" s="60">
        <f t="shared" si="206"/>
        <v>2.8555507708719872</v>
      </c>
      <c r="AC27" s="29">
        <f t="shared" si="206"/>
        <v>3.0093493884993374</v>
      </c>
      <c r="AD27" s="30">
        <f t="shared" si="206"/>
        <v>2.9573496288340855</v>
      </c>
      <c r="AE27" s="30">
        <f t="shared" si="206"/>
        <v>3.0082490578151355</v>
      </c>
      <c r="AF27" s="30">
        <f t="shared" si="206"/>
        <v>3.0076988924730341</v>
      </c>
      <c r="AG27" s="30">
        <f t="shared" si="206"/>
        <v>4.3928735242925079</v>
      </c>
      <c r="AH27" s="30">
        <f t="shared" si="206"/>
        <v>4.8372823795353472</v>
      </c>
      <c r="AI27" s="30">
        <f t="shared" si="206"/>
        <v>4.7520741230665022</v>
      </c>
      <c r="AJ27" s="30">
        <f t="shared" si="206"/>
        <v>4.9316744224535016</v>
      </c>
      <c r="AK27" s="30">
        <f t="shared" si="206"/>
        <v>4.0074961221065823</v>
      </c>
      <c r="AL27" s="30">
        <f t="shared" si="206"/>
        <v>4.5616362092689373</v>
      </c>
      <c r="AM27" s="30">
        <f t="shared" si="206"/>
        <v>4.376617102676656</v>
      </c>
      <c r="AN27" s="30">
        <f t="shared" si="206"/>
        <v>4.5611775929616938</v>
      </c>
      <c r="AO27" s="30">
        <f t="shared" si="206"/>
        <v>4.5609482848080702</v>
      </c>
      <c r="AP27" s="30">
        <f t="shared" si="206"/>
        <v>4.6531138758737791</v>
      </c>
      <c r="AQ27" s="30">
        <f t="shared" si="206"/>
        <v>4.1467763953964436</v>
      </c>
      <c r="AR27" s="30">
        <f t="shared" si="206"/>
        <v>4.5397264938414548</v>
      </c>
      <c r="AS27" s="30">
        <f t="shared" si="206"/>
        <v>4.483032802825293</v>
      </c>
      <c r="AT27" s="30">
        <f t="shared" si="206"/>
        <v>4.6511610065397164</v>
      </c>
      <c r="AU27" s="30">
        <f t="shared" si="206"/>
        <v>4.706878262888849</v>
      </c>
      <c r="AV27" s="30">
        <f t="shared" si="206"/>
        <v>4.8188009929206279</v>
      </c>
      <c r="AW27" s="30">
        <f t="shared" si="206"/>
        <v>4.0639328368730183</v>
      </c>
      <c r="AX27" s="30">
        <f t="shared" si="206"/>
        <v>3.2068291467379333</v>
      </c>
      <c r="AY27" s="30">
        <f t="shared" si="206"/>
        <v>2.6487466016424341</v>
      </c>
      <c r="AZ27" s="60">
        <f t="shared" si="206"/>
        <v>2.9411534840271405</v>
      </c>
      <c r="BA27" s="29">
        <f t="shared" si="206"/>
        <v>2.8083156526717468</v>
      </c>
      <c r="BB27" s="30">
        <f t="shared" si="206"/>
        <v>2.8881001781864009</v>
      </c>
      <c r="BC27" s="30">
        <f t="shared" si="206"/>
        <v>2.8615735252660319</v>
      </c>
      <c r="BD27" s="30">
        <f t="shared" si="206"/>
        <v>2.8882024615631745</v>
      </c>
      <c r="BE27" s="30">
        <f t="shared" si="206"/>
        <v>4.2482536032515599</v>
      </c>
      <c r="BF27" s="30">
        <f t="shared" si="206"/>
        <v>4.6936902642484775</v>
      </c>
      <c r="BG27" s="30">
        <f t="shared" si="206"/>
        <v>4.5964341655911278</v>
      </c>
      <c r="BH27" s="30">
        <f t="shared" si="206"/>
        <v>4.7705244467609127</v>
      </c>
      <c r="BI27" s="30">
        <f t="shared" si="206"/>
        <v>4.0880711099528764</v>
      </c>
      <c r="BJ27" s="30">
        <f t="shared" si="206"/>
        <v>4.5394712711701999</v>
      </c>
      <c r="BK27" s="30">
        <f t="shared" si="206"/>
        <v>4.4239446833748435</v>
      </c>
      <c r="BL27" s="30">
        <f t="shared" si="206"/>
        <v>4.591881470085827</v>
      </c>
      <c r="BM27" s="30">
        <f t="shared" si="206"/>
        <v>4.6180865695436406</v>
      </c>
      <c r="BN27" s="30">
        <f t="shared" si="206"/>
        <v>4.7151575126280383</v>
      </c>
      <c r="BO27" s="30">
        <f t="shared" si="206"/>
        <v>4.1157545770193131</v>
      </c>
      <c r="BP27" s="30">
        <f t="shared" si="206"/>
        <v>4.549800636282697</v>
      </c>
      <c r="BQ27" s="30">
        <f t="shared" ref="BQ27:CN27" si="207">BQ23+(BQ24*BQ26)+BQ25</f>
        <v>4.467122198110026</v>
      </c>
      <c r="BR27" s="30">
        <f t="shared" si="207"/>
        <v>4.6428060086553833</v>
      </c>
      <c r="BS27" s="30">
        <f t="shared" si="207"/>
        <v>4.689308694841726</v>
      </c>
      <c r="BT27" s="30">
        <f t="shared" si="207"/>
        <v>4.8004019432075751</v>
      </c>
      <c r="BU27" s="30">
        <f t="shared" si="207"/>
        <v>4.0731323617295452</v>
      </c>
      <c r="BV27" s="30">
        <f t="shared" si="207"/>
        <v>4.5638604143338668</v>
      </c>
      <c r="BW27" s="30">
        <f t="shared" si="207"/>
        <v>3.0855896498970128</v>
      </c>
      <c r="BX27" s="60">
        <f t="shared" si="207"/>
        <v>2.8397216719765939</v>
      </c>
      <c r="BY27" s="29">
        <f t="shared" si="207"/>
        <v>2.9776523007979576</v>
      </c>
      <c r="BZ27" s="30">
        <f t="shared" si="207"/>
        <v>2.92368362624843</v>
      </c>
      <c r="CA27" s="30">
        <f t="shared" si="207"/>
        <v>2.9656646033843486</v>
      </c>
      <c r="CB27" s="30">
        <f t="shared" si="207"/>
        <v>2.959670754677544</v>
      </c>
      <c r="CC27" s="30">
        <f t="shared" si="207"/>
        <v>4.3376643188921005</v>
      </c>
      <c r="CD27" s="30">
        <f t="shared" si="207"/>
        <v>4.7757607986501291</v>
      </c>
      <c r="CE27" s="30">
        <f t="shared" si="207"/>
        <v>4.6838058206364206</v>
      </c>
      <c r="CF27" s="30">
        <f t="shared" si="207"/>
        <v>4.8568765715085824</v>
      </c>
      <c r="CG27" s="30">
        <f t="shared" si="207"/>
        <v>4.0448950475790415</v>
      </c>
      <c r="CH27" s="30">
        <f t="shared" si="207"/>
        <v>4.5488784921050698</v>
      </c>
      <c r="CI27" s="30">
        <f t="shared" si="207"/>
        <v>4.3948794524033143</v>
      </c>
      <c r="CJ27" s="30">
        <f t="shared" si="207"/>
        <v>4.5698716548154499</v>
      </c>
      <c r="CK27" s="30">
        <f t="shared" si="207"/>
        <v>4.5803682361706404</v>
      </c>
      <c r="CL27" s="30">
        <f t="shared" si="207"/>
        <v>4.6731126280543025</v>
      </c>
      <c r="CM27" s="30">
        <f t="shared" si="207"/>
        <v>4.1367770193061819</v>
      </c>
      <c r="CN27" s="30">
        <f t="shared" si="207"/>
        <v>4.5429436582148766</v>
      </c>
      <c r="CO27" s="30">
        <f t="shared" ref="CO27:DL27" si="208">CO23+(CO24*CO26)+CO25</f>
        <v>4.4778591732951636</v>
      </c>
      <c r="CP27" s="30">
        <f t="shared" si="208"/>
        <v>4.6484002502896553</v>
      </c>
      <c r="CQ27" s="30">
        <f t="shared" si="208"/>
        <v>4.7011285463270447</v>
      </c>
      <c r="CR27" s="30">
        <f t="shared" si="208"/>
        <v>4.8127632328429844</v>
      </c>
      <c r="CS27" s="30">
        <f t="shared" si="208"/>
        <v>4.0669517169118405</v>
      </c>
      <c r="CT27" s="30">
        <f t="shared" si="208"/>
        <v>4.5658544638200347</v>
      </c>
      <c r="CU27" s="30">
        <f t="shared" si="208"/>
        <v>3.0824000793085591</v>
      </c>
      <c r="CV27" s="60">
        <f t="shared" si="208"/>
        <v>2.838027638502767</v>
      </c>
      <c r="CW27" s="29">
        <f t="shared" si="208"/>
        <v>2.9741142258441324</v>
      </c>
      <c r="CX27" s="30">
        <f t="shared" si="208"/>
        <v>2.91997129911192</v>
      </c>
      <c r="CY27" s="30">
        <f t="shared" si="208"/>
        <v>2.9609431294164961</v>
      </c>
      <c r="CZ27" s="30">
        <f t="shared" si="208"/>
        <v>2.9543575812026783</v>
      </c>
      <c r="DA27" s="30">
        <f t="shared" si="208"/>
        <v>4.3315507222480569</v>
      </c>
      <c r="DB27" s="30">
        <f t="shared" si="208"/>
        <v>4.7689511406679896</v>
      </c>
      <c r="DC27" s="30">
        <f t="shared" si="208"/>
        <v>4.6762479204006446</v>
      </c>
      <c r="DD27" s="30">
        <f t="shared" si="208"/>
        <v>4.8485965194769403</v>
      </c>
      <c r="DE27" s="30">
        <f t="shared" si="208"/>
        <v>4.0490350735948626</v>
      </c>
      <c r="DF27" s="30">
        <f t="shared" si="208"/>
        <v>4.5474662428507706</v>
      </c>
      <c r="DG27" s="30">
        <f t="shared" si="208"/>
        <v>4.3969011045376849</v>
      </c>
      <c r="DH27" s="30">
        <f t="shared" si="208"/>
        <v>4.5708341200090965</v>
      </c>
      <c r="DI27" s="30">
        <f t="shared" si="208"/>
        <v>4.5825180585882599</v>
      </c>
      <c r="DJ27" s="30">
        <f t="shared" si="208"/>
        <v>4.6753265356135465</v>
      </c>
      <c r="DK27" s="30">
        <f t="shared" si="208"/>
        <v>4.1356700655265595</v>
      </c>
      <c r="DL27" s="30">
        <f t="shared" si="208"/>
        <v>4.5432998059786049</v>
      </c>
      <c r="DM27" s="30">
        <f t="shared" ref="DM27:DT27" si="209">DM23+(DM24*DM26)+DM25</f>
        <v>4.4772864411611337</v>
      </c>
      <c r="DN27" s="30">
        <f t="shared" si="209"/>
        <v>4.6480946289784209</v>
      </c>
      <c r="DO27" s="30">
        <f t="shared" si="209"/>
        <v>4.7004920404783288</v>
      </c>
      <c r="DP27" s="30">
        <f t="shared" si="209"/>
        <v>4.8120948401369281</v>
      </c>
      <c r="DQ27" s="30">
        <f t="shared" si="209"/>
        <v>4.0672859132648682</v>
      </c>
      <c r="DR27" s="30">
        <f t="shared" si="209"/>
        <v>4.565746564381346</v>
      </c>
      <c r="DS27" s="30">
        <f t="shared" si="209"/>
        <v>3.0825724265035546</v>
      </c>
      <c r="DT27" s="30">
        <f t="shared" si="209"/>
        <v>2.8381190611187459</v>
      </c>
    </row>
    <row r="28" spans="2:124" x14ac:dyDescent="0.25">
      <c r="B28" s="3" t="s">
        <v>22</v>
      </c>
      <c r="D28" s="100">
        <f>D27</f>
        <v>6.4666666666666668</v>
      </c>
      <c r="E28" s="29">
        <f>10-(D20+E27)/2</f>
        <v>2.4609670966832331</v>
      </c>
      <c r="F28" s="29">
        <f t="shared" ref="F28:BQ28" si="210">10-(E20+F27)/2</f>
        <v>6.2838057829787584</v>
      </c>
      <c r="G28" s="29">
        <f t="shared" si="210"/>
        <v>4.4766018578343925</v>
      </c>
      <c r="H28" s="29">
        <f t="shared" si="210"/>
        <v>5.4844192384099717</v>
      </c>
      <c r="I28" s="29">
        <f t="shared" si="210"/>
        <v>4.516822588129731</v>
      </c>
      <c r="J28" s="29">
        <f t="shared" si="210"/>
        <v>4.7169329532773991</v>
      </c>
      <c r="K28" s="29">
        <f t="shared" si="210"/>
        <v>4.8331898107111133</v>
      </c>
      <c r="L28" s="29">
        <f t="shared" si="210"/>
        <v>1.8467384279777761</v>
      </c>
      <c r="M28" s="29">
        <f t="shared" si="210"/>
        <v>3.3794127181366704</v>
      </c>
      <c r="N28" s="29">
        <f t="shared" si="210"/>
        <v>2.6525241718494463</v>
      </c>
      <c r="O28" s="29">
        <f t="shared" si="210"/>
        <v>3.0554170437852832</v>
      </c>
      <c r="P28" s="29">
        <f t="shared" si="210"/>
        <v>2.8934192066095896</v>
      </c>
      <c r="Q28" s="29">
        <f t="shared" si="210"/>
        <v>3.0138667239896613</v>
      </c>
      <c r="R28" s="29">
        <f t="shared" si="210"/>
        <v>2.9930915640918494</v>
      </c>
      <c r="S28" s="29">
        <f t="shared" si="210"/>
        <v>2.7667875512874094</v>
      </c>
      <c r="T28" s="29">
        <f t="shared" si="210"/>
        <v>3.0143123933661711</v>
      </c>
      <c r="U28" s="29">
        <f t="shared" si="210"/>
        <v>3.0249228080033337</v>
      </c>
      <c r="V28" s="29">
        <f t="shared" si="210"/>
        <v>3.1539904363612941</v>
      </c>
      <c r="W28" s="29">
        <f t="shared" si="210"/>
        <v>3.2238294578588569</v>
      </c>
      <c r="X28" s="29">
        <f t="shared" si="210"/>
        <v>2.6514186044039052</v>
      </c>
      <c r="Y28" s="29">
        <f t="shared" si="210"/>
        <v>3.0746202022839562</v>
      </c>
      <c r="Z28" s="29">
        <f t="shared" si="210"/>
        <v>3.0000155744965067</v>
      </c>
      <c r="AA28" s="29">
        <f t="shared" si="210"/>
        <v>3.7422174375386543</v>
      </c>
      <c r="AB28" s="60">
        <f t="shared" si="210"/>
        <v>3.8960160551660046</v>
      </c>
      <c r="AC28" s="29">
        <f t="shared" si="210"/>
        <v>3.8440162955007526</v>
      </c>
      <c r="AD28" s="30">
        <f t="shared" si="210"/>
        <v>3.8949157244818027</v>
      </c>
      <c r="AE28" s="30">
        <f t="shared" si="210"/>
        <v>3.8943655591397013</v>
      </c>
      <c r="AF28" s="30">
        <f t="shared" si="210"/>
        <v>3.9195401909591752</v>
      </c>
      <c r="AG28" s="30">
        <f t="shared" si="210"/>
        <v>3.3639490462020136</v>
      </c>
      <c r="AH28" s="30">
        <f t="shared" si="210"/>
        <v>3.2787407897331695</v>
      </c>
      <c r="AI28" s="30">
        <f t="shared" si="210"/>
        <v>3.458341089120168</v>
      </c>
      <c r="AJ28" s="30">
        <f t="shared" si="210"/>
        <v>2.5341627887732496</v>
      </c>
      <c r="AK28" s="30">
        <f t="shared" si="210"/>
        <v>3.0883028759356046</v>
      </c>
      <c r="AL28" s="30">
        <f t="shared" si="210"/>
        <v>2.9032837693433233</v>
      </c>
      <c r="AM28" s="30">
        <f t="shared" si="210"/>
        <v>3.0878442596283611</v>
      </c>
      <c r="AN28" s="30">
        <f t="shared" si="210"/>
        <v>3.0876149514747375</v>
      </c>
      <c r="AO28" s="30">
        <f t="shared" si="210"/>
        <v>3.1797805425404464</v>
      </c>
      <c r="AP28" s="30">
        <f t="shared" si="210"/>
        <v>2.6734430620631109</v>
      </c>
      <c r="AQ28" s="30">
        <f t="shared" si="210"/>
        <v>3.0663931605081221</v>
      </c>
      <c r="AR28" s="30">
        <f t="shared" si="210"/>
        <v>3.0096994694919603</v>
      </c>
      <c r="AS28" s="30">
        <f t="shared" si="210"/>
        <v>3.1778276732063837</v>
      </c>
      <c r="AT28" s="30">
        <f t="shared" si="210"/>
        <v>3.2335449295555163</v>
      </c>
      <c r="AU28" s="30">
        <f t="shared" si="210"/>
        <v>3.3454676595872943</v>
      </c>
      <c r="AV28" s="30">
        <f t="shared" si="210"/>
        <v>2.5905995035396856</v>
      </c>
      <c r="AW28" s="30">
        <f t="shared" si="210"/>
        <v>3.0934958134046004</v>
      </c>
      <c r="AX28" s="30">
        <f t="shared" si="210"/>
        <v>3.5354132683091013</v>
      </c>
      <c r="AY28" s="30">
        <f t="shared" si="210"/>
        <v>3.8278201506938077</v>
      </c>
      <c r="AZ28" s="60">
        <f t="shared" si="210"/>
        <v>3.6949823193384139</v>
      </c>
      <c r="BA28" s="29">
        <f t="shared" si="210"/>
        <v>3.774766844853068</v>
      </c>
      <c r="BB28" s="30">
        <f t="shared" si="210"/>
        <v>3.7482401919326991</v>
      </c>
      <c r="BC28" s="30">
        <f t="shared" si="210"/>
        <v>3.7748691282298417</v>
      </c>
      <c r="BD28" s="30">
        <f t="shared" si="210"/>
        <v>3.7749202699182272</v>
      </c>
      <c r="BE28" s="30">
        <f t="shared" si="210"/>
        <v>3.2203569309151447</v>
      </c>
      <c r="BF28" s="30">
        <f t="shared" si="210"/>
        <v>3.1231008322577951</v>
      </c>
      <c r="BG28" s="30">
        <f t="shared" si="210"/>
        <v>3.29719111342758</v>
      </c>
      <c r="BH28" s="30">
        <f t="shared" si="210"/>
        <v>2.6147377766195437</v>
      </c>
      <c r="BI28" s="30">
        <f t="shared" si="210"/>
        <v>3.0661379378368672</v>
      </c>
      <c r="BJ28" s="30">
        <f t="shared" si="210"/>
        <v>2.9506113500415108</v>
      </c>
      <c r="BK28" s="30">
        <f t="shared" si="210"/>
        <v>3.1185481367524943</v>
      </c>
      <c r="BL28" s="30">
        <f t="shared" si="210"/>
        <v>3.1447532362103079</v>
      </c>
      <c r="BM28" s="30">
        <f t="shared" si="210"/>
        <v>3.2418241792947056</v>
      </c>
      <c r="BN28" s="30">
        <f t="shared" si="210"/>
        <v>2.6424212436859804</v>
      </c>
      <c r="BO28" s="30">
        <f t="shared" si="210"/>
        <v>3.0764673029493643</v>
      </c>
      <c r="BP28" s="30">
        <f t="shared" si="210"/>
        <v>2.9937888647766933</v>
      </c>
      <c r="BQ28" s="30">
        <f t="shared" si="210"/>
        <v>3.1694726753220506</v>
      </c>
      <c r="BR28" s="30">
        <f t="shared" ref="BR28:BX28" si="211">10-(BQ20+BR27)/2</f>
        <v>3.2159753615083932</v>
      </c>
      <c r="BS28" s="30">
        <f t="shared" si="211"/>
        <v>3.3270686098742424</v>
      </c>
      <c r="BT28" s="30">
        <f t="shared" si="211"/>
        <v>2.5997990283962125</v>
      </c>
      <c r="BU28" s="30">
        <f t="shared" si="211"/>
        <v>3.0905270810005341</v>
      </c>
      <c r="BV28" s="30">
        <f t="shared" si="211"/>
        <v>2.9722563165636799</v>
      </c>
      <c r="BW28" s="30">
        <f t="shared" si="211"/>
        <v>3.726388338643261</v>
      </c>
      <c r="BX28" s="60">
        <f t="shared" si="211"/>
        <v>3.8643189674646248</v>
      </c>
      <c r="BY28" s="29">
        <f t="shared" ref="BY28" si="212">10-(BX20+BY27)/2</f>
        <v>3.8103502929150972</v>
      </c>
      <c r="BZ28" s="30">
        <f t="shared" ref="BZ28" si="213">10-(BY20+BZ27)/2</f>
        <v>3.8523312700510157</v>
      </c>
      <c r="CA28" s="30">
        <f t="shared" ref="CA28" si="214">10-(BZ20+CA27)/2</f>
        <v>3.8463374213442112</v>
      </c>
      <c r="CB28" s="30">
        <f t="shared" ref="CB28" si="215">10-(CA20+CB27)/2</f>
        <v>3.8643309855587678</v>
      </c>
      <c r="CC28" s="30">
        <f t="shared" ref="CC28" si="216">10-(CB20+CC27)/2</f>
        <v>3.3024274653167964</v>
      </c>
      <c r="CD28" s="30">
        <f t="shared" ref="CD28" si="217">10-(CC20+CD27)/2</f>
        <v>3.2104724873030879</v>
      </c>
      <c r="CE28" s="30">
        <f t="shared" ref="CE28" si="218">10-(CD20+CE27)/2</f>
        <v>3.3835432381752488</v>
      </c>
      <c r="CF28" s="30">
        <f t="shared" ref="CF28" si="219">10-(CE20+CF27)/2</f>
        <v>2.5715617142457088</v>
      </c>
      <c r="CG28" s="30">
        <f t="shared" ref="CG28" si="220">10-(CF20+CG27)/2</f>
        <v>3.0755451587717371</v>
      </c>
      <c r="CH28" s="30">
        <f t="shared" ref="CH28" si="221">10-(CG20+CH27)/2</f>
        <v>2.9215461190699816</v>
      </c>
      <c r="CI28" s="30">
        <f t="shared" ref="CI28" si="222">10-(CH20+CI27)/2</f>
        <v>3.0965383214821172</v>
      </c>
      <c r="CJ28" s="30">
        <f t="shared" ref="CJ28" si="223">10-(CI20+CJ27)/2</f>
        <v>3.1070349028373077</v>
      </c>
      <c r="CK28" s="30">
        <f t="shared" ref="CK28" si="224">10-(CJ20+CK27)/2</f>
        <v>3.1997792947209698</v>
      </c>
      <c r="CL28" s="30">
        <f t="shared" ref="CL28" si="225">10-(CK20+CL27)/2</f>
        <v>2.6634436859728492</v>
      </c>
      <c r="CM28" s="30">
        <f t="shared" ref="CM28" si="226">10-(CL20+CM27)/2</f>
        <v>3.0696103248815438</v>
      </c>
      <c r="CN28" s="30">
        <f t="shared" ref="CN28" si="227">10-(CM20+CN27)/2</f>
        <v>3.0045258399618309</v>
      </c>
      <c r="CO28" s="30">
        <f t="shared" ref="CO28" si="228">10-(CN20+CO27)/2</f>
        <v>3.1750669169563226</v>
      </c>
      <c r="CP28" s="30">
        <f t="shared" ref="CP28" si="229">10-(CO20+CP27)/2</f>
        <v>3.227795212993712</v>
      </c>
      <c r="CQ28" s="30">
        <f t="shared" ref="CQ28" si="230">10-(CP20+CQ27)/2</f>
        <v>3.3394298995096507</v>
      </c>
      <c r="CR28" s="30">
        <f t="shared" ref="CR28" si="231">10-(CQ20+CR27)/2</f>
        <v>2.5936183835785078</v>
      </c>
      <c r="CS28" s="30">
        <f t="shared" ref="CS28" si="232">10-(CR20+CS27)/2</f>
        <v>3.092521130486702</v>
      </c>
      <c r="CT28" s="30">
        <f t="shared" ref="CT28" si="233">10-(CS20+CT27)/2</f>
        <v>2.9690667459752262</v>
      </c>
      <c r="CU28" s="30">
        <f t="shared" ref="CU28" si="234">10-(CT20+CU27)/2</f>
        <v>3.7246943051694341</v>
      </c>
      <c r="CV28" s="60">
        <f t="shared" ref="CV28" si="235">10-(CU20+CV27)/2</f>
        <v>3.8607808925107996</v>
      </c>
      <c r="CW28" s="29">
        <f t="shared" ref="CW28" si="236">10-(CV20+CW27)/2</f>
        <v>3.8066379657785872</v>
      </c>
      <c r="CX28" s="30">
        <f t="shared" ref="CX28" si="237">10-(CW20+CX27)/2</f>
        <v>3.8476097960831632</v>
      </c>
      <c r="CY28" s="30">
        <f t="shared" ref="CY28" si="238">10-(CX20+CY27)/2</f>
        <v>3.8410242478693455</v>
      </c>
      <c r="CZ28" s="30">
        <f t="shared" ref="CZ28" si="239">10-(CY20+CZ27)/2</f>
        <v>3.8582173889147242</v>
      </c>
      <c r="DA28" s="30">
        <f t="shared" ref="DA28" si="240">10-(CZ20+DA27)/2</f>
        <v>3.2956178073346569</v>
      </c>
      <c r="DB28" s="30">
        <f t="shared" ref="DB28" si="241">10-(DA20+DB27)/2</f>
        <v>3.2029145870673119</v>
      </c>
      <c r="DC28" s="30">
        <f t="shared" ref="DC28" si="242">10-(DB20+DC27)/2</f>
        <v>3.3752631861436067</v>
      </c>
      <c r="DD28" s="30">
        <f t="shared" ref="DD28" si="243">10-(DC20+DD27)/2</f>
        <v>2.5757017402615299</v>
      </c>
      <c r="DE28" s="30">
        <f t="shared" ref="DE28" si="244">10-(DD20+DE27)/2</f>
        <v>3.0741329095174379</v>
      </c>
      <c r="DF28" s="30">
        <f t="shared" ref="DF28" si="245">10-(DE20+DF27)/2</f>
        <v>2.9235677712043522</v>
      </c>
      <c r="DG28" s="30">
        <f t="shared" ref="DG28" si="246">10-(DF20+DG27)/2</f>
        <v>3.0975007866757638</v>
      </c>
      <c r="DH28" s="30">
        <f t="shared" ref="DH28" si="247">10-(DG20+DH27)/2</f>
        <v>3.1091847252549272</v>
      </c>
      <c r="DI28" s="30">
        <f t="shared" ref="DI28" si="248">10-(DH20+DI27)/2</f>
        <v>3.2019932022802138</v>
      </c>
      <c r="DJ28" s="30">
        <f t="shared" ref="DJ28" si="249">10-(DI20+DJ27)/2</f>
        <v>2.6623367321932268</v>
      </c>
      <c r="DK28" s="30">
        <f t="shared" ref="DK28" si="250">10-(DJ20+DK27)/2</f>
        <v>3.0699664726452722</v>
      </c>
      <c r="DL28" s="30">
        <f t="shared" ref="DL28" si="251">10-(DK20+DL27)/2</f>
        <v>3.003953107827801</v>
      </c>
      <c r="DM28" s="30">
        <f t="shared" ref="DM28" si="252">10-(DL20+DM27)/2</f>
        <v>3.1747612956450881</v>
      </c>
      <c r="DN28" s="30">
        <f t="shared" ref="DN28" si="253">10-(DM20+DN27)/2</f>
        <v>3.2271587071449961</v>
      </c>
      <c r="DO28" s="30">
        <f t="shared" ref="DO28" si="254">10-(DN20+DO27)/2</f>
        <v>3.3387615068035945</v>
      </c>
      <c r="DP28" s="30">
        <f t="shared" ref="DP28" si="255">10-(DO20+DP27)/2</f>
        <v>2.5939525799315355</v>
      </c>
      <c r="DQ28" s="30">
        <f t="shared" ref="DQ28" si="256">10-(DP20+DQ27)/2</f>
        <v>3.0924132310480132</v>
      </c>
      <c r="DR28" s="30">
        <f t="shared" ref="DR28" si="257">10-(DQ20+DR27)/2</f>
        <v>2.9692390931702217</v>
      </c>
      <c r="DS28" s="30">
        <f t="shared" ref="DS28" si="258">10-(DR20+DS27)/2</f>
        <v>3.7247857277854131</v>
      </c>
      <c r="DT28" s="30">
        <f t="shared" ref="DT28" si="259">10-(DS20+DT27)/2</f>
        <v>3.8609719761541124</v>
      </c>
    </row>
    <row r="29" spans="2:124" s="39" customFormat="1" ht="15.75" thickBot="1" x14ac:dyDescent="0.3">
      <c r="B29" s="37" t="s">
        <v>23</v>
      </c>
      <c r="C29" s="79"/>
      <c r="D29" s="106">
        <f>D28+D24</f>
        <v>7.1333333333333337</v>
      </c>
      <c r="E29" s="38">
        <f>E28+E24</f>
        <v>2.1276337633498996</v>
      </c>
      <c r="F29" s="38">
        <f t="shared" ref="F29:BQ29" si="260">F28+F24</f>
        <v>5.9504724496454253</v>
      </c>
      <c r="G29" s="38">
        <f t="shared" si="260"/>
        <v>4.1432685245010594</v>
      </c>
      <c r="H29" s="38">
        <f t="shared" si="260"/>
        <v>5.1510859050766387</v>
      </c>
      <c r="I29" s="38">
        <f t="shared" si="260"/>
        <v>5.183489254796398</v>
      </c>
      <c r="J29" s="38">
        <f t="shared" si="260"/>
        <v>5.3835996199440661</v>
      </c>
      <c r="K29" s="38">
        <f t="shared" si="260"/>
        <v>5.4998564773777803</v>
      </c>
      <c r="L29" s="38">
        <f t="shared" si="260"/>
        <v>2.5134050946444426</v>
      </c>
      <c r="M29" s="38">
        <f t="shared" si="260"/>
        <v>4.0460793848033374</v>
      </c>
      <c r="N29" s="38">
        <f t="shared" si="260"/>
        <v>3.3191908385161129</v>
      </c>
      <c r="O29" s="38">
        <f t="shared" si="260"/>
        <v>3.7220837104519497</v>
      </c>
      <c r="P29" s="38">
        <f t="shared" si="260"/>
        <v>3.5600858732762561</v>
      </c>
      <c r="Q29" s="38">
        <f t="shared" si="260"/>
        <v>3.6805333906563278</v>
      </c>
      <c r="R29" s="38">
        <f t="shared" si="260"/>
        <v>3.6597582307585159</v>
      </c>
      <c r="S29" s="38">
        <f t="shared" si="260"/>
        <v>3.4334542179540759</v>
      </c>
      <c r="T29" s="38">
        <f t="shared" si="260"/>
        <v>3.6809790600328376</v>
      </c>
      <c r="U29" s="38">
        <f t="shared" si="260"/>
        <v>3.6915894746700002</v>
      </c>
      <c r="V29" s="38">
        <f t="shared" si="260"/>
        <v>3.8206571030279606</v>
      </c>
      <c r="W29" s="38">
        <f t="shared" si="260"/>
        <v>3.8904961245255234</v>
      </c>
      <c r="X29" s="38">
        <f t="shared" si="260"/>
        <v>3.3180852710705717</v>
      </c>
      <c r="Y29" s="38">
        <f t="shared" si="260"/>
        <v>3.7412868689506227</v>
      </c>
      <c r="Z29" s="38">
        <f t="shared" si="260"/>
        <v>3.6666822411631732</v>
      </c>
      <c r="AA29" s="38">
        <f t="shared" si="260"/>
        <v>3.4088841042053208</v>
      </c>
      <c r="AB29" s="63">
        <f t="shared" si="260"/>
        <v>3.5626827218326711</v>
      </c>
      <c r="AC29" s="38">
        <f t="shared" si="260"/>
        <v>3.5106829621674192</v>
      </c>
      <c r="AD29" s="38">
        <f t="shared" si="260"/>
        <v>3.5615823911484692</v>
      </c>
      <c r="AE29" s="38">
        <f t="shared" si="260"/>
        <v>3.5610322258063678</v>
      </c>
      <c r="AF29" s="38">
        <f t="shared" si="260"/>
        <v>3.5862068576258417</v>
      </c>
      <c r="AG29" s="38">
        <f t="shared" si="260"/>
        <v>4.0306157128686806</v>
      </c>
      <c r="AH29" s="38">
        <f t="shared" si="260"/>
        <v>3.945407456399836</v>
      </c>
      <c r="AI29" s="38">
        <f t="shared" si="260"/>
        <v>4.125007755786835</v>
      </c>
      <c r="AJ29" s="38">
        <f t="shared" si="260"/>
        <v>3.2008294554399161</v>
      </c>
      <c r="AK29" s="38">
        <f t="shared" si="260"/>
        <v>3.7549695426022711</v>
      </c>
      <c r="AL29" s="38">
        <f t="shared" si="260"/>
        <v>3.5699504360099898</v>
      </c>
      <c r="AM29" s="38">
        <f t="shared" si="260"/>
        <v>3.7545109262950276</v>
      </c>
      <c r="AN29" s="38">
        <f t="shared" si="260"/>
        <v>3.754281618141404</v>
      </c>
      <c r="AO29" s="38">
        <f t="shared" si="260"/>
        <v>3.8464472092071129</v>
      </c>
      <c r="AP29" s="38">
        <f t="shared" si="260"/>
        <v>3.3401097287297774</v>
      </c>
      <c r="AQ29" s="38">
        <f t="shared" si="260"/>
        <v>3.7330598271747886</v>
      </c>
      <c r="AR29" s="38">
        <f t="shared" si="260"/>
        <v>3.6763661361586268</v>
      </c>
      <c r="AS29" s="38">
        <f t="shared" si="260"/>
        <v>3.8444943398730502</v>
      </c>
      <c r="AT29" s="38">
        <f t="shared" si="260"/>
        <v>3.9002115962221828</v>
      </c>
      <c r="AU29" s="38">
        <f t="shared" si="260"/>
        <v>4.0121343262539613</v>
      </c>
      <c r="AV29" s="38">
        <f t="shared" si="260"/>
        <v>3.2572661702063521</v>
      </c>
      <c r="AW29" s="38">
        <f t="shared" si="260"/>
        <v>3.760162480071267</v>
      </c>
      <c r="AX29" s="38">
        <f t="shared" si="260"/>
        <v>3.2020799349757678</v>
      </c>
      <c r="AY29" s="38">
        <f t="shared" si="260"/>
        <v>3.4944868173604742</v>
      </c>
      <c r="AZ29" s="63">
        <f t="shared" si="260"/>
        <v>3.3616489860050804</v>
      </c>
      <c r="BA29" s="38">
        <f t="shared" si="260"/>
        <v>3.4414335115197345</v>
      </c>
      <c r="BB29" s="38">
        <f t="shared" si="260"/>
        <v>3.4149068585993656</v>
      </c>
      <c r="BC29" s="38">
        <f t="shared" si="260"/>
        <v>3.4415357948965082</v>
      </c>
      <c r="BD29" s="38">
        <f t="shared" si="260"/>
        <v>3.4415869365848937</v>
      </c>
      <c r="BE29" s="38">
        <f t="shared" si="260"/>
        <v>3.8870235975818113</v>
      </c>
      <c r="BF29" s="38">
        <f t="shared" si="260"/>
        <v>3.7897674989244616</v>
      </c>
      <c r="BG29" s="38">
        <f t="shared" si="260"/>
        <v>3.9638577800942465</v>
      </c>
      <c r="BH29" s="38">
        <f t="shared" si="260"/>
        <v>3.2814044432862102</v>
      </c>
      <c r="BI29" s="38">
        <f t="shared" si="260"/>
        <v>3.7328046045035337</v>
      </c>
      <c r="BJ29" s="38">
        <f t="shared" si="260"/>
        <v>3.6172780167081773</v>
      </c>
      <c r="BK29" s="38">
        <f t="shared" si="260"/>
        <v>3.7852148034191608</v>
      </c>
      <c r="BL29" s="38">
        <f t="shared" si="260"/>
        <v>3.8114199028769744</v>
      </c>
      <c r="BM29" s="38">
        <f t="shared" si="260"/>
        <v>3.9084908459613721</v>
      </c>
      <c r="BN29" s="38">
        <f t="shared" si="260"/>
        <v>3.3090879103526469</v>
      </c>
      <c r="BO29" s="38">
        <f t="shared" si="260"/>
        <v>3.7431339696160308</v>
      </c>
      <c r="BP29" s="38">
        <f t="shared" si="260"/>
        <v>3.6604555314433598</v>
      </c>
      <c r="BQ29" s="38">
        <f t="shared" si="260"/>
        <v>3.8361393419887171</v>
      </c>
      <c r="BR29" s="38">
        <f t="shared" ref="BR29:CO29" si="261">BR28+BR24</f>
        <v>3.8826420281750598</v>
      </c>
      <c r="BS29" s="38">
        <f t="shared" si="261"/>
        <v>3.9937352765409089</v>
      </c>
      <c r="BT29" s="38">
        <f t="shared" si="261"/>
        <v>3.266465695062879</v>
      </c>
      <c r="BU29" s="38">
        <f t="shared" si="261"/>
        <v>3.7571937476672006</v>
      </c>
      <c r="BV29" s="38">
        <f t="shared" si="261"/>
        <v>3.6389229832303465</v>
      </c>
      <c r="BW29" s="38">
        <f t="shared" si="261"/>
        <v>3.3930550053099275</v>
      </c>
      <c r="BX29" s="63">
        <f t="shared" si="261"/>
        <v>3.5309856341312913</v>
      </c>
      <c r="BY29" s="38">
        <f t="shared" si="261"/>
        <v>3.4770169595817637</v>
      </c>
      <c r="BZ29" s="38">
        <f t="shared" si="261"/>
        <v>3.5189979367176822</v>
      </c>
      <c r="CA29" s="38">
        <f t="shared" si="261"/>
        <v>3.5130040880108777</v>
      </c>
      <c r="CB29" s="38">
        <f t="shared" si="261"/>
        <v>3.5309976522254343</v>
      </c>
      <c r="CC29" s="38">
        <f t="shared" si="261"/>
        <v>3.9690941319834629</v>
      </c>
      <c r="CD29" s="38">
        <f t="shared" si="261"/>
        <v>3.8771391539697544</v>
      </c>
      <c r="CE29" s="38">
        <f t="shared" si="261"/>
        <v>4.0502099048419158</v>
      </c>
      <c r="CF29" s="38">
        <f t="shared" si="261"/>
        <v>3.2382283809123753</v>
      </c>
      <c r="CG29" s="38">
        <f t="shared" si="261"/>
        <v>3.7422118254384036</v>
      </c>
      <c r="CH29" s="38">
        <f t="shared" si="261"/>
        <v>3.5882127857366481</v>
      </c>
      <c r="CI29" s="38">
        <f t="shared" si="261"/>
        <v>3.7632049881487837</v>
      </c>
      <c r="CJ29" s="38">
        <f t="shared" si="261"/>
        <v>3.7737015695039742</v>
      </c>
      <c r="CK29" s="38">
        <f t="shared" si="261"/>
        <v>3.8664459613876363</v>
      </c>
      <c r="CL29" s="38">
        <f t="shared" si="261"/>
        <v>3.3301103526395157</v>
      </c>
      <c r="CM29" s="38">
        <f t="shared" si="261"/>
        <v>3.7362769915482104</v>
      </c>
      <c r="CN29" s="38">
        <f t="shared" si="261"/>
        <v>3.6711925066284974</v>
      </c>
      <c r="CO29" s="38">
        <f t="shared" si="261"/>
        <v>3.8417335836229891</v>
      </c>
      <c r="CP29" s="38">
        <f t="shared" ref="CP29:DM29" si="262">CP28+CP24</f>
        <v>3.8944618796603785</v>
      </c>
      <c r="CQ29" s="38">
        <f t="shared" si="262"/>
        <v>4.0060965661763177</v>
      </c>
      <c r="CR29" s="38">
        <f t="shared" si="262"/>
        <v>3.2602850502451743</v>
      </c>
      <c r="CS29" s="38">
        <f t="shared" si="262"/>
        <v>3.7591877971533685</v>
      </c>
      <c r="CT29" s="38">
        <f t="shared" si="262"/>
        <v>3.6357334126418928</v>
      </c>
      <c r="CU29" s="38">
        <f t="shared" si="262"/>
        <v>3.3913609718361006</v>
      </c>
      <c r="CV29" s="63">
        <f t="shared" si="262"/>
        <v>3.5274475591774661</v>
      </c>
      <c r="CW29" s="38">
        <f t="shared" si="262"/>
        <v>3.4733046324452537</v>
      </c>
      <c r="CX29" s="38">
        <f t="shared" si="262"/>
        <v>3.5142764627498297</v>
      </c>
      <c r="CY29" s="38">
        <f t="shared" si="262"/>
        <v>3.507690914536012</v>
      </c>
      <c r="CZ29" s="38">
        <f t="shared" si="262"/>
        <v>3.5248840555813907</v>
      </c>
      <c r="DA29" s="38">
        <f t="shared" si="262"/>
        <v>3.9622844740013234</v>
      </c>
      <c r="DB29" s="38">
        <f t="shared" si="262"/>
        <v>3.8695812537339784</v>
      </c>
      <c r="DC29" s="38">
        <f t="shared" si="262"/>
        <v>4.0419298528102736</v>
      </c>
      <c r="DD29" s="38">
        <f t="shared" si="262"/>
        <v>3.2423684069281964</v>
      </c>
      <c r="DE29" s="38">
        <f t="shared" si="262"/>
        <v>3.7407995761841044</v>
      </c>
      <c r="DF29" s="38">
        <f t="shared" si="262"/>
        <v>3.5902344378710187</v>
      </c>
      <c r="DG29" s="38">
        <f t="shared" si="262"/>
        <v>3.7641674533424303</v>
      </c>
      <c r="DH29" s="38">
        <f t="shared" si="262"/>
        <v>3.7758513919215937</v>
      </c>
      <c r="DI29" s="38">
        <f t="shared" si="262"/>
        <v>3.8686598689468803</v>
      </c>
      <c r="DJ29" s="38">
        <f t="shared" si="262"/>
        <v>3.3290033988598933</v>
      </c>
      <c r="DK29" s="38">
        <f t="shared" si="262"/>
        <v>3.7366331393119387</v>
      </c>
      <c r="DL29" s="38">
        <f t="shared" si="262"/>
        <v>3.6706197744944675</v>
      </c>
      <c r="DM29" s="38">
        <f t="shared" si="262"/>
        <v>3.8414279623117547</v>
      </c>
      <c r="DN29" s="38">
        <f t="shared" ref="DN29:DT29" si="263">DN28+DN24</f>
        <v>3.8938253738116626</v>
      </c>
      <c r="DO29" s="38">
        <f t="shared" si="263"/>
        <v>4.0054281734702615</v>
      </c>
      <c r="DP29" s="38">
        <f t="shared" si="263"/>
        <v>3.260619246598202</v>
      </c>
      <c r="DQ29" s="38">
        <f t="shared" si="263"/>
        <v>3.7590798977146798</v>
      </c>
      <c r="DR29" s="38">
        <f t="shared" si="263"/>
        <v>3.6359057598368882</v>
      </c>
      <c r="DS29" s="38">
        <f t="shared" si="263"/>
        <v>3.3914523944520796</v>
      </c>
      <c r="DT29" s="38">
        <f t="shared" si="263"/>
        <v>3.5276386428207789</v>
      </c>
    </row>
    <row r="30" spans="2:124" x14ac:dyDescent="0.25">
      <c r="D30" s="100"/>
      <c r="E30" s="122" t="s">
        <v>69</v>
      </c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4"/>
      <c r="AC30" s="125" t="s">
        <v>70</v>
      </c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7"/>
      <c r="BA30" s="122" t="s">
        <v>71</v>
      </c>
      <c r="BB30" s="123"/>
      <c r="BC30" s="123"/>
      <c r="BD30" s="123"/>
      <c r="BE30" s="123"/>
      <c r="BF30" s="123"/>
      <c r="BG30" s="123"/>
      <c r="BH30" s="123"/>
      <c r="BI30" s="123"/>
      <c r="BJ30" s="123"/>
      <c r="BK30" s="123"/>
      <c r="BL30" s="123"/>
      <c r="BM30" s="123"/>
      <c r="BN30" s="123"/>
      <c r="BO30" s="123"/>
      <c r="BP30" s="123"/>
      <c r="BQ30" s="123"/>
      <c r="BR30" s="123"/>
      <c r="BS30" s="123"/>
      <c r="BT30" s="123"/>
      <c r="BU30" s="123"/>
      <c r="BV30" s="123"/>
      <c r="BW30" s="123"/>
      <c r="BX30" s="124"/>
      <c r="BY30" s="125" t="s">
        <v>72</v>
      </c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126"/>
      <c r="CQ30" s="126"/>
      <c r="CR30" s="126"/>
      <c r="CS30" s="126"/>
      <c r="CT30" s="126"/>
      <c r="CU30" s="126"/>
      <c r="CV30" s="127"/>
      <c r="CW30" s="122" t="s">
        <v>73</v>
      </c>
      <c r="CX30" s="123"/>
      <c r="CY30" s="123"/>
      <c r="CZ30" s="123"/>
      <c r="DA30" s="123"/>
      <c r="DB30" s="123"/>
      <c r="DC30" s="123"/>
      <c r="DD30" s="123"/>
      <c r="DE30" s="123"/>
      <c r="DF30" s="123"/>
      <c r="DG30" s="123"/>
      <c r="DH30" s="123"/>
      <c r="DI30" s="123"/>
      <c r="DJ30" s="123"/>
      <c r="DK30" s="123"/>
      <c r="DL30" s="123"/>
      <c r="DM30" s="123"/>
      <c r="DN30" s="123"/>
      <c r="DO30" s="123"/>
      <c r="DP30" s="123"/>
      <c r="DQ30" s="123"/>
      <c r="DR30" s="123"/>
      <c r="DS30" s="123"/>
      <c r="DT30" s="124"/>
    </row>
    <row r="31" spans="2:124" x14ac:dyDescent="0.25">
      <c r="B31" s="4" t="s">
        <v>24</v>
      </c>
      <c r="D31" s="100"/>
      <c r="E31" s="22">
        <v>4.1666666666666664E-2</v>
      </c>
      <c r="F31" s="23">
        <v>8.3333333333333301E-2</v>
      </c>
      <c r="G31" s="23">
        <v>0.125</v>
      </c>
      <c r="H31" s="23">
        <v>0.16666666666666699</v>
      </c>
      <c r="I31" s="23">
        <v>0.20833333333333401</v>
      </c>
      <c r="J31" s="23">
        <v>0.25</v>
      </c>
      <c r="K31" s="23">
        <v>0.29166666666666702</v>
      </c>
      <c r="L31" s="23">
        <v>0.33333333333333298</v>
      </c>
      <c r="M31" s="23">
        <v>0.375</v>
      </c>
      <c r="N31" s="23">
        <v>0.41666666666666702</v>
      </c>
      <c r="O31" s="23">
        <v>0.45833333333333298</v>
      </c>
      <c r="P31" s="23">
        <v>0.5</v>
      </c>
      <c r="Q31" s="23">
        <v>0.54166666666666696</v>
      </c>
      <c r="R31" s="23">
        <v>0.58333333333333304</v>
      </c>
      <c r="S31" s="23">
        <v>0.625</v>
      </c>
      <c r="T31" s="23">
        <v>0.66666666666666696</v>
      </c>
      <c r="U31" s="23">
        <v>0.70833333333333304</v>
      </c>
      <c r="V31" s="23">
        <v>0.75</v>
      </c>
      <c r="W31" s="23">
        <v>0.79166666666666696</v>
      </c>
      <c r="X31" s="23">
        <v>0.83333333333333304</v>
      </c>
      <c r="Y31" s="23">
        <v>0.875</v>
      </c>
      <c r="Z31" s="23">
        <v>0.91666666666666696</v>
      </c>
      <c r="AA31" s="23">
        <v>0.95833333333333404</v>
      </c>
      <c r="AB31" s="57">
        <v>1</v>
      </c>
      <c r="AC31" s="22">
        <v>1.0416666666666701</v>
      </c>
      <c r="AD31" s="23">
        <v>1.0833333333333299</v>
      </c>
      <c r="AE31" s="23">
        <v>0.125</v>
      </c>
      <c r="AF31" s="23">
        <v>0.16666666666666699</v>
      </c>
      <c r="AG31" s="23">
        <v>0.20833333333333301</v>
      </c>
      <c r="AH31" s="23">
        <v>0.25</v>
      </c>
      <c r="AI31" s="23">
        <v>0.29166666666666702</v>
      </c>
      <c r="AJ31" s="23">
        <v>0.33333333333333298</v>
      </c>
      <c r="AK31" s="23">
        <v>0.375</v>
      </c>
      <c r="AL31" s="23">
        <v>0.41666666666666702</v>
      </c>
      <c r="AM31" s="23">
        <v>0.45833333333333298</v>
      </c>
      <c r="AN31" s="23">
        <v>0.5</v>
      </c>
      <c r="AO31" s="23">
        <v>0.54166666666666696</v>
      </c>
      <c r="AP31" s="23">
        <v>0.58333333333333304</v>
      </c>
      <c r="AQ31" s="23">
        <v>0.625</v>
      </c>
      <c r="AR31" s="23">
        <v>0.66666666666666696</v>
      </c>
      <c r="AS31" s="23">
        <v>0.70833333333333304</v>
      </c>
      <c r="AT31" s="23">
        <v>0.75</v>
      </c>
      <c r="AU31" s="23">
        <v>0.79166666666666696</v>
      </c>
      <c r="AV31" s="23">
        <v>0.83333333333333304</v>
      </c>
      <c r="AW31" s="23">
        <v>0.875</v>
      </c>
      <c r="AX31" s="23">
        <v>0.91666666666666696</v>
      </c>
      <c r="AY31" s="23">
        <v>0.95833333333333404</v>
      </c>
      <c r="AZ31" s="57">
        <v>1</v>
      </c>
      <c r="BA31" s="22">
        <v>1.0416666666666701</v>
      </c>
      <c r="BB31" s="23">
        <v>1.0833333333333299</v>
      </c>
      <c r="BC31" s="23">
        <v>0.125</v>
      </c>
      <c r="BD31" s="23">
        <v>0.16666666666666699</v>
      </c>
      <c r="BE31" s="23">
        <v>0.20833333333333301</v>
      </c>
      <c r="BF31" s="23">
        <v>0.25</v>
      </c>
      <c r="BG31" s="23">
        <v>0.29166666666666702</v>
      </c>
      <c r="BH31" s="23">
        <v>0.33333333333333298</v>
      </c>
      <c r="BI31" s="23">
        <v>0.375</v>
      </c>
      <c r="BJ31" s="23">
        <v>0.41666666666666702</v>
      </c>
      <c r="BK31" s="23">
        <v>0.45833333333333298</v>
      </c>
      <c r="BL31" s="23">
        <v>0.5</v>
      </c>
      <c r="BM31" s="23">
        <v>0.54166666666666696</v>
      </c>
      <c r="BN31" s="23">
        <v>0.58333333333333304</v>
      </c>
      <c r="BO31" s="23">
        <v>0.625</v>
      </c>
      <c r="BP31" s="23">
        <v>0.66666666666666696</v>
      </c>
      <c r="BQ31" s="23">
        <v>0.70833333333333304</v>
      </c>
      <c r="BR31" s="23">
        <v>0.75</v>
      </c>
      <c r="BS31" s="23">
        <v>0.79166666666666696</v>
      </c>
      <c r="BT31" s="23">
        <v>0.83333333333333304</v>
      </c>
      <c r="BU31" s="23">
        <v>0.875</v>
      </c>
      <c r="BV31" s="23">
        <v>0.91666666666666696</v>
      </c>
      <c r="BW31" s="23">
        <v>0.95833333333333404</v>
      </c>
      <c r="BX31" s="57">
        <v>1</v>
      </c>
      <c r="BY31" s="22">
        <v>1.0416666666666701</v>
      </c>
      <c r="BZ31" s="23">
        <v>1.0833333333333299</v>
      </c>
      <c r="CA31" s="23">
        <v>0.125</v>
      </c>
      <c r="CB31" s="23">
        <v>0.16666666666666699</v>
      </c>
      <c r="CC31" s="23">
        <v>0.20833333333333301</v>
      </c>
      <c r="CD31" s="23">
        <v>0.25</v>
      </c>
      <c r="CE31" s="23">
        <v>0.29166666666666702</v>
      </c>
      <c r="CF31" s="23">
        <v>0.33333333333333298</v>
      </c>
      <c r="CG31" s="23">
        <v>0.375</v>
      </c>
      <c r="CH31" s="23">
        <v>0.41666666666666702</v>
      </c>
      <c r="CI31" s="23">
        <v>0.45833333333333298</v>
      </c>
      <c r="CJ31" s="23">
        <v>0.5</v>
      </c>
      <c r="CK31" s="23">
        <v>0.54166666666666696</v>
      </c>
      <c r="CL31" s="23">
        <v>0.58333333333333304</v>
      </c>
      <c r="CM31" s="23">
        <v>0.625</v>
      </c>
      <c r="CN31" s="23">
        <v>0.66666666666666696</v>
      </c>
      <c r="CO31" s="23">
        <v>0.70833333333333304</v>
      </c>
      <c r="CP31" s="23">
        <v>0.75</v>
      </c>
      <c r="CQ31" s="23">
        <v>0.79166666666666696</v>
      </c>
      <c r="CR31" s="23">
        <v>0.83333333333333304</v>
      </c>
      <c r="CS31" s="23">
        <v>0.875</v>
      </c>
      <c r="CT31" s="23">
        <v>0.91666666666666696</v>
      </c>
      <c r="CU31" s="23">
        <v>0.95833333333333404</v>
      </c>
      <c r="CV31" s="57">
        <v>1</v>
      </c>
      <c r="CW31" s="22">
        <v>1.0416666666666701</v>
      </c>
      <c r="CX31" s="23">
        <v>1.0833333333333299</v>
      </c>
      <c r="CY31" s="23">
        <v>0.125</v>
      </c>
      <c r="CZ31" s="23">
        <v>0.16666666666666699</v>
      </c>
      <c r="DA31" s="23">
        <v>0.20833333333333301</v>
      </c>
      <c r="DB31" s="23">
        <v>0.25</v>
      </c>
      <c r="DC31" s="23">
        <v>0.29166666666666702</v>
      </c>
      <c r="DD31" s="23">
        <v>0.33333333333333298</v>
      </c>
      <c r="DE31" s="23">
        <v>0.375</v>
      </c>
      <c r="DF31" s="23">
        <v>0.41666666666666702</v>
      </c>
      <c r="DG31" s="23">
        <v>0.45833333333333298</v>
      </c>
      <c r="DH31" s="23">
        <v>0.5</v>
      </c>
      <c r="DI31" s="23">
        <v>0.54166666666666696</v>
      </c>
      <c r="DJ31" s="23">
        <v>0.58333333333333304</v>
      </c>
      <c r="DK31" s="23">
        <v>0.625</v>
      </c>
      <c r="DL31" s="23">
        <v>0.66666666666666696</v>
      </c>
      <c r="DM31" s="23">
        <v>0.70833333333333304</v>
      </c>
      <c r="DN31" s="23">
        <v>0.75</v>
      </c>
      <c r="DO31" s="23">
        <v>0.79166666666666696</v>
      </c>
      <c r="DP31" s="23">
        <v>0.83333333333333304</v>
      </c>
      <c r="DQ31" s="23">
        <v>0.875</v>
      </c>
      <c r="DR31" s="23">
        <v>0.91666666666666696</v>
      </c>
      <c r="DS31" s="23">
        <v>0.95833333333333404</v>
      </c>
      <c r="DT31" s="23">
        <v>1</v>
      </c>
    </row>
    <row r="32" spans="2:124" x14ac:dyDescent="0.25">
      <c r="B32" s="3" t="s">
        <v>25</v>
      </c>
      <c r="D32" s="102">
        <v>6</v>
      </c>
      <c r="E32" s="17">
        <f>D40</f>
        <v>6.6333333333333337</v>
      </c>
      <c r="F32" s="24">
        <f t="shared" ref="F32:AZ32" si="264">E40</f>
        <v>6.8718055555555555</v>
      </c>
      <c r="G32" s="24">
        <f t="shared" si="264"/>
        <v>6.9017069623618008</v>
      </c>
      <c r="H32" s="24">
        <f t="shared" si="264"/>
        <v>3.0908933144303594</v>
      </c>
      <c r="I32" s="24">
        <f t="shared" si="264"/>
        <v>-0.79522049704876308</v>
      </c>
      <c r="J32" s="24">
        <f t="shared" si="264"/>
        <v>-0.43765441767056984</v>
      </c>
      <c r="K32" s="24">
        <f t="shared" si="264"/>
        <v>-7.8738198720719965E-2</v>
      </c>
      <c r="L32" s="24">
        <f t="shared" si="264"/>
        <v>0.28851595211028275</v>
      </c>
      <c r="M32" s="24">
        <f t="shared" si="264"/>
        <v>0.66061413866769025</v>
      </c>
      <c r="N32" s="24">
        <f t="shared" si="264"/>
        <v>0.90827685094454214</v>
      </c>
      <c r="O32" s="24">
        <f t="shared" si="264"/>
        <v>1.2198009919780146</v>
      </c>
      <c r="P32" s="24">
        <f t="shared" si="264"/>
        <v>1.5010381102495192</v>
      </c>
      <c r="Q32" s="24">
        <f t="shared" si="264"/>
        <v>1.7990624315183503</v>
      </c>
      <c r="R32" s="24">
        <f t="shared" si="264"/>
        <v>2.0903368429048612</v>
      </c>
      <c r="S32" s="24">
        <f t="shared" si="264"/>
        <v>2.3866299008488752</v>
      </c>
      <c r="T32" s="24">
        <f t="shared" si="264"/>
        <v>2.6820573271304804</v>
      </c>
      <c r="U32" s="24">
        <f t="shared" si="264"/>
        <v>2.9680554195452338</v>
      </c>
      <c r="V32" s="24">
        <f t="shared" si="264"/>
        <v>3.2643670470466022</v>
      </c>
      <c r="W32" s="24">
        <f t="shared" si="264"/>
        <v>3.5611207751578524</v>
      </c>
      <c r="X32" s="24">
        <f t="shared" si="264"/>
        <v>3.8632523211173511</v>
      </c>
      <c r="Y32" s="24">
        <f t="shared" si="264"/>
        <v>4.1682938263059146</v>
      </c>
      <c r="Z32" s="24">
        <f t="shared" si="264"/>
        <v>6.4494848792671879</v>
      </c>
      <c r="AA32" s="24">
        <f t="shared" si="264"/>
        <v>8.7483093321401313</v>
      </c>
      <c r="AB32" s="55">
        <f t="shared" si="264"/>
        <v>8.8423377588552654</v>
      </c>
      <c r="AC32" s="18">
        <f t="shared" si="264"/>
        <v>8.9256245965304899</v>
      </c>
      <c r="AD32" s="24">
        <f t="shared" si="264"/>
        <v>9.0153197099401865</v>
      </c>
      <c r="AE32" s="24">
        <f t="shared" si="264"/>
        <v>9.1028481666971643</v>
      </c>
      <c r="AF32" s="24">
        <f t="shared" si="264"/>
        <v>5.1924974329950189</v>
      </c>
      <c r="AG32" s="24">
        <f t="shared" si="264"/>
        <v>1.2821237757369497</v>
      </c>
      <c r="AH32" s="24">
        <f t="shared" si="264"/>
        <v>1.5744865614713597</v>
      </c>
      <c r="AI32" s="24">
        <f t="shared" si="264"/>
        <v>1.885366382840888</v>
      </c>
      <c r="AJ32" s="24">
        <f t="shared" si="264"/>
        <v>2.1926958601908813</v>
      </c>
      <c r="AK32" s="24">
        <f t="shared" si="264"/>
        <v>2.5075086833486666</v>
      </c>
      <c r="AL32" s="24">
        <f t="shared" si="264"/>
        <v>2.7838140773253301</v>
      </c>
      <c r="AM32" s="24">
        <f t="shared" si="264"/>
        <v>3.0832086416004252</v>
      </c>
      <c r="AN32" s="24">
        <f t="shared" si="264"/>
        <v>3.3748940764341753</v>
      </c>
      <c r="AO32" s="24">
        <f t="shared" si="264"/>
        <v>3.6742695316964684</v>
      </c>
      <c r="AP32" s="24">
        <f t="shared" si="264"/>
        <v>3.9736354324523608</v>
      </c>
      <c r="AQ32" s="24">
        <f t="shared" si="264"/>
        <v>4.2768415661693231</v>
      </c>
      <c r="AR32" s="24">
        <f t="shared" si="264"/>
        <v>4.5589503048663964</v>
      </c>
      <c r="AS32" s="24">
        <f t="shared" si="264"/>
        <v>4.8574319643320125</v>
      </c>
      <c r="AT32" s="24">
        <f t="shared" si="264"/>
        <v>5.1535513866719551</v>
      </c>
      <c r="AU32" s="24">
        <f t="shared" si="264"/>
        <v>5.4566761508333315</v>
      </c>
      <c r="AV32" s="24">
        <f t="shared" si="264"/>
        <v>5.7621224673425884</v>
      </c>
      <c r="AW32" s="24">
        <f t="shared" si="264"/>
        <v>6.0722322309365033</v>
      </c>
      <c r="AX32" s="24">
        <f t="shared" si="264"/>
        <v>8.3508891546950998</v>
      </c>
      <c r="AY32" s="24">
        <f t="shared" si="264"/>
        <v>8.4488125913647352</v>
      </c>
      <c r="AZ32" s="55">
        <f t="shared" si="264"/>
        <v>8.5234825886553924</v>
      </c>
      <c r="BA32" s="18">
        <f t="shared" ref="BA32:BX32" si="265">AZ40</f>
        <v>8.6103362060454138</v>
      </c>
      <c r="BB32" s="24">
        <f t="shared" si="265"/>
        <v>8.6916549137956274</v>
      </c>
      <c r="BC32" s="24">
        <f t="shared" si="265"/>
        <v>8.7762979767756164</v>
      </c>
      <c r="BD32" s="24">
        <f t="shared" si="265"/>
        <v>4.859835762550591</v>
      </c>
      <c r="BE32" s="24">
        <f t="shared" si="265"/>
        <v>0.94448308733794528</v>
      </c>
      <c r="BF32" s="24">
        <f t="shared" si="265"/>
        <v>1.2308200430289824</v>
      </c>
      <c r="BG32" s="24">
        <f t="shared" si="265"/>
        <v>1.5357168595948911</v>
      </c>
      <c r="BH32" s="24">
        <f t="shared" si="265"/>
        <v>1.8365613387167437</v>
      </c>
      <c r="BI32" s="24">
        <f t="shared" si="265"/>
        <v>2.1446595795540042</v>
      </c>
      <c r="BJ32" s="24">
        <f t="shared" si="265"/>
        <v>2.4243222646909302</v>
      </c>
      <c r="BK32" s="24">
        <f t="shared" si="265"/>
        <v>2.7227932898785778</v>
      </c>
      <c r="BL32" s="24">
        <f t="shared" si="265"/>
        <v>3.0164507072414191</v>
      </c>
      <c r="BM32" s="24">
        <f t="shared" si="265"/>
        <v>3.3171054907172177</v>
      </c>
      <c r="BN32" s="24">
        <f t="shared" si="265"/>
        <v>3.6188521533370919</v>
      </c>
      <c r="BO32" s="24">
        <f t="shared" si="265"/>
        <v>3.9246434385854827</v>
      </c>
      <c r="BP32" s="24">
        <f t="shared" si="265"/>
        <v>4.2054596015168428</v>
      </c>
      <c r="BQ32" s="24">
        <f t="shared" si="265"/>
        <v>4.5043610169175103</v>
      </c>
      <c r="BR32" s="24">
        <f t="shared" si="265"/>
        <v>4.7998174973943168</v>
      </c>
      <c r="BS32" s="24">
        <f t="shared" si="265"/>
        <v>5.1025941366438463</v>
      </c>
      <c r="BT32" s="24">
        <f t="shared" si="265"/>
        <v>5.4073083878178068</v>
      </c>
      <c r="BU32" s="24">
        <f t="shared" si="265"/>
        <v>5.7166515243403442</v>
      </c>
      <c r="BV32" s="24">
        <f t="shared" si="265"/>
        <v>7.9956917616346299</v>
      </c>
      <c r="BW32" s="24">
        <f t="shared" si="265"/>
        <v>8.2951790011207631</v>
      </c>
      <c r="BX32" s="55">
        <f t="shared" si="265"/>
        <v>8.3880507920886931</v>
      </c>
      <c r="BY32" s="18">
        <f t="shared" ref="BY32:CV32" si="266">BX40</f>
        <v>8.4706780839766047</v>
      </c>
      <c r="BZ32" s="24">
        <f t="shared" si="266"/>
        <v>8.5590524853987411</v>
      </c>
      <c r="CA32" s="24">
        <f t="shared" si="266"/>
        <v>8.6451781920479824</v>
      </c>
      <c r="CB32" s="24">
        <f t="shared" si="266"/>
        <v>4.7330531060778869</v>
      </c>
      <c r="CC32" s="24">
        <f t="shared" si="266"/>
        <v>0.82067827641167357</v>
      </c>
      <c r="CD32" s="24">
        <f t="shared" si="266"/>
        <v>1.1107406785877332</v>
      </c>
      <c r="CE32" s="24">
        <f t="shared" si="266"/>
        <v>1.4190571007537107</v>
      </c>
      <c r="CF32" s="24">
        <f t="shared" si="266"/>
        <v>1.7235420655024505</v>
      </c>
      <c r="CG32" s="24">
        <f t="shared" si="266"/>
        <v>2.0352383115375305</v>
      </c>
      <c r="CH32" s="24">
        <f t="shared" si="266"/>
        <v>2.3131019940755464</v>
      </c>
      <c r="CI32" s="24">
        <f t="shared" si="266"/>
        <v>2.6119649868021471</v>
      </c>
      <c r="CJ32" s="24">
        <f t="shared" si="266"/>
        <v>2.9044113528745079</v>
      </c>
      <c r="CK32" s="24">
        <f t="shared" si="266"/>
        <v>3.204149060714041</v>
      </c>
      <c r="CL32" s="24">
        <f t="shared" si="266"/>
        <v>3.5043241261100402</v>
      </c>
      <c r="CM32" s="24">
        <f t="shared" si="266"/>
        <v>3.8083635411678589</v>
      </c>
      <c r="CN32" s="24">
        <f t="shared" si="266"/>
        <v>4.0900556391945058</v>
      </c>
      <c r="CO32" s="24">
        <f t="shared" si="266"/>
        <v>4.3886713471756806</v>
      </c>
      <c r="CP32" s="24">
        <f t="shared" si="266"/>
        <v>4.684575201618534</v>
      </c>
      <c r="CQ32" s="24">
        <f t="shared" si="266"/>
        <v>4.9875849342694911</v>
      </c>
      <c r="CR32" s="24">
        <f t="shared" si="266"/>
        <v>5.2927916792553393</v>
      </c>
      <c r="CS32" s="24">
        <f t="shared" si="266"/>
        <v>5.6026498695126854</v>
      </c>
      <c r="CT32" s="24">
        <f t="shared" si="266"/>
        <v>7.8814325799395668</v>
      </c>
      <c r="CU32" s="24">
        <f t="shared" si="266"/>
        <v>8.1810029048209572</v>
      </c>
      <c r="CV32" s="55">
        <f t="shared" si="266"/>
        <v>8.2737417970143685</v>
      </c>
      <c r="CW32" s="18">
        <f t="shared" ref="CW32:DT32" si="267">CV40</f>
        <v>8.3562985041742053</v>
      </c>
      <c r="CX32" s="24">
        <f t="shared" si="267"/>
        <v>8.444525485806599</v>
      </c>
      <c r="CY32" s="24">
        <f t="shared" si="267"/>
        <v>8.5304965121584857</v>
      </c>
      <c r="CZ32" s="24">
        <f t="shared" si="267"/>
        <v>4.6181746981063947</v>
      </c>
      <c r="DA32" s="24">
        <f t="shared" si="267"/>
        <v>0.70557848621206132</v>
      </c>
      <c r="DB32" s="24">
        <f t="shared" si="267"/>
        <v>0.99538615519461937</v>
      </c>
      <c r="DC32" s="24">
        <f t="shared" si="267"/>
        <v>1.3034188416113413</v>
      </c>
      <c r="DD32" s="24">
        <f t="shared" si="267"/>
        <v>1.6075888938502569</v>
      </c>
      <c r="DE32" s="24">
        <f t="shared" si="267"/>
        <v>1.9189401377173516</v>
      </c>
      <c r="DF32" s="24">
        <f t="shared" si="267"/>
        <v>2.1969763213393598</v>
      </c>
      <c r="DG32" s="24">
        <f t="shared" si="267"/>
        <v>2.4957804703470314</v>
      </c>
      <c r="DH32" s="24">
        <f t="shared" si="267"/>
        <v>2.7883110719249911</v>
      </c>
      <c r="DI32" s="24">
        <f t="shared" si="267"/>
        <v>3.0880888824809261</v>
      </c>
      <c r="DJ32" s="24">
        <f t="shared" si="267"/>
        <v>3.3883535238109928</v>
      </c>
      <c r="DK32" s="24">
        <f t="shared" si="267"/>
        <v>3.6924851850171132</v>
      </c>
      <c r="DL32" s="24">
        <f t="shared" si="267"/>
        <v>3.974131159969609</v>
      </c>
      <c r="DM32" s="24">
        <f t="shared" si="267"/>
        <v>4.2727617074409396</v>
      </c>
      <c r="DN32" s="24">
        <f t="shared" si="267"/>
        <v>4.5686416980448756</v>
      </c>
      <c r="DO32" s="24">
        <f t="shared" si="267"/>
        <v>4.8716386964745313</v>
      </c>
      <c r="DP32" s="24">
        <f t="shared" si="267"/>
        <v>5.1768189203833499</v>
      </c>
      <c r="DQ32" s="24">
        <f t="shared" si="267"/>
        <v>5.4866492609446107</v>
      </c>
      <c r="DR32" s="24">
        <f t="shared" si="267"/>
        <v>7.7654458962195356</v>
      </c>
      <c r="DS32" s="24">
        <f t="shared" si="267"/>
        <v>8.0650117252909812</v>
      </c>
      <c r="DT32" s="24">
        <f t="shared" si="267"/>
        <v>8.1577577986175172</v>
      </c>
    </row>
    <row r="33" spans="2:124" s="2" customFormat="1" x14ac:dyDescent="0.25">
      <c r="B33" s="19" t="s">
        <v>26</v>
      </c>
      <c r="C33" s="73"/>
      <c r="D33" s="100">
        <f>10/24</f>
        <v>0.41666666666666669</v>
      </c>
      <c r="E33" s="25">
        <f>IF(D41="T",-$D$33,$D$33*0.05)</f>
        <v>-0.41666666666666669</v>
      </c>
      <c r="F33" s="25">
        <f t="shared" ref="F33:BQ33" si="268">IF(E41="T",-$D$33,$D$33*0.05)</f>
        <v>-0.41666666666666669</v>
      </c>
      <c r="G33" s="25">
        <f t="shared" si="268"/>
        <v>-0.41666666666666669</v>
      </c>
      <c r="H33" s="25">
        <f t="shared" si="268"/>
        <v>-0.41666666666666669</v>
      </c>
      <c r="I33" s="25">
        <f t="shared" si="268"/>
        <v>2.0833333333333336E-2</v>
      </c>
      <c r="J33" s="25">
        <f t="shared" si="268"/>
        <v>2.0833333333333336E-2</v>
      </c>
      <c r="K33" s="25">
        <f t="shared" si="268"/>
        <v>2.0833333333333336E-2</v>
      </c>
      <c r="L33" s="25">
        <f t="shared" si="268"/>
        <v>2.0833333333333336E-2</v>
      </c>
      <c r="M33" s="25">
        <f t="shared" si="268"/>
        <v>2.0833333333333336E-2</v>
      </c>
      <c r="N33" s="25">
        <f t="shared" si="268"/>
        <v>2.0833333333333336E-2</v>
      </c>
      <c r="O33" s="25">
        <f t="shared" si="268"/>
        <v>2.0833333333333336E-2</v>
      </c>
      <c r="P33" s="25">
        <f t="shared" si="268"/>
        <v>2.0833333333333336E-2</v>
      </c>
      <c r="Q33" s="25">
        <f t="shared" si="268"/>
        <v>2.0833333333333336E-2</v>
      </c>
      <c r="R33" s="25">
        <f t="shared" si="268"/>
        <v>2.0833333333333336E-2</v>
      </c>
      <c r="S33" s="25">
        <f t="shared" si="268"/>
        <v>2.0833333333333336E-2</v>
      </c>
      <c r="T33" s="25">
        <f t="shared" si="268"/>
        <v>2.0833333333333336E-2</v>
      </c>
      <c r="U33" s="25">
        <f t="shared" si="268"/>
        <v>2.0833333333333336E-2</v>
      </c>
      <c r="V33" s="25">
        <f t="shared" si="268"/>
        <v>2.0833333333333336E-2</v>
      </c>
      <c r="W33" s="25">
        <f t="shared" si="268"/>
        <v>2.0833333333333336E-2</v>
      </c>
      <c r="X33" s="25">
        <f t="shared" si="268"/>
        <v>2.0833333333333336E-2</v>
      </c>
      <c r="Y33" s="25">
        <f t="shared" si="268"/>
        <v>2.0833333333333336E-2</v>
      </c>
      <c r="Z33" s="25">
        <f t="shared" si="268"/>
        <v>2.0833333333333336E-2</v>
      </c>
      <c r="AA33" s="25">
        <f t="shared" si="268"/>
        <v>-0.41666666666666669</v>
      </c>
      <c r="AB33" s="25">
        <f t="shared" si="268"/>
        <v>-0.41666666666666669</v>
      </c>
      <c r="AC33" s="25">
        <f t="shared" si="268"/>
        <v>-0.41666666666666669</v>
      </c>
      <c r="AD33" s="25">
        <f t="shared" si="268"/>
        <v>-0.41666666666666669</v>
      </c>
      <c r="AE33" s="25">
        <f t="shared" si="268"/>
        <v>-0.41666666666666669</v>
      </c>
      <c r="AF33" s="25">
        <f t="shared" si="268"/>
        <v>-0.41666666666666669</v>
      </c>
      <c r="AG33" s="25">
        <f t="shared" si="268"/>
        <v>2.0833333333333336E-2</v>
      </c>
      <c r="AH33" s="25">
        <f t="shared" si="268"/>
        <v>2.0833333333333336E-2</v>
      </c>
      <c r="AI33" s="25">
        <f t="shared" si="268"/>
        <v>2.0833333333333336E-2</v>
      </c>
      <c r="AJ33" s="25">
        <f t="shared" si="268"/>
        <v>2.0833333333333336E-2</v>
      </c>
      <c r="AK33" s="25">
        <f t="shared" si="268"/>
        <v>2.0833333333333336E-2</v>
      </c>
      <c r="AL33" s="25">
        <f t="shared" si="268"/>
        <v>2.0833333333333336E-2</v>
      </c>
      <c r="AM33" s="25">
        <f t="shared" si="268"/>
        <v>2.0833333333333336E-2</v>
      </c>
      <c r="AN33" s="25">
        <f t="shared" si="268"/>
        <v>2.0833333333333336E-2</v>
      </c>
      <c r="AO33" s="25">
        <f t="shared" si="268"/>
        <v>2.0833333333333336E-2</v>
      </c>
      <c r="AP33" s="25">
        <f t="shared" si="268"/>
        <v>2.0833333333333336E-2</v>
      </c>
      <c r="AQ33" s="25">
        <f t="shared" si="268"/>
        <v>2.0833333333333336E-2</v>
      </c>
      <c r="AR33" s="25">
        <f t="shared" si="268"/>
        <v>2.0833333333333336E-2</v>
      </c>
      <c r="AS33" s="25">
        <f t="shared" si="268"/>
        <v>2.0833333333333336E-2</v>
      </c>
      <c r="AT33" s="25">
        <f t="shared" si="268"/>
        <v>2.0833333333333336E-2</v>
      </c>
      <c r="AU33" s="25">
        <f t="shared" si="268"/>
        <v>2.0833333333333336E-2</v>
      </c>
      <c r="AV33" s="25">
        <f t="shared" si="268"/>
        <v>2.0833333333333336E-2</v>
      </c>
      <c r="AW33" s="25">
        <f t="shared" si="268"/>
        <v>2.0833333333333336E-2</v>
      </c>
      <c r="AX33" s="25">
        <f t="shared" si="268"/>
        <v>-0.41666666666666669</v>
      </c>
      <c r="AY33" s="25">
        <f t="shared" si="268"/>
        <v>-0.41666666666666669</v>
      </c>
      <c r="AZ33" s="25">
        <f t="shared" si="268"/>
        <v>-0.41666666666666669</v>
      </c>
      <c r="BA33" s="25">
        <f t="shared" si="268"/>
        <v>-0.41666666666666669</v>
      </c>
      <c r="BB33" s="25">
        <f t="shared" si="268"/>
        <v>-0.41666666666666669</v>
      </c>
      <c r="BC33" s="25">
        <f t="shared" si="268"/>
        <v>-0.41666666666666669</v>
      </c>
      <c r="BD33" s="25">
        <f t="shared" si="268"/>
        <v>-0.41666666666666669</v>
      </c>
      <c r="BE33" s="25">
        <f t="shared" si="268"/>
        <v>2.0833333333333336E-2</v>
      </c>
      <c r="BF33" s="25">
        <f t="shared" si="268"/>
        <v>2.0833333333333336E-2</v>
      </c>
      <c r="BG33" s="25">
        <f t="shared" si="268"/>
        <v>2.0833333333333336E-2</v>
      </c>
      <c r="BH33" s="25">
        <f t="shared" si="268"/>
        <v>2.0833333333333336E-2</v>
      </c>
      <c r="BI33" s="25">
        <f t="shared" si="268"/>
        <v>2.0833333333333336E-2</v>
      </c>
      <c r="BJ33" s="25">
        <f t="shared" si="268"/>
        <v>2.0833333333333336E-2</v>
      </c>
      <c r="BK33" s="25">
        <f t="shared" si="268"/>
        <v>2.0833333333333336E-2</v>
      </c>
      <c r="BL33" s="25">
        <f t="shared" si="268"/>
        <v>2.0833333333333336E-2</v>
      </c>
      <c r="BM33" s="25">
        <f t="shared" si="268"/>
        <v>2.0833333333333336E-2</v>
      </c>
      <c r="BN33" s="25">
        <f t="shared" si="268"/>
        <v>2.0833333333333336E-2</v>
      </c>
      <c r="BO33" s="25">
        <f t="shared" si="268"/>
        <v>2.0833333333333336E-2</v>
      </c>
      <c r="BP33" s="25">
        <f t="shared" si="268"/>
        <v>2.0833333333333336E-2</v>
      </c>
      <c r="BQ33" s="25">
        <f t="shared" si="268"/>
        <v>2.0833333333333336E-2</v>
      </c>
      <c r="BR33" s="25">
        <f t="shared" ref="BR33:DT33" si="269">IF(BQ41="T",-$D$33,$D$33*0.05)</f>
        <v>2.0833333333333336E-2</v>
      </c>
      <c r="BS33" s="25">
        <f t="shared" si="269"/>
        <v>2.0833333333333336E-2</v>
      </c>
      <c r="BT33" s="25">
        <f t="shared" si="269"/>
        <v>2.0833333333333336E-2</v>
      </c>
      <c r="BU33" s="25">
        <f t="shared" si="269"/>
        <v>2.0833333333333336E-2</v>
      </c>
      <c r="BV33" s="25">
        <f t="shared" si="269"/>
        <v>2.0833333333333336E-2</v>
      </c>
      <c r="BW33" s="25">
        <f t="shared" si="269"/>
        <v>-0.41666666666666669</v>
      </c>
      <c r="BX33" s="25">
        <f t="shared" si="269"/>
        <v>-0.41666666666666669</v>
      </c>
      <c r="BY33" s="25">
        <f t="shared" si="269"/>
        <v>-0.41666666666666669</v>
      </c>
      <c r="BZ33" s="25">
        <f t="shared" si="269"/>
        <v>-0.41666666666666669</v>
      </c>
      <c r="CA33" s="25">
        <f t="shared" si="269"/>
        <v>-0.41666666666666669</v>
      </c>
      <c r="CB33" s="25">
        <f t="shared" si="269"/>
        <v>-0.41666666666666669</v>
      </c>
      <c r="CC33" s="25">
        <f t="shared" si="269"/>
        <v>2.0833333333333336E-2</v>
      </c>
      <c r="CD33" s="25">
        <f t="shared" si="269"/>
        <v>2.0833333333333336E-2</v>
      </c>
      <c r="CE33" s="25">
        <f t="shared" si="269"/>
        <v>2.0833333333333336E-2</v>
      </c>
      <c r="CF33" s="25">
        <f t="shared" si="269"/>
        <v>2.0833333333333336E-2</v>
      </c>
      <c r="CG33" s="25">
        <f t="shared" si="269"/>
        <v>2.0833333333333336E-2</v>
      </c>
      <c r="CH33" s="25">
        <f t="shared" si="269"/>
        <v>2.0833333333333336E-2</v>
      </c>
      <c r="CI33" s="25">
        <f t="shared" si="269"/>
        <v>2.0833333333333336E-2</v>
      </c>
      <c r="CJ33" s="25">
        <f t="shared" si="269"/>
        <v>2.0833333333333336E-2</v>
      </c>
      <c r="CK33" s="25">
        <f t="shared" si="269"/>
        <v>2.0833333333333336E-2</v>
      </c>
      <c r="CL33" s="25">
        <f t="shared" si="269"/>
        <v>2.0833333333333336E-2</v>
      </c>
      <c r="CM33" s="25">
        <f t="shared" si="269"/>
        <v>2.0833333333333336E-2</v>
      </c>
      <c r="CN33" s="25">
        <f t="shared" si="269"/>
        <v>2.0833333333333336E-2</v>
      </c>
      <c r="CO33" s="25">
        <f t="shared" si="269"/>
        <v>2.0833333333333336E-2</v>
      </c>
      <c r="CP33" s="25">
        <f t="shared" si="269"/>
        <v>2.0833333333333336E-2</v>
      </c>
      <c r="CQ33" s="25">
        <f t="shared" si="269"/>
        <v>2.0833333333333336E-2</v>
      </c>
      <c r="CR33" s="25">
        <f t="shared" si="269"/>
        <v>2.0833333333333336E-2</v>
      </c>
      <c r="CS33" s="25">
        <f t="shared" si="269"/>
        <v>2.0833333333333336E-2</v>
      </c>
      <c r="CT33" s="25">
        <f t="shared" si="269"/>
        <v>2.0833333333333336E-2</v>
      </c>
      <c r="CU33" s="25">
        <f t="shared" si="269"/>
        <v>-0.41666666666666669</v>
      </c>
      <c r="CV33" s="25">
        <f t="shared" si="269"/>
        <v>-0.41666666666666669</v>
      </c>
      <c r="CW33" s="25">
        <f t="shared" si="269"/>
        <v>-0.41666666666666669</v>
      </c>
      <c r="CX33" s="25">
        <f t="shared" si="269"/>
        <v>-0.41666666666666669</v>
      </c>
      <c r="CY33" s="25">
        <f t="shared" si="269"/>
        <v>-0.41666666666666669</v>
      </c>
      <c r="CZ33" s="25">
        <f t="shared" si="269"/>
        <v>-0.41666666666666669</v>
      </c>
      <c r="DA33" s="25">
        <f t="shared" si="269"/>
        <v>2.0833333333333336E-2</v>
      </c>
      <c r="DB33" s="25">
        <f t="shared" si="269"/>
        <v>2.0833333333333336E-2</v>
      </c>
      <c r="DC33" s="25">
        <f t="shared" si="269"/>
        <v>2.0833333333333336E-2</v>
      </c>
      <c r="DD33" s="25">
        <f t="shared" si="269"/>
        <v>2.0833333333333336E-2</v>
      </c>
      <c r="DE33" s="25">
        <f t="shared" si="269"/>
        <v>2.0833333333333336E-2</v>
      </c>
      <c r="DF33" s="25">
        <f t="shared" si="269"/>
        <v>2.0833333333333336E-2</v>
      </c>
      <c r="DG33" s="25">
        <f t="shared" si="269"/>
        <v>2.0833333333333336E-2</v>
      </c>
      <c r="DH33" s="25">
        <f t="shared" si="269"/>
        <v>2.0833333333333336E-2</v>
      </c>
      <c r="DI33" s="25">
        <f t="shared" si="269"/>
        <v>2.0833333333333336E-2</v>
      </c>
      <c r="DJ33" s="25">
        <f t="shared" si="269"/>
        <v>2.0833333333333336E-2</v>
      </c>
      <c r="DK33" s="25">
        <f t="shared" si="269"/>
        <v>2.0833333333333336E-2</v>
      </c>
      <c r="DL33" s="25">
        <f t="shared" si="269"/>
        <v>2.0833333333333336E-2</v>
      </c>
      <c r="DM33" s="25">
        <f t="shared" si="269"/>
        <v>2.0833333333333336E-2</v>
      </c>
      <c r="DN33" s="25">
        <f t="shared" si="269"/>
        <v>2.0833333333333336E-2</v>
      </c>
      <c r="DO33" s="25">
        <f t="shared" si="269"/>
        <v>2.0833333333333336E-2</v>
      </c>
      <c r="DP33" s="25">
        <f t="shared" si="269"/>
        <v>2.0833333333333336E-2</v>
      </c>
      <c r="DQ33" s="25">
        <f t="shared" si="269"/>
        <v>2.0833333333333336E-2</v>
      </c>
      <c r="DR33" s="25">
        <f t="shared" si="269"/>
        <v>2.0833333333333336E-2</v>
      </c>
      <c r="DS33" s="25">
        <f t="shared" si="269"/>
        <v>-0.41666666666666669</v>
      </c>
      <c r="DT33" s="25">
        <f t="shared" si="269"/>
        <v>-0.41666666666666669</v>
      </c>
    </row>
    <row r="34" spans="2:124" s="11" customFormat="1" x14ac:dyDescent="0.25">
      <c r="B34" s="27" t="s">
        <v>13</v>
      </c>
      <c r="C34" s="73"/>
      <c r="D34" s="100">
        <v>-0.2</v>
      </c>
      <c r="E34" s="28">
        <f>IF(D41="T",-0.2,0.1)</f>
        <v>-0.2</v>
      </c>
      <c r="F34" s="11">
        <f t="shared" ref="F34:BQ34" si="270">IF(E41="T",-0.2,0.1)</f>
        <v>-0.2</v>
      </c>
      <c r="G34" s="11">
        <f t="shared" si="270"/>
        <v>-0.2</v>
      </c>
      <c r="H34" s="11">
        <f t="shared" si="270"/>
        <v>-0.2</v>
      </c>
      <c r="I34" s="11">
        <f t="shared" si="270"/>
        <v>0.1</v>
      </c>
      <c r="J34" s="11">
        <f t="shared" si="270"/>
        <v>0.1</v>
      </c>
      <c r="K34" s="11">
        <f t="shared" si="270"/>
        <v>0.1</v>
      </c>
      <c r="L34" s="11">
        <f t="shared" si="270"/>
        <v>0.1</v>
      </c>
      <c r="M34" s="11">
        <f t="shared" si="270"/>
        <v>0.1</v>
      </c>
      <c r="N34" s="11">
        <f t="shared" si="270"/>
        <v>0.1</v>
      </c>
      <c r="O34" s="11">
        <f t="shared" si="270"/>
        <v>0.1</v>
      </c>
      <c r="P34" s="11">
        <f t="shared" si="270"/>
        <v>0.1</v>
      </c>
      <c r="Q34" s="11">
        <f t="shared" si="270"/>
        <v>0.1</v>
      </c>
      <c r="R34" s="11">
        <f t="shared" si="270"/>
        <v>0.1</v>
      </c>
      <c r="S34" s="11">
        <f t="shared" si="270"/>
        <v>0.1</v>
      </c>
      <c r="T34" s="11">
        <f t="shared" si="270"/>
        <v>0.1</v>
      </c>
      <c r="U34" s="11">
        <f t="shared" si="270"/>
        <v>0.1</v>
      </c>
      <c r="V34" s="11">
        <f t="shared" si="270"/>
        <v>0.1</v>
      </c>
      <c r="W34" s="11">
        <f t="shared" si="270"/>
        <v>0.1</v>
      </c>
      <c r="X34" s="11">
        <f t="shared" si="270"/>
        <v>0.1</v>
      </c>
      <c r="Y34" s="11">
        <f t="shared" si="270"/>
        <v>0.1</v>
      </c>
      <c r="Z34" s="11">
        <f t="shared" si="270"/>
        <v>0.1</v>
      </c>
      <c r="AA34" s="11">
        <f t="shared" si="270"/>
        <v>-0.2</v>
      </c>
      <c r="AB34" s="59">
        <f t="shared" si="270"/>
        <v>-0.2</v>
      </c>
      <c r="AC34" s="28">
        <f t="shared" si="270"/>
        <v>-0.2</v>
      </c>
      <c r="AD34" s="11">
        <f t="shared" si="270"/>
        <v>-0.2</v>
      </c>
      <c r="AE34" s="11">
        <f t="shared" si="270"/>
        <v>-0.2</v>
      </c>
      <c r="AF34" s="11">
        <f t="shared" si="270"/>
        <v>-0.2</v>
      </c>
      <c r="AG34" s="11">
        <f t="shared" si="270"/>
        <v>0.1</v>
      </c>
      <c r="AH34" s="11">
        <f t="shared" si="270"/>
        <v>0.1</v>
      </c>
      <c r="AI34" s="11">
        <f t="shared" si="270"/>
        <v>0.1</v>
      </c>
      <c r="AJ34" s="11">
        <f t="shared" si="270"/>
        <v>0.1</v>
      </c>
      <c r="AK34" s="11">
        <f t="shared" si="270"/>
        <v>0.1</v>
      </c>
      <c r="AL34" s="11">
        <f t="shared" si="270"/>
        <v>0.1</v>
      </c>
      <c r="AM34" s="11">
        <f t="shared" si="270"/>
        <v>0.1</v>
      </c>
      <c r="AN34" s="11">
        <f t="shared" si="270"/>
        <v>0.1</v>
      </c>
      <c r="AO34" s="11">
        <f t="shared" si="270"/>
        <v>0.1</v>
      </c>
      <c r="AP34" s="11">
        <f t="shared" si="270"/>
        <v>0.1</v>
      </c>
      <c r="AQ34" s="11">
        <f t="shared" si="270"/>
        <v>0.1</v>
      </c>
      <c r="AR34" s="11">
        <f t="shared" si="270"/>
        <v>0.1</v>
      </c>
      <c r="AS34" s="11">
        <f t="shared" si="270"/>
        <v>0.1</v>
      </c>
      <c r="AT34" s="11">
        <f t="shared" si="270"/>
        <v>0.1</v>
      </c>
      <c r="AU34" s="11">
        <f t="shared" si="270"/>
        <v>0.1</v>
      </c>
      <c r="AV34" s="11">
        <f t="shared" si="270"/>
        <v>0.1</v>
      </c>
      <c r="AW34" s="11">
        <f t="shared" si="270"/>
        <v>0.1</v>
      </c>
      <c r="AX34" s="11">
        <f t="shared" si="270"/>
        <v>-0.2</v>
      </c>
      <c r="AY34" s="11">
        <f t="shared" si="270"/>
        <v>-0.2</v>
      </c>
      <c r="AZ34" s="59">
        <f t="shared" si="270"/>
        <v>-0.2</v>
      </c>
      <c r="BA34" s="28">
        <f t="shared" si="270"/>
        <v>-0.2</v>
      </c>
      <c r="BB34" s="11">
        <f t="shared" si="270"/>
        <v>-0.2</v>
      </c>
      <c r="BC34" s="11">
        <f t="shared" si="270"/>
        <v>-0.2</v>
      </c>
      <c r="BD34" s="11">
        <f t="shared" si="270"/>
        <v>-0.2</v>
      </c>
      <c r="BE34" s="11">
        <f t="shared" si="270"/>
        <v>0.1</v>
      </c>
      <c r="BF34" s="11">
        <f t="shared" si="270"/>
        <v>0.1</v>
      </c>
      <c r="BG34" s="11">
        <f t="shared" si="270"/>
        <v>0.1</v>
      </c>
      <c r="BH34" s="11">
        <f t="shared" si="270"/>
        <v>0.1</v>
      </c>
      <c r="BI34" s="11">
        <f t="shared" si="270"/>
        <v>0.1</v>
      </c>
      <c r="BJ34" s="11">
        <f t="shared" si="270"/>
        <v>0.1</v>
      </c>
      <c r="BK34" s="11">
        <f t="shared" si="270"/>
        <v>0.1</v>
      </c>
      <c r="BL34" s="11">
        <f t="shared" si="270"/>
        <v>0.1</v>
      </c>
      <c r="BM34" s="11">
        <f t="shared" si="270"/>
        <v>0.1</v>
      </c>
      <c r="BN34" s="11">
        <f t="shared" si="270"/>
        <v>0.1</v>
      </c>
      <c r="BO34" s="11">
        <f t="shared" si="270"/>
        <v>0.1</v>
      </c>
      <c r="BP34" s="11">
        <f t="shared" si="270"/>
        <v>0.1</v>
      </c>
      <c r="BQ34" s="11">
        <f t="shared" si="270"/>
        <v>0.1</v>
      </c>
      <c r="BR34" s="11">
        <f t="shared" ref="BR34:CV34" si="271">IF(BQ41="T",-0.2,0.1)</f>
        <v>0.1</v>
      </c>
      <c r="BS34" s="11">
        <f t="shared" si="271"/>
        <v>0.1</v>
      </c>
      <c r="BT34" s="11">
        <f t="shared" si="271"/>
        <v>0.1</v>
      </c>
      <c r="BU34" s="11">
        <f t="shared" si="271"/>
        <v>0.1</v>
      </c>
      <c r="BV34" s="11">
        <f t="shared" si="271"/>
        <v>0.1</v>
      </c>
      <c r="BW34" s="11">
        <f t="shared" si="271"/>
        <v>-0.2</v>
      </c>
      <c r="BX34" s="59">
        <f t="shared" si="271"/>
        <v>-0.2</v>
      </c>
      <c r="BY34" s="28">
        <f t="shared" si="271"/>
        <v>-0.2</v>
      </c>
      <c r="BZ34" s="11">
        <f t="shared" si="271"/>
        <v>-0.2</v>
      </c>
      <c r="CA34" s="11">
        <f t="shared" si="271"/>
        <v>-0.2</v>
      </c>
      <c r="CB34" s="11">
        <f t="shared" si="271"/>
        <v>-0.2</v>
      </c>
      <c r="CC34" s="11">
        <f t="shared" si="271"/>
        <v>0.1</v>
      </c>
      <c r="CD34" s="11">
        <f t="shared" si="271"/>
        <v>0.1</v>
      </c>
      <c r="CE34" s="11">
        <f t="shared" si="271"/>
        <v>0.1</v>
      </c>
      <c r="CF34" s="11">
        <f t="shared" si="271"/>
        <v>0.1</v>
      </c>
      <c r="CG34" s="11">
        <f t="shared" si="271"/>
        <v>0.1</v>
      </c>
      <c r="CH34" s="11">
        <f t="shared" si="271"/>
        <v>0.1</v>
      </c>
      <c r="CI34" s="11">
        <f t="shared" si="271"/>
        <v>0.1</v>
      </c>
      <c r="CJ34" s="11">
        <f t="shared" si="271"/>
        <v>0.1</v>
      </c>
      <c r="CK34" s="11">
        <f t="shared" si="271"/>
        <v>0.1</v>
      </c>
      <c r="CL34" s="11">
        <f t="shared" si="271"/>
        <v>0.1</v>
      </c>
      <c r="CM34" s="11">
        <f t="shared" si="271"/>
        <v>0.1</v>
      </c>
      <c r="CN34" s="11">
        <f t="shared" si="271"/>
        <v>0.1</v>
      </c>
      <c r="CO34" s="11">
        <f t="shared" si="271"/>
        <v>0.1</v>
      </c>
      <c r="CP34" s="11">
        <f t="shared" si="271"/>
        <v>0.1</v>
      </c>
      <c r="CQ34" s="11">
        <f t="shared" si="271"/>
        <v>0.1</v>
      </c>
      <c r="CR34" s="11">
        <f t="shared" si="271"/>
        <v>0.1</v>
      </c>
      <c r="CS34" s="11">
        <f t="shared" si="271"/>
        <v>0.1</v>
      </c>
      <c r="CT34" s="11">
        <f t="shared" si="271"/>
        <v>0.1</v>
      </c>
      <c r="CU34" s="11">
        <f t="shared" si="271"/>
        <v>-0.2</v>
      </c>
      <c r="CV34" s="59">
        <f t="shared" si="271"/>
        <v>-0.2</v>
      </c>
      <c r="CW34" s="28">
        <f t="shared" ref="CW34:DT34" si="272">IF(CV41="T",-0.2,0.1)</f>
        <v>-0.2</v>
      </c>
      <c r="CX34" s="11">
        <f t="shared" si="272"/>
        <v>-0.2</v>
      </c>
      <c r="CY34" s="11">
        <f t="shared" si="272"/>
        <v>-0.2</v>
      </c>
      <c r="CZ34" s="11">
        <f t="shared" si="272"/>
        <v>-0.2</v>
      </c>
      <c r="DA34" s="11">
        <f t="shared" si="272"/>
        <v>0.1</v>
      </c>
      <c r="DB34" s="11">
        <f t="shared" si="272"/>
        <v>0.1</v>
      </c>
      <c r="DC34" s="11">
        <f t="shared" si="272"/>
        <v>0.1</v>
      </c>
      <c r="DD34" s="11">
        <f t="shared" si="272"/>
        <v>0.1</v>
      </c>
      <c r="DE34" s="11">
        <f t="shared" si="272"/>
        <v>0.1</v>
      </c>
      <c r="DF34" s="11">
        <f t="shared" si="272"/>
        <v>0.1</v>
      </c>
      <c r="DG34" s="11">
        <f t="shared" si="272"/>
        <v>0.1</v>
      </c>
      <c r="DH34" s="11">
        <f t="shared" si="272"/>
        <v>0.1</v>
      </c>
      <c r="DI34" s="11">
        <f t="shared" si="272"/>
        <v>0.1</v>
      </c>
      <c r="DJ34" s="11">
        <f t="shared" si="272"/>
        <v>0.1</v>
      </c>
      <c r="DK34" s="11">
        <f t="shared" si="272"/>
        <v>0.1</v>
      </c>
      <c r="DL34" s="11">
        <f t="shared" si="272"/>
        <v>0.1</v>
      </c>
      <c r="DM34" s="11">
        <f t="shared" si="272"/>
        <v>0.1</v>
      </c>
      <c r="DN34" s="11">
        <f t="shared" si="272"/>
        <v>0.1</v>
      </c>
      <c r="DO34" s="11">
        <f t="shared" si="272"/>
        <v>0.1</v>
      </c>
      <c r="DP34" s="11">
        <f t="shared" si="272"/>
        <v>0.1</v>
      </c>
      <c r="DQ34" s="11">
        <f t="shared" si="272"/>
        <v>0.1</v>
      </c>
      <c r="DR34" s="11">
        <f t="shared" si="272"/>
        <v>0.1</v>
      </c>
      <c r="DS34" s="11">
        <f t="shared" si="272"/>
        <v>-0.2</v>
      </c>
      <c r="DT34" s="11">
        <f t="shared" si="272"/>
        <v>-0.2</v>
      </c>
    </row>
    <row r="35" spans="2:124" x14ac:dyDescent="0.25">
      <c r="B35" s="3" t="s">
        <v>14</v>
      </c>
      <c r="D35" s="100">
        <v>1</v>
      </c>
      <c r="E35" s="29">
        <v>1.0609999999999999</v>
      </c>
      <c r="F35" s="30">
        <v>1.0609999999999999</v>
      </c>
      <c r="G35" s="30">
        <v>1.0609999999999999</v>
      </c>
      <c r="H35" s="30">
        <v>1.0609999999999999</v>
      </c>
      <c r="I35" s="30">
        <v>1.0609999999999999</v>
      </c>
      <c r="J35" s="30">
        <v>1.0609999999999999</v>
      </c>
      <c r="K35" s="30">
        <v>1.0609999999999999</v>
      </c>
      <c r="L35" s="30">
        <v>1.0609999999999999</v>
      </c>
      <c r="M35" s="30">
        <v>1.0609999999999999</v>
      </c>
      <c r="N35" s="30">
        <v>1.0609999999999999</v>
      </c>
      <c r="O35" s="30">
        <v>1.0609999999999999</v>
      </c>
      <c r="P35" s="30">
        <v>1.0609999999999999</v>
      </c>
      <c r="Q35" s="30">
        <v>1.0609999999999999</v>
      </c>
      <c r="R35" s="30">
        <v>1.0609999999999999</v>
      </c>
      <c r="S35" s="30">
        <v>1.0609999999999999</v>
      </c>
      <c r="T35" s="30">
        <v>1.0609999999999999</v>
      </c>
      <c r="U35" s="30">
        <v>1.0609999999999999</v>
      </c>
      <c r="V35" s="30">
        <v>1.0609999999999999</v>
      </c>
      <c r="W35" s="30">
        <v>1.0609999999999999</v>
      </c>
      <c r="X35" s="30">
        <v>1.0609999999999999</v>
      </c>
      <c r="Y35" s="30">
        <v>1.0609999999999999</v>
      </c>
      <c r="Z35" s="30">
        <v>1.0609999999999999</v>
      </c>
      <c r="AA35" s="30">
        <v>1.0609999999999999</v>
      </c>
      <c r="AB35" s="60">
        <v>1.0609999999999999</v>
      </c>
      <c r="AC35" s="29">
        <v>1.0609999999999999</v>
      </c>
      <c r="AD35" s="30">
        <v>1.0609999999999999</v>
      </c>
      <c r="AE35" s="30">
        <v>1.0609999999999999</v>
      </c>
      <c r="AF35" s="30">
        <v>1.0609999999999999</v>
      </c>
      <c r="AG35" s="30">
        <v>1.0609999999999999</v>
      </c>
      <c r="AH35" s="30">
        <v>1.0609999999999999</v>
      </c>
      <c r="AI35" s="30">
        <v>1.0609999999999999</v>
      </c>
      <c r="AJ35" s="30">
        <v>1.0609999999999999</v>
      </c>
      <c r="AK35" s="30">
        <v>1.0609999999999999</v>
      </c>
      <c r="AL35" s="30">
        <v>1.0609999999999999</v>
      </c>
      <c r="AM35" s="30">
        <v>1.0609999999999999</v>
      </c>
      <c r="AN35" s="30">
        <v>1.0609999999999999</v>
      </c>
      <c r="AO35" s="30">
        <v>1.0609999999999999</v>
      </c>
      <c r="AP35" s="30">
        <v>1.0609999999999999</v>
      </c>
      <c r="AQ35" s="30">
        <v>1.0609999999999999</v>
      </c>
      <c r="AR35" s="30">
        <v>1.0609999999999999</v>
      </c>
      <c r="AS35" s="30">
        <v>1.0609999999999999</v>
      </c>
      <c r="AT35" s="30">
        <v>1.0609999999999999</v>
      </c>
      <c r="AU35" s="30">
        <v>1.0609999999999999</v>
      </c>
      <c r="AV35" s="30">
        <v>1.0609999999999999</v>
      </c>
      <c r="AW35" s="30">
        <v>1.0609999999999999</v>
      </c>
      <c r="AX35" s="30">
        <v>1.0609999999999999</v>
      </c>
      <c r="AY35" s="30">
        <v>1.0609999999999999</v>
      </c>
      <c r="AZ35" s="60">
        <v>1.0609999999999999</v>
      </c>
      <c r="BA35" s="29">
        <v>1.0609999999999999</v>
      </c>
      <c r="BB35" s="30">
        <v>1.0609999999999999</v>
      </c>
      <c r="BC35" s="30">
        <v>1.0609999999999999</v>
      </c>
      <c r="BD35" s="30">
        <v>1.0609999999999999</v>
      </c>
      <c r="BE35" s="30">
        <v>1.0609999999999999</v>
      </c>
      <c r="BF35" s="30">
        <v>1.0609999999999999</v>
      </c>
      <c r="BG35" s="30">
        <v>1.0609999999999999</v>
      </c>
      <c r="BH35" s="30">
        <v>1.0609999999999999</v>
      </c>
      <c r="BI35" s="30">
        <v>1.0609999999999999</v>
      </c>
      <c r="BJ35" s="30">
        <v>1.0609999999999999</v>
      </c>
      <c r="BK35" s="30">
        <v>1.0609999999999999</v>
      </c>
      <c r="BL35" s="30">
        <v>1.0609999999999999</v>
      </c>
      <c r="BM35" s="30">
        <v>1.0609999999999999</v>
      </c>
      <c r="BN35" s="30">
        <v>1.0609999999999999</v>
      </c>
      <c r="BO35" s="30">
        <v>1.0609999999999999</v>
      </c>
      <c r="BP35" s="30">
        <v>1.0609999999999999</v>
      </c>
      <c r="BQ35" s="30">
        <v>1.0609999999999999</v>
      </c>
      <c r="BR35" s="30">
        <v>1.0609999999999999</v>
      </c>
      <c r="BS35" s="30">
        <v>1.0609999999999999</v>
      </c>
      <c r="BT35" s="30">
        <v>1.0609999999999999</v>
      </c>
      <c r="BU35" s="30">
        <v>1.0609999999999999</v>
      </c>
      <c r="BV35" s="30">
        <v>1.0609999999999999</v>
      </c>
      <c r="BW35" s="30">
        <v>1.0609999999999999</v>
      </c>
      <c r="BX35" s="60">
        <v>1.0609999999999999</v>
      </c>
      <c r="BY35" s="29">
        <v>1.0609999999999999</v>
      </c>
      <c r="BZ35" s="30">
        <v>1.0609999999999999</v>
      </c>
      <c r="CA35" s="30">
        <v>1.0609999999999999</v>
      </c>
      <c r="CB35" s="30">
        <v>1.0609999999999999</v>
      </c>
      <c r="CC35" s="30">
        <v>1.0609999999999999</v>
      </c>
      <c r="CD35" s="30">
        <v>1.0609999999999999</v>
      </c>
      <c r="CE35" s="30">
        <v>1.0609999999999999</v>
      </c>
      <c r="CF35" s="30">
        <v>1.0609999999999999</v>
      </c>
      <c r="CG35" s="30">
        <v>1.0609999999999999</v>
      </c>
      <c r="CH35" s="30">
        <v>1.0609999999999999</v>
      </c>
      <c r="CI35" s="30">
        <v>1.0609999999999999</v>
      </c>
      <c r="CJ35" s="30">
        <v>1.0609999999999999</v>
      </c>
      <c r="CK35" s="30">
        <v>1.0609999999999999</v>
      </c>
      <c r="CL35" s="30">
        <v>1.0609999999999999</v>
      </c>
      <c r="CM35" s="30">
        <v>1.0609999999999999</v>
      </c>
      <c r="CN35" s="30">
        <v>1.0609999999999999</v>
      </c>
      <c r="CO35" s="30">
        <v>1.0609999999999999</v>
      </c>
      <c r="CP35" s="30">
        <v>1.0609999999999999</v>
      </c>
      <c r="CQ35" s="30">
        <v>1.0609999999999999</v>
      </c>
      <c r="CR35" s="30">
        <v>1.0609999999999999</v>
      </c>
      <c r="CS35" s="30">
        <v>1.0609999999999999</v>
      </c>
      <c r="CT35" s="30">
        <v>1.0609999999999999</v>
      </c>
      <c r="CU35" s="30">
        <v>1.0609999999999999</v>
      </c>
      <c r="CV35" s="60">
        <v>1.0609999999999999</v>
      </c>
      <c r="CW35" s="29">
        <v>1.0609999999999999</v>
      </c>
      <c r="CX35" s="30">
        <v>1.0609999999999999</v>
      </c>
      <c r="CY35" s="30">
        <v>1.0609999999999999</v>
      </c>
      <c r="CZ35" s="30">
        <v>1.0609999999999999</v>
      </c>
      <c r="DA35" s="30">
        <v>1.0609999999999999</v>
      </c>
      <c r="DB35" s="30">
        <v>1.0609999999999999</v>
      </c>
      <c r="DC35" s="30">
        <v>1.0609999999999999</v>
      </c>
      <c r="DD35" s="30">
        <v>1.0609999999999999</v>
      </c>
      <c r="DE35" s="30">
        <v>1.0609999999999999</v>
      </c>
      <c r="DF35" s="30">
        <v>1.0609999999999999</v>
      </c>
      <c r="DG35" s="30">
        <v>1.0609999999999999</v>
      </c>
      <c r="DH35" s="30">
        <v>1.0609999999999999</v>
      </c>
      <c r="DI35" s="30">
        <v>1.0609999999999999</v>
      </c>
      <c r="DJ35" s="30">
        <v>1.0609999999999999</v>
      </c>
      <c r="DK35" s="30">
        <v>1.0609999999999999</v>
      </c>
      <c r="DL35" s="30">
        <v>1.0609999999999999</v>
      </c>
      <c r="DM35" s="30">
        <v>1.0609999999999999</v>
      </c>
      <c r="DN35" s="30">
        <v>1.0609999999999999</v>
      </c>
      <c r="DO35" s="30">
        <v>1.0609999999999999</v>
      </c>
      <c r="DP35" s="30">
        <v>1.0609999999999999</v>
      </c>
      <c r="DQ35" s="30">
        <v>1.0609999999999999</v>
      </c>
      <c r="DR35" s="30">
        <v>1.0609999999999999</v>
      </c>
      <c r="DS35" s="30">
        <v>1.0609999999999999</v>
      </c>
      <c r="DT35" s="30">
        <v>1.0609999999999999</v>
      </c>
    </row>
    <row r="36" spans="2:124" x14ac:dyDescent="0.25">
      <c r="B36" s="3" t="s">
        <v>15</v>
      </c>
      <c r="D36" s="100">
        <f>D32+(D33*D35)+D34</f>
        <v>6.2166666666666668</v>
      </c>
      <c r="E36" s="29">
        <f t="shared" ref="E36:AZ36" si="273">E32+(E33*E35)+E34</f>
        <v>5.99125</v>
      </c>
      <c r="F36" s="30">
        <f t="shared" si="273"/>
        <v>6.2297222222222217</v>
      </c>
      <c r="G36" s="30">
        <f t="shared" si="273"/>
        <v>6.259623629028467</v>
      </c>
      <c r="H36" s="30">
        <f t="shared" si="273"/>
        <v>2.4488099810970261</v>
      </c>
      <c r="I36" s="30">
        <f t="shared" si="273"/>
        <v>-0.6731163303820964</v>
      </c>
      <c r="J36" s="30">
        <f t="shared" si="273"/>
        <v>-0.31555025100390321</v>
      </c>
      <c r="K36" s="30">
        <f t="shared" si="273"/>
        <v>4.3365967945946708E-2</v>
      </c>
      <c r="L36" s="30">
        <f t="shared" si="273"/>
        <v>0.41062011877694937</v>
      </c>
      <c r="M36" s="30">
        <f t="shared" si="273"/>
        <v>0.78271830533435693</v>
      </c>
      <c r="N36" s="30">
        <f t="shared" si="273"/>
        <v>1.0303810176112089</v>
      </c>
      <c r="O36" s="30">
        <f t="shared" si="273"/>
        <v>1.3419051586446813</v>
      </c>
      <c r="P36" s="30">
        <f t="shared" si="273"/>
        <v>1.6231422769161858</v>
      </c>
      <c r="Q36" s="30">
        <f t="shared" si="273"/>
        <v>1.921166598185017</v>
      </c>
      <c r="R36" s="30">
        <f t="shared" si="273"/>
        <v>2.2124410095715281</v>
      </c>
      <c r="S36" s="30">
        <f t="shared" si="273"/>
        <v>2.5087340675155421</v>
      </c>
      <c r="T36" s="30">
        <f t="shared" si="273"/>
        <v>2.8041614937971473</v>
      </c>
      <c r="U36" s="30">
        <f t="shared" si="273"/>
        <v>3.0901595862119007</v>
      </c>
      <c r="V36" s="30">
        <f t="shared" si="273"/>
        <v>3.3864712137132691</v>
      </c>
      <c r="W36" s="30">
        <f t="shared" si="273"/>
        <v>3.6832249418245193</v>
      </c>
      <c r="X36" s="30">
        <f t="shared" si="273"/>
        <v>3.985356487784018</v>
      </c>
      <c r="Y36" s="30">
        <f t="shared" si="273"/>
        <v>4.2903979929725811</v>
      </c>
      <c r="Z36" s="30">
        <f t="shared" si="273"/>
        <v>6.5715890459338544</v>
      </c>
      <c r="AA36" s="30">
        <f t="shared" si="273"/>
        <v>8.1062259988067993</v>
      </c>
      <c r="AB36" s="60">
        <f t="shared" si="273"/>
        <v>8.2002544255219334</v>
      </c>
      <c r="AC36" s="29">
        <f t="shared" si="273"/>
        <v>8.2835412631971579</v>
      </c>
      <c r="AD36" s="30">
        <f t="shared" si="273"/>
        <v>8.3732363766068545</v>
      </c>
      <c r="AE36" s="30">
        <f t="shared" si="273"/>
        <v>8.4607648333638323</v>
      </c>
      <c r="AF36" s="30">
        <f t="shared" si="273"/>
        <v>4.5504140996616851</v>
      </c>
      <c r="AG36" s="30">
        <f t="shared" si="273"/>
        <v>1.4042279424036164</v>
      </c>
      <c r="AH36" s="30">
        <f t="shared" si="273"/>
        <v>1.6965907281380264</v>
      </c>
      <c r="AI36" s="30">
        <f t="shared" si="273"/>
        <v>2.0074705495075547</v>
      </c>
      <c r="AJ36" s="30">
        <f t="shared" si="273"/>
        <v>2.3148000268575482</v>
      </c>
      <c r="AK36" s="30">
        <f t="shared" si="273"/>
        <v>2.6296128500153335</v>
      </c>
      <c r="AL36" s="30">
        <f t="shared" si="273"/>
        <v>2.9059182439919971</v>
      </c>
      <c r="AM36" s="30">
        <f t="shared" si="273"/>
        <v>3.2053128082670921</v>
      </c>
      <c r="AN36" s="30">
        <f t="shared" si="273"/>
        <v>3.4969982431008422</v>
      </c>
      <c r="AO36" s="30">
        <f t="shared" si="273"/>
        <v>3.7963736983631353</v>
      </c>
      <c r="AP36" s="30">
        <f t="shared" si="273"/>
        <v>4.0957395991190273</v>
      </c>
      <c r="AQ36" s="30">
        <f t="shared" si="273"/>
        <v>4.3989457328359896</v>
      </c>
      <c r="AR36" s="30">
        <f t="shared" si="273"/>
        <v>4.6810544715330629</v>
      </c>
      <c r="AS36" s="30">
        <f t="shared" si="273"/>
        <v>4.979536130998679</v>
      </c>
      <c r="AT36" s="30">
        <f t="shared" si="273"/>
        <v>5.2756555533386216</v>
      </c>
      <c r="AU36" s="30">
        <f t="shared" si="273"/>
        <v>5.5787803174999979</v>
      </c>
      <c r="AV36" s="30">
        <f t="shared" si="273"/>
        <v>5.8842266340092548</v>
      </c>
      <c r="AW36" s="30">
        <f t="shared" si="273"/>
        <v>6.1943363976031698</v>
      </c>
      <c r="AX36" s="30">
        <f t="shared" si="273"/>
        <v>7.7088058213617661</v>
      </c>
      <c r="AY36" s="30">
        <f t="shared" si="273"/>
        <v>7.8067292580314023</v>
      </c>
      <c r="AZ36" s="60">
        <f t="shared" si="273"/>
        <v>7.8813992553220595</v>
      </c>
      <c r="BA36" s="29">
        <f t="shared" ref="BA36:BX36" si="274">BA32+(BA33*BA35)+BA34</f>
        <v>7.9682528727120809</v>
      </c>
      <c r="BB36" s="30">
        <f t="shared" si="274"/>
        <v>8.0495715804622954</v>
      </c>
      <c r="BC36" s="30">
        <f t="shared" si="274"/>
        <v>8.1342146434422844</v>
      </c>
      <c r="BD36" s="30">
        <f t="shared" si="274"/>
        <v>4.2177524292172572</v>
      </c>
      <c r="BE36" s="30">
        <f t="shared" si="274"/>
        <v>1.066587254004612</v>
      </c>
      <c r="BF36" s="30">
        <f t="shared" si="274"/>
        <v>1.3529242096956491</v>
      </c>
      <c r="BG36" s="30">
        <f t="shared" si="274"/>
        <v>1.6578210262615578</v>
      </c>
      <c r="BH36" s="30">
        <f t="shared" si="274"/>
        <v>1.9586655053834103</v>
      </c>
      <c r="BI36" s="30">
        <f t="shared" si="274"/>
        <v>2.2667637462206711</v>
      </c>
      <c r="BJ36" s="30">
        <f t="shared" si="274"/>
        <v>2.5464264313575971</v>
      </c>
      <c r="BK36" s="30">
        <f t="shared" si="274"/>
        <v>2.8448974565452447</v>
      </c>
      <c r="BL36" s="30">
        <f t="shared" si="274"/>
        <v>3.138554873908086</v>
      </c>
      <c r="BM36" s="30">
        <f t="shared" si="274"/>
        <v>3.4392096573838846</v>
      </c>
      <c r="BN36" s="30">
        <f t="shared" si="274"/>
        <v>3.7409563200037588</v>
      </c>
      <c r="BO36" s="30">
        <f t="shared" si="274"/>
        <v>4.0467476052521496</v>
      </c>
      <c r="BP36" s="30">
        <f t="shared" si="274"/>
        <v>4.3275637681835093</v>
      </c>
      <c r="BQ36" s="30">
        <f t="shared" si="274"/>
        <v>4.6264651835841768</v>
      </c>
      <c r="BR36" s="30">
        <f t="shared" si="274"/>
        <v>4.9219216640609833</v>
      </c>
      <c r="BS36" s="30">
        <f t="shared" si="274"/>
        <v>5.2246983033105128</v>
      </c>
      <c r="BT36" s="30">
        <f t="shared" si="274"/>
        <v>5.5294125544844732</v>
      </c>
      <c r="BU36" s="30">
        <f t="shared" si="274"/>
        <v>5.8387556910070106</v>
      </c>
      <c r="BV36" s="30">
        <f t="shared" si="274"/>
        <v>8.1177959283012964</v>
      </c>
      <c r="BW36" s="30">
        <f t="shared" si="274"/>
        <v>7.6530956677874293</v>
      </c>
      <c r="BX36" s="60">
        <f t="shared" si="274"/>
        <v>7.7459674587553593</v>
      </c>
      <c r="BY36" s="29">
        <f t="shared" ref="BY36:CV36" si="275">BY32+(BY33*BY35)+BY34</f>
        <v>7.8285947506432718</v>
      </c>
      <c r="BZ36" s="30">
        <f t="shared" si="275"/>
        <v>7.9169691520654082</v>
      </c>
      <c r="CA36" s="30">
        <f t="shared" si="275"/>
        <v>8.0030948587146504</v>
      </c>
      <c r="CB36" s="30">
        <f t="shared" si="275"/>
        <v>4.0909697727445531</v>
      </c>
      <c r="CC36" s="30">
        <f t="shared" si="275"/>
        <v>0.94278244307834025</v>
      </c>
      <c r="CD36" s="30">
        <f t="shared" si="275"/>
        <v>1.2328448452543999</v>
      </c>
      <c r="CE36" s="30">
        <f t="shared" si="275"/>
        <v>1.5411612674203774</v>
      </c>
      <c r="CF36" s="30">
        <f t="shared" si="275"/>
        <v>1.8456462321691172</v>
      </c>
      <c r="CG36" s="30">
        <f t="shared" si="275"/>
        <v>2.1573424782041974</v>
      </c>
      <c r="CH36" s="30">
        <f t="shared" si="275"/>
        <v>2.4352061607422133</v>
      </c>
      <c r="CI36" s="30">
        <f t="shared" si="275"/>
        <v>2.734069153468814</v>
      </c>
      <c r="CJ36" s="30">
        <f t="shared" si="275"/>
        <v>3.0265155195411748</v>
      </c>
      <c r="CK36" s="30">
        <f t="shared" si="275"/>
        <v>3.3262532273807079</v>
      </c>
      <c r="CL36" s="30">
        <f t="shared" si="275"/>
        <v>3.6264282927767071</v>
      </c>
      <c r="CM36" s="30">
        <f t="shared" si="275"/>
        <v>3.9304677078345258</v>
      </c>
      <c r="CN36" s="30">
        <f t="shared" si="275"/>
        <v>4.2121598058611722</v>
      </c>
      <c r="CO36" s="30">
        <f t="shared" si="275"/>
        <v>4.5107755138423471</v>
      </c>
      <c r="CP36" s="30">
        <f t="shared" si="275"/>
        <v>4.8066793682852005</v>
      </c>
      <c r="CQ36" s="30">
        <f t="shared" si="275"/>
        <v>5.1096891009361576</v>
      </c>
      <c r="CR36" s="30">
        <f t="shared" si="275"/>
        <v>5.4148958459220058</v>
      </c>
      <c r="CS36" s="30">
        <f t="shared" si="275"/>
        <v>5.7247540361793519</v>
      </c>
      <c r="CT36" s="30">
        <f t="shared" si="275"/>
        <v>8.0035367466062333</v>
      </c>
      <c r="CU36" s="30">
        <f t="shared" si="275"/>
        <v>7.5389195714876234</v>
      </c>
      <c r="CV36" s="60">
        <f t="shared" si="275"/>
        <v>7.6316584636810347</v>
      </c>
      <c r="CW36" s="29">
        <f t="shared" ref="CW36:DT36" si="276">CW32+(CW33*CW35)+CW34</f>
        <v>7.7142151708408715</v>
      </c>
      <c r="CX36" s="30">
        <f t="shared" si="276"/>
        <v>7.8024421524732661</v>
      </c>
      <c r="CY36" s="30">
        <f t="shared" si="276"/>
        <v>7.8884131788251528</v>
      </c>
      <c r="CZ36" s="30">
        <f t="shared" si="276"/>
        <v>3.9760913647730609</v>
      </c>
      <c r="DA36" s="30">
        <f t="shared" si="276"/>
        <v>0.827682652878728</v>
      </c>
      <c r="DB36" s="30">
        <f t="shared" si="276"/>
        <v>1.1174903218612862</v>
      </c>
      <c r="DC36" s="30">
        <f t="shared" si="276"/>
        <v>1.4255230082780079</v>
      </c>
      <c r="DD36" s="30">
        <f t="shared" si="276"/>
        <v>1.7296930605169236</v>
      </c>
      <c r="DE36" s="30">
        <f t="shared" si="276"/>
        <v>2.0410443043840183</v>
      </c>
      <c r="DF36" s="30">
        <f t="shared" si="276"/>
        <v>2.3190804880060267</v>
      </c>
      <c r="DG36" s="30">
        <f t="shared" si="276"/>
        <v>2.6178846370136983</v>
      </c>
      <c r="DH36" s="30">
        <f t="shared" si="276"/>
        <v>2.910415238591658</v>
      </c>
      <c r="DI36" s="30">
        <f t="shared" si="276"/>
        <v>3.210193049147593</v>
      </c>
      <c r="DJ36" s="30">
        <f t="shared" si="276"/>
        <v>3.5104576904776597</v>
      </c>
      <c r="DK36" s="30">
        <f t="shared" si="276"/>
        <v>3.8145893516837801</v>
      </c>
      <c r="DL36" s="30">
        <f t="shared" si="276"/>
        <v>4.0962353266362754</v>
      </c>
      <c r="DM36" s="30">
        <f t="shared" si="276"/>
        <v>4.3948658741076061</v>
      </c>
      <c r="DN36" s="30">
        <f t="shared" si="276"/>
        <v>4.6907458647115421</v>
      </c>
      <c r="DO36" s="30">
        <f t="shared" si="276"/>
        <v>4.9937428631411978</v>
      </c>
      <c r="DP36" s="30">
        <f t="shared" si="276"/>
        <v>5.2989230870500164</v>
      </c>
      <c r="DQ36" s="30">
        <f t="shared" si="276"/>
        <v>5.6087534276112772</v>
      </c>
      <c r="DR36" s="30">
        <f t="shared" si="276"/>
        <v>7.8875500628862021</v>
      </c>
      <c r="DS36" s="30">
        <f t="shared" si="276"/>
        <v>7.4229283919576474</v>
      </c>
      <c r="DT36" s="30">
        <f t="shared" si="276"/>
        <v>7.5156744652841834</v>
      </c>
    </row>
    <row r="37" spans="2:124" x14ac:dyDescent="0.25">
      <c r="B37" s="3" t="s">
        <v>27</v>
      </c>
      <c r="D37" s="100">
        <f>D36</f>
        <v>6.2166666666666668</v>
      </c>
      <c r="E37" s="29">
        <f>E36+(D29/24)</f>
        <v>6.2884722222222225</v>
      </c>
      <c r="F37" s="30">
        <f t="shared" ref="F37:BQ37" si="277">F36+(E29/24)</f>
        <v>6.3183736290284678</v>
      </c>
      <c r="G37" s="30">
        <f t="shared" si="277"/>
        <v>6.5075599810970264</v>
      </c>
      <c r="H37" s="30">
        <f t="shared" si="277"/>
        <v>2.6214461696179034</v>
      </c>
      <c r="I37" s="30">
        <f t="shared" si="277"/>
        <v>-0.45848775100390315</v>
      </c>
      <c r="J37" s="30">
        <f t="shared" si="277"/>
        <v>-9.9571532054053308E-2</v>
      </c>
      <c r="K37" s="30">
        <f t="shared" si="277"/>
        <v>0.26768261877694943</v>
      </c>
      <c r="L37" s="30">
        <f t="shared" si="277"/>
        <v>0.63978080533435688</v>
      </c>
      <c r="M37" s="30">
        <f t="shared" si="277"/>
        <v>0.88744351761120877</v>
      </c>
      <c r="N37" s="30">
        <f t="shared" si="277"/>
        <v>1.1989676586446814</v>
      </c>
      <c r="O37" s="30">
        <f t="shared" si="277"/>
        <v>1.4802047769161859</v>
      </c>
      <c r="P37" s="30">
        <f t="shared" si="277"/>
        <v>1.7782290981850171</v>
      </c>
      <c r="Q37" s="30">
        <f t="shared" si="277"/>
        <v>2.0695035095715277</v>
      </c>
      <c r="R37" s="30">
        <f t="shared" si="277"/>
        <v>2.3657965675155417</v>
      </c>
      <c r="S37" s="30">
        <f t="shared" si="277"/>
        <v>2.6612239937971469</v>
      </c>
      <c r="T37" s="30">
        <f t="shared" si="277"/>
        <v>2.9472220862119003</v>
      </c>
      <c r="U37" s="30">
        <f t="shared" si="277"/>
        <v>3.2435337137132687</v>
      </c>
      <c r="V37" s="30">
        <f t="shared" si="277"/>
        <v>3.5402874418245189</v>
      </c>
      <c r="W37" s="30">
        <f t="shared" si="277"/>
        <v>3.8424189877840176</v>
      </c>
      <c r="X37" s="30">
        <f t="shared" si="277"/>
        <v>4.1474604929725816</v>
      </c>
      <c r="Y37" s="30">
        <f t="shared" si="277"/>
        <v>4.4286515459338549</v>
      </c>
      <c r="Z37" s="30">
        <f t="shared" si="277"/>
        <v>6.7274759988067974</v>
      </c>
      <c r="AA37" s="30">
        <f t="shared" si="277"/>
        <v>8.2590044255219315</v>
      </c>
      <c r="AB37" s="60">
        <f t="shared" si="277"/>
        <v>8.342291263197156</v>
      </c>
      <c r="AC37" s="29">
        <f t="shared" si="277"/>
        <v>8.4319863766068526</v>
      </c>
      <c r="AD37" s="30">
        <f t="shared" si="277"/>
        <v>8.5195148333638304</v>
      </c>
      <c r="AE37" s="30">
        <f t="shared" si="277"/>
        <v>8.6091640996616849</v>
      </c>
      <c r="AF37" s="30">
        <f t="shared" si="277"/>
        <v>4.6987904424036167</v>
      </c>
      <c r="AG37" s="30">
        <f t="shared" si="277"/>
        <v>1.5536532281380264</v>
      </c>
      <c r="AH37" s="30">
        <f t="shared" si="277"/>
        <v>1.8645330495075547</v>
      </c>
      <c r="AI37" s="30">
        <f t="shared" si="277"/>
        <v>2.1718625268575478</v>
      </c>
      <c r="AJ37" s="30">
        <f t="shared" si="277"/>
        <v>2.4866753500153331</v>
      </c>
      <c r="AK37" s="30">
        <f t="shared" si="277"/>
        <v>2.7629807439919967</v>
      </c>
      <c r="AL37" s="30">
        <f t="shared" si="277"/>
        <v>3.0623753082670917</v>
      </c>
      <c r="AM37" s="30">
        <f t="shared" si="277"/>
        <v>3.3540607431008418</v>
      </c>
      <c r="AN37" s="30">
        <f t="shared" si="277"/>
        <v>3.6534361983631349</v>
      </c>
      <c r="AO37" s="30">
        <f t="shared" si="277"/>
        <v>3.9528020991190274</v>
      </c>
      <c r="AP37" s="30">
        <f t="shared" si="277"/>
        <v>4.2560082328359901</v>
      </c>
      <c r="AQ37" s="30">
        <f t="shared" si="277"/>
        <v>4.5381169715330634</v>
      </c>
      <c r="AR37" s="30">
        <f t="shared" si="277"/>
        <v>4.8365986309986795</v>
      </c>
      <c r="AS37" s="30">
        <f t="shared" si="277"/>
        <v>5.1327180533386221</v>
      </c>
      <c r="AT37" s="30">
        <f t="shared" si="277"/>
        <v>5.4358428174999984</v>
      </c>
      <c r="AU37" s="30">
        <f t="shared" si="277"/>
        <v>5.7412891340092553</v>
      </c>
      <c r="AV37" s="30">
        <f t="shared" si="277"/>
        <v>6.0513988976031703</v>
      </c>
      <c r="AW37" s="30">
        <f t="shared" si="277"/>
        <v>6.3300558213617677</v>
      </c>
      <c r="AX37" s="30">
        <f t="shared" si="277"/>
        <v>7.8654792580314021</v>
      </c>
      <c r="AY37" s="30">
        <f t="shared" si="277"/>
        <v>7.9401492553220594</v>
      </c>
      <c r="AZ37" s="60">
        <f t="shared" si="277"/>
        <v>8.0270028727120799</v>
      </c>
      <c r="BA37" s="29">
        <f t="shared" si="277"/>
        <v>8.1083215804622935</v>
      </c>
      <c r="BB37" s="30">
        <f t="shared" si="277"/>
        <v>8.1929646434422843</v>
      </c>
      <c r="BC37" s="30">
        <f t="shared" si="277"/>
        <v>8.276502429217258</v>
      </c>
      <c r="BD37" s="30">
        <f t="shared" si="277"/>
        <v>4.3611497540046118</v>
      </c>
      <c r="BE37" s="30">
        <f t="shared" si="277"/>
        <v>1.2099867096956491</v>
      </c>
      <c r="BF37" s="30">
        <f t="shared" si="277"/>
        <v>1.5148835262615579</v>
      </c>
      <c r="BG37" s="30">
        <f t="shared" si="277"/>
        <v>1.8157280053834104</v>
      </c>
      <c r="BH37" s="30">
        <f t="shared" si="277"/>
        <v>2.1238262462206707</v>
      </c>
      <c r="BI37" s="30">
        <f t="shared" si="277"/>
        <v>2.4034889313575967</v>
      </c>
      <c r="BJ37" s="30">
        <f t="shared" si="277"/>
        <v>2.7019599565452443</v>
      </c>
      <c r="BK37" s="30">
        <f t="shared" si="277"/>
        <v>2.9956173739080856</v>
      </c>
      <c r="BL37" s="30">
        <f t="shared" si="277"/>
        <v>3.2962721573838842</v>
      </c>
      <c r="BM37" s="30">
        <f t="shared" si="277"/>
        <v>3.5980188200037584</v>
      </c>
      <c r="BN37" s="30">
        <f t="shared" si="277"/>
        <v>3.9038101052521492</v>
      </c>
      <c r="BO37" s="30">
        <f t="shared" si="277"/>
        <v>4.1846262681835098</v>
      </c>
      <c r="BP37" s="30">
        <f t="shared" si="277"/>
        <v>4.4835276835841773</v>
      </c>
      <c r="BQ37" s="30">
        <f t="shared" si="277"/>
        <v>4.7789841640609838</v>
      </c>
      <c r="BR37" s="30">
        <f t="shared" ref="BR37:DT37" si="278">BR36+(BQ29/24)</f>
        <v>5.0817608033105133</v>
      </c>
      <c r="BS37" s="30">
        <f t="shared" si="278"/>
        <v>5.3864750544844737</v>
      </c>
      <c r="BT37" s="30">
        <f t="shared" si="278"/>
        <v>5.6958181910070111</v>
      </c>
      <c r="BU37" s="30">
        <f t="shared" si="278"/>
        <v>5.9748584283012969</v>
      </c>
      <c r="BV37" s="30">
        <f t="shared" si="278"/>
        <v>8.2743456677874292</v>
      </c>
      <c r="BW37" s="30">
        <f t="shared" si="278"/>
        <v>7.80471745875536</v>
      </c>
      <c r="BX37" s="60">
        <f t="shared" si="278"/>
        <v>7.8873447506432726</v>
      </c>
      <c r="BY37" s="29">
        <f t="shared" si="278"/>
        <v>7.9757191520654089</v>
      </c>
      <c r="BZ37" s="30">
        <f t="shared" si="278"/>
        <v>8.0618448587146485</v>
      </c>
      <c r="CA37" s="30">
        <f t="shared" si="278"/>
        <v>8.1497197727445538</v>
      </c>
      <c r="CB37" s="30">
        <f t="shared" si="278"/>
        <v>4.2373449430783401</v>
      </c>
      <c r="CC37" s="30">
        <f t="shared" si="278"/>
        <v>1.0899073452543999</v>
      </c>
      <c r="CD37" s="30">
        <f t="shared" si="278"/>
        <v>1.3982237674203775</v>
      </c>
      <c r="CE37" s="30">
        <f t="shared" si="278"/>
        <v>1.7027087321691172</v>
      </c>
      <c r="CF37" s="30">
        <f t="shared" si="278"/>
        <v>2.0144049782041971</v>
      </c>
      <c r="CG37" s="30">
        <f t="shared" si="278"/>
        <v>2.2922686607422129</v>
      </c>
      <c r="CH37" s="30">
        <f t="shared" si="278"/>
        <v>2.5911316534688136</v>
      </c>
      <c r="CI37" s="30">
        <f t="shared" si="278"/>
        <v>2.8835780195411744</v>
      </c>
      <c r="CJ37" s="30">
        <f t="shared" si="278"/>
        <v>3.1833157273807076</v>
      </c>
      <c r="CK37" s="30">
        <f t="shared" si="278"/>
        <v>3.4834907927767067</v>
      </c>
      <c r="CL37" s="30">
        <f t="shared" si="278"/>
        <v>3.7875302078345254</v>
      </c>
      <c r="CM37" s="30">
        <f t="shared" si="278"/>
        <v>4.0692223058611727</v>
      </c>
      <c r="CN37" s="30">
        <f t="shared" si="278"/>
        <v>4.3678380138423476</v>
      </c>
      <c r="CO37" s="30">
        <f t="shared" si="278"/>
        <v>4.663741868285201</v>
      </c>
      <c r="CP37" s="30">
        <f t="shared" si="278"/>
        <v>4.9667516009361581</v>
      </c>
      <c r="CQ37" s="30">
        <f t="shared" si="278"/>
        <v>5.2719583459220063</v>
      </c>
      <c r="CR37" s="30">
        <f t="shared" si="278"/>
        <v>5.5818165361793524</v>
      </c>
      <c r="CS37" s="30">
        <f t="shared" si="278"/>
        <v>5.8605992466062338</v>
      </c>
      <c r="CT37" s="30">
        <f t="shared" si="278"/>
        <v>8.1601695714876232</v>
      </c>
      <c r="CU37" s="30">
        <f t="shared" si="278"/>
        <v>7.6904084636810355</v>
      </c>
      <c r="CV37" s="60">
        <f t="shared" si="278"/>
        <v>7.7729651708408722</v>
      </c>
      <c r="CW37" s="29">
        <f t="shared" si="278"/>
        <v>7.861192152473266</v>
      </c>
      <c r="CX37" s="30">
        <f t="shared" si="278"/>
        <v>7.9471631788251518</v>
      </c>
      <c r="CY37" s="30">
        <f t="shared" si="278"/>
        <v>8.0348413647730617</v>
      </c>
      <c r="CZ37" s="30">
        <f t="shared" si="278"/>
        <v>4.1222451528787278</v>
      </c>
      <c r="DA37" s="30">
        <f t="shared" si="278"/>
        <v>0.974552821861286</v>
      </c>
      <c r="DB37" s="30">
        <f t="shared" si="278"/>
        <v>1.282585508278008</v>
      </c>
      <c r="DC37" s="30">
        <f t="shared" si="278"/>
        <v>1.5867555605169237</v>
      </c>
      <c r="DD37" s="30">
        <f t="shared" si="278"/>
        <v>1.8981068043840184</v>
      </c>
      <c r="DE37" s="30">
        <f t="shared" si="278"/>
        <v>2.1761429880060263</v>
      </c>
      <c r="DF37" s="30">
        <f t="shared" si="278"/>
        <v>2.474947137013698</v>
      </c>
      <c r="DG37" s="30">
        <f t="shared" si="278"/>
        <v>2.7674777385916576</v>
      </c>
      <c r="DH37" s="30">
        <f t="shared" si="278"/>
        <v>3.0672555491475926</v>
      </c>
      <c r="DI37" s="30">
        <f t="shared" si="278"/>
        <v>3.3675201904776593</v>
      </c>
      <c r="DJ37" s="30">
        <f t="shared" si="278"/>
        <v>3.6716518516837797</v>
      </c>
      <c r="DK37" s="30">
        <f t="shared" si="278"/>
        <v>3.9532978266362755</v>
      </c>
      <c r="DL37" s="30">
        <f t="shared" si="278"/>
        <v>4.2519283741076066</v>
      </c>
      <c r="DM37" s="30">
        <f t="shared" si="278"/>
        <v>4.5478083647115426</v>
      </c>
      <c r="DN37" s="30">
        <f t="shared" si="278"/>
        <v>4.8508053631411983</v>
      </c>
      <c r="DO37" s="30">
        <f t="shared" si="278"/>
        <v>5.1559855870500169</v>
      </c>
      <c r="DP37" s="30">
        <f t="shared" si="278"/>
        <v>5.4658159276112777</v>
      </c>
      <c r="DQ37" s="30">
        <f t="shared" si="278"/>
        <v>5.7446125628862026</v>
      </c>
      <c r="DR37" s="30">
        <f t="shared" si="278"/>
        <v>8.0441783919576473</v>
      </c>
      <c r="DS37" s="30">
        <f t="shared" si="278"/>
        <v>7.5744244652841841</v>
      </c>
      <c r="DT37" s="30">
        <f t="shared" si="278"/>
        <v>7.6569849817196864</v>
      </c>
    </row>
    <row r="38" spans="2:124" s="13" customFormat="1" x14ac:dyDescent="0.25">
      <c r="B38" s="40" t="s">
        <v>28</v>
      </c>
      <c r="C38" s="80"/>
      <c r="D38" s="107">
        <f>D36+D33</f>
        <v>6.6333333333333337</v>
      </c>
      <c r="E38" s="18">
        <f t="shared" ref="E38:BP38" si="279">E37+E33</f>
        <v>5.8718055555555555</v>
      </c>
      <c r="F38" s="18">
        <f t="shared" si="279"/>
        <v>5.9017069623618008</v>
      </c>
      <c r="G38" s="18">
        <f t="shared" si="279"/>
        <v>6.0908933144303594</v>
      </c>
      <c r="H38" s="18">
        <f t="shared" si="279"/>
        <v>2.2047795029512369</v>
      </c>
      <c r="I38" s="18">
        <f t="shared" si="279"/>
        <v>-0.43765441767056984</v>
      </c>
      <c r="J38" s="18">
        <f t="shared" si="279"/>
        <v>-7.8738198720719965E-2</v>
      </c>
      <c r="K38" s="18">
        <f t="shared" si="279"/>
        <v>0.28851595211028275</v>
      </c>
      <c r="L38" s="18">
        <f t="shared" si="279"/>
        <v>0.66061413866769025</v>
      </c>
      <c r="M38" s="18">
        <f t="shared" si="279"/>
        <v>0.90827685094454214</v>
      </c>
      <c r="N38" s="18">
        <f t="shared" si="279"/>
        <v>1.2198009919780146</v>
      </c>
      <c r="O38" s="18">
        <f t="shared" si="279"/>
        <v>1.5010381102495192</v>
      </c>
      <c r="P38" s="18">
        <f t="shared" si="279"/>
        <v>1.7990624315183503</v>
      </c>
      <c r="Q38" s="18">
        <f t="shared" si="279"/>
        <v>2.0903368429048612</v>
      </c>
      <c r="R38" s="18">
        <f t="shared" si="279"/>
        <v>2.3866299008488752</v>
      </c>
      <c r="S38" s="18">
        <f t="shared" si="279"/>
        <v>2.6820573271304804</v>
      </c>
      <c r="T38" s="18">
        <f t="shared" si="279"/>
        <v>2.9680554195452338</v>
      </c>
      <c r="U38" s="18">
        <f t="shared" si="279"/>
        <v>3.2643670470466022</v>
      </c>
      <c r="V38" s="18">
        <f t="shared" si="279"/>
        <v>3.5611207751578524</v>
      </c>
      <c r="W38" s="18">
        <f t="shared" si="279"/>
        <v>3.8632523211173511</v>
      </c>
      <c r="X38" s="18">
        <f t="shared" si="279"/>
        <v>4.1682938263059146</v>
      </c>
      <c r="Y38" s="18">
        <f t="shared" si="279"/>
        <v>4.4494848792671879</v>
      </c>
      <c r="Z38" s="18">
        <f t="shared" si="279"/>
        <v>6.7483093321401304</v>
      </c>
      <c r="AA38" s="18">
        <f t="shared" si="279"/>
        <v>7.8423377588552645</v>
      </c>
      <c r="AB38" s="55">
        <f t="shared" si="279"/>
        <v>7.925624596530489</v>
      </c>
      <c r="AC38" s="18">
        <f t="shared" si="279"/>
        <v>8.0153197099401865</v>
      </c>
      <c r="AD38" s="18">
        <f t="shared" si="279"/>
        <v>8.1028481666971643</v>
      </c>
      <c r="AE38" s="18">
        <f t="shared" si="279"/>
        <v>8.1924974329950189</v>
      </c>
      <c r="AF38" s="18">
        <f t="shared" si="279"/>
        <v>4.2821237757369497</v>
      </c>
      <c r="AG38" s="18">
        <f t="shared" si="279"/>
        <v>1.5744865614713597</v>
      </c>
      <c r="AH38" s="18">
        <f t="shared" si="279"/>
        <v>1.885366382840888</v>
      </c>
      <c r="AI38" s="18">
        <f t="shared" si="279"/>
        <v>2.1926958601908813</v>
      </c>
      <c r="AJ38" s="18">
        <f t="shared" si="279"/>
        <v>2.5075086833486666</v>
      </c>
      <c r="AK38" s="18">
        <f t="shared" si="279"/>
        <v>2.7838140773253301</v>
      </c>
      <c r="AL38" s="18">
        <f t="shared" si="279"/>
        <v>3.0832086416004252</v>
      </c>
      <c r="AM38" s="18">
        <f t="shared" si="279"/>
        <v>3.3748940764341753</v>
      </c>
      <c r="AN38" s="18">
        <f t="shared" si="279"/>
        <v>3.6742695316964684</v>
      </c>
      <c r="AO38" s="18">
        <f t="shared" si="279"/>
        <v>3.9736354324523608</v>
      </c>
      <c r="AP38" s="18">
        <f t="shared" si="279"/>
        <v>4.2768415661693231</v>
      </c>
      <c r="AQ38" s="18">
        <f t="shared" si="279"/>
        <v>4.5589503048663964</v>
      </c>
      <c r="AR38" s="18">
        <f t="shared" si="279"/>
        <v>4.8574319643320125</v>
      </c>
      <c r="AS38" s="18">
        <f t="shared" si="279"/>
        <v>5.1535513866719551</v>
      </c>
      <c r="AT38" s="18">
        <f t="shared" si="279"/>
        <v>5.4566761508333315</v>
      </c>
      <c r="AU38" s="18">
        <f t="shared" si="279"/>
        <v>5.7621224673425884</v>
      </c>
      <c r="AV38" s="18">
        <f t="shared" si="279"/>
        <v>6.0722322309365033</v>
      </c>
      <c r="AW38" s="18">
        <f t="shared" si="279"/>
        <v>6.3508891546951007</v>
      </c>
      <c r="AX38" s="18">
        <f t="shared" si="279"/>
        <v>7.4488125913647352</v>
      </c>
      <c r="AY38" s="18">
        <f t="shared" si="279"/>
        <v>7.5234825886553924</v>
      </c>
      <c r="AZ38" s="55">
        <f t="shared" si="279"/>
        <v>7.6103362060454129</v>
      </c>
      <c r="BA38" s="18">
        <f t="shared" si="279"/>
        <v>7.6916549137956265</v>
      </c>
      <c r="BB38" s="18">
        <f t="shared" si="279"/>
        <v>7.7762979767756173</v>
      </c>
      <c r="BC38" s="18">
        <f t="shared" si="279"/>
        <v>7.859835762550591</v>
      </c>
      <c r="BD38" s="18">
        <f t="shared" si="279"/>
        <v>3.9444830873379453</v>
      </c>
      <c r="BE38" s="18">
        <f t="shared" si="279"/>
        <v>1.2308200430289824</v>
      </c>
      <c r="BF38" s="18">
        <f t="shared" si="279"/>
        <v>1.5357168595948911</v>
      </c>
      <c r="BG38" s="18">
        <f t="shared" si="279"/>
        <v>1.8365613387167437</v>
      </c>
      <c r="BH38" s="18">
        <f t="shared" si="279"/>
        <v>2.1446595795540042</v>
      </c>
      <c r="BI38" s="18">
        <f t="shared" si="279"/>
        <v>2.4243222646909302</v>
      </c>
      <c r="BJ38" s="18">
        <f t="shared" si="279"/>
        <v>2.7227932898785778</v>
      </c>
      <c r="BK38" s="18">
        <f t="shared" si="279"/>
        <v>3.0164507072414191</v>
      </c>
      <c r="BL38" s="18">
        <f t="shared" si="279"/>
        <v>3.3171054907172177</v>
      </c>
      <c r="BM38" s="18">
        <f t="shared" si="279"/>
        <v>3.6188521533370919</v>
      </c>
      <c r="BN38" s="18">
        <f t="shared" si="279"/>
        <v>3.9246434385854827</v>
      </c>
      <c r="BO38" s="18">
        <f t="shared" si="279"/>
        <v>4.2054596015168428</v>
      </c>
      <c r="BP38" s="18">
        <f t="shared" si="279"/>
        <v>4.5043610169175103</v>
      </c>
      <c r="BQ38" s="18">
        <f t="shared" ref="BQ38:DT38" si="280">BQ37+BQ33</f>
        <v>4.7998174973943168</v>
      </c>
      <c r="BR38" s="18">
        <f t="shared" si="280"/>
        <v>5.1025941366438463</v>
      </c>
      <c r="BS38" s="18">
        <f t="shared" si="280"/>
        <v>5.4073083878178068</v>
      </c>
      <c r="BT38" s="18">
        <f t="shared" si="280"/>
        <v>5.7166515243403442</v>
      </c>
      <c r="BU38" s="18">
        <f t="shared" si="280"/>
        <v>5.9956917616346299</v>
      </c>
      <c r="BV38" s="18">
        <f t="shared" si="280"/>
        <v>8.2951790011207631</v>
      </c>
      <c r="BW38" s="18">
        <f t="shared" si="280"/>
        <v>7.3880507920886931</v>
      </c>
      <c r="BX38" s="55">
        <f t="shared" si="280"/>
        <v>7.4706780839766056</v>
      </c>
      <c r="BY38" s="18">
        <f t="shared" si="280"/>
        <v>7.559052485398742</v>
      </c>
      <c r="BZ38" s="18">
        <f t="shared" si="280"/>
        <v>7.6451781920479815</v>
      </c>
      <c r="CA38" s="18">
        <f t="shared" si="280"/>
        <v>7.7330531060778869</v>
      </c>
      <c r="CB38" s="18">
        <f t="shared" si="280"/>
        <v>3.8206782764116736</v>
      </c>
      <c r="CC38" s="18">
        <f t="shared" si="280"/>
        <v>1.1107406785877332</v>
      </c>
      <c r="CD38" s="18">
        <f t="shared" si="280"/>
        <v>1.4190571007537107</v>
      </c>
      <c r="CE38" s="18">
        <f t="shared" si="280"/>
        <v>1.7235420655024505</v>
      </c>
      <c r="CF38" s="18">
        <f t="shared" si="280"/>
        <v>2.0352383115375305</v>
      </c>
      <c r="CG38" s="18">
        <f t="shared" si="280"/>
        <v>2.3131019940755464</v>
      </c>
      <c r="CH38" s="18">
        <f t="shared" si="280"/>
        <v>2.6119649868021471</v>
      </c>
      <c r="CI38" s="18">
        <f t="shared" si="280"/>
        <v>2.9044113528745079</v>
      </c>
      <c r="CJ38" s="18">
        <f t="shared" si="280"/>
        <v>3.204149060714041</v>
      </c>
      <c r="CK38" s="18">
        <f t="shared" si="280"/>
        <v>3.5043241261100402</v>
      </c>
      <c r="CL38" s="18">
        <f t="shared" si="280"/>
        <v>3.8083635411678589</v>
      </c>
      <c r="CM38" s="18">
        <f t="shared" si="280"/>
        <v>4.0900556391945058</v>
      </c>
      <c r="CN38" s="18">
        <f t="shared" si="280"/>
        <v>4.3886713471756806</v>
      </c>
      <c r="CO38" s="18">
        <f t="shared" si="280"/>
        <v>4.684575201618534</v>
      </c>
      <c r="CP38" s="18">
        <f t="shared" si="280"/>
        <v>4.9875849342694911</v>
      </c>
      <c r="CQ38" s="18">
        <f t="shared" si="280"/>
        <v>5.2927916792553393</v>
      </c>
      <c r="CR38" s="18">
        <f t="shared" si="280"/>
        <v>5.6026498695126854</v>
      </c>
      <c r="CS38" s="18">
        <f t="shared" si="280"/>
        <v>5.8814325799395668</v>
      </c>
      <c r="CT38" s="18">
        <f t="shared" si="280"/>
        <v>8.1810029048209572</v>
      </c>
      <c r="CU38" s="18">
        <f t="shared" si="280"/>
        <v>7.2737417970143685</v>
      </c>
      <c r="CV38" s="55">
        <f t="shared" si="280"/>
        <v>7.3562985041742053</v>
      </c>
      <c r="CW38" s="18">
        <f t="shared" si="280"/>
        <v>7.444525485806599</v>
      </c>
      <c r="CX38" s="18">
        <f t="shared" si="280"/>
        <v>7.5304965121584848</v>
      </c>
      <c r="CY38" s="18">
        <f t="shared" si="280"/>
        <v>7.6181746981063947</v>
      </c>
      <c r="CZ38" s="18">
        <f t="shared" si="280"/>
        <v>3.7055784862120613</v>
      </c>
      <c r="DA38" s="18">
        <f t="shared" si="280"/>
        <v>0.99538615519461937</v>
      </c>
      <c r="DB38" s="18">
        <f t="shared" si="280"/>
        <v>1.3034188416113413</v>
      </c>
      <c r="DC38" s="18">
        <f t="shared" si="280"/>
        <v>1.6075888938502569</v>
      </c>
      <c r="DD38" s="18">
        <f t="shared" si="280"/>
        <v>1.9189401377173516</v>
      </c>
      <c r="DE38" s="18">
        <f t="shared" si="280"/>
        <v>2.1969763213393598</v>
      </c>
      <c r="DF38" s="18">
        <f t="shared" si="280"/>
        <v>2.4957804703470314</v>
      </c>
      <c r="DG38" s="18">
        <f t="shared" si="280"/>
        <v>2.7883110719249911</v>
      </c>
      <c r="DH38" s="18">
        <f t="shared" si="280"/>
        <v>3.0880888824809261</v>
      </c>
      <c r="DI38" s="18">
        <f t="shared" si="280"/>
        <v>3.3883535238109928</v>
      </c>
      <c r="DJ38" s="18">
        <f t="shared" si="280"/>
        <v>3.6924851850171132</v>
      </c>
      <c r="DK38" s="18">
        <f t="shared" si="280"/>
        <v>3.974131159969609</v>
      </c>
      <c r="DL38" s="18">
        <f t="shared" si="280"/>
        <v>4.2727617074409396</v>
      </c>
      <c r="DM38" s="18">
        <f t="shared" si="280"/>
        <v>4.5686416980448756</v>
      </c>
      <c r="DN38" s="18">
        <f t="shared" si="280"/>
        <v>4.8716386964745313</v>
      </c>
      <c r="DO38" s="18">
        <f t="shared" si="280"/>
        <v>5.1768189203833499</v>
      </c>
      <c r="DP38" s="18">
        <f t="shared" si="280"/>
        <v>5.4866492609446107</v>
      </c>
      <c r="DQ38" s="18">
        <f t="shared" si="280"/>
        <v>5.7654458962195356</v>
      </c>
      <c r="DR38" s="18">
        <f t="shared" si="280"/>
        <v>8.0650117252909812</v>
      </c>
      <c r="DS38" s="18">
        <f t="shared" si="280"/>
        <v>7.1577577986175172</v>
      </c>
      <c r="DT38" s="18">
        <f t="shared" si="280"/>
        <v>7.2403183150530195</v>
      </c>
    </row>
    <row r="39" spans="2:124" x14ac:dyDescent="0.25">
      <c r="B39" s="3" t="s">
        <v>29</v>
      </c>
      <c r="D39" s="100" t="s">
        <v>30</v>
      </c>
      <c r="E39" s="18"/>
      <c r="F39" s="24"/>
      <c r="G39" s="49" t="s">
        <v>31</v>
      </c>
      <c r="H39" s="49" t="s">
        <v>31</v>
      </c>
      <c r="I39" s="49" t="s">
        <v>31</v>
      </c>
      <c r="J39" s="49" t="s">
        <v>31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49" t="s">
        <v>32</v>
      </c>
      <c r="Z39" s="49" t="s">
        <v>32</v>
      </c>
      <c r="AA39" s="49" t="s">
        <v>32</v>
      </c>
      <c r="AB39" s="64" t="s">
        <v>32</v>
      </c>
      <c r="AC39" s="18"/>
      <c r="AD39" s="24"/>
      <c r="AE39" s="49" t="s">
        <v>31</v>
      </c>
      <c r="AF39" s="49" t="s">
        <v>31</v>
      </c>
      <c r="AG39" s="49" t="s">
        <v>31</v>
      </c>
      <c r="AH39" s="49" t="s">
        <v>31</v>
      </c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49" t="s">
        <v>32</v>
      </c>
      <c r="AX39" s="49" t="s">
        <v>32</v>
      </c>
      <c r="AY39" s="49" t="s">
        <v>32</v>
      </c>
      <c r="AZ39" s="64" t="s">
        <v>32</v>
      </c>
      <c r="BA39" s="18"/>
      <c r="BB39" s="24"/>
      <c r="BC39" s="49" t="s">
        <v>31</v>
      </c>
      <c r="BD39" s="49" t="s">
        <v>31</v>
      </c>
      <c r="BE39" s="49" t="s">
        <v>31</v>
      </c>
      <c r="BF39" s="49" t="s">
        <v>31</v>
      </c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49" t="s">
        <v>32</v>
      </c>
      <c r="BV39" s="49" t="s">
        <v>32</v>
      </c>
      <c r="BW39" s="49" t="s">
        <v>32</v>
      </c>
      <c r="BX39" s="64" t="s">
        <v>32</v>
      </c>
      <c r="BY39" s="18"/>
      <c r="BZ39" s="24"/>
      <c r="CA39" s="49" t="s">
        <v>31</v>
      </c>
      <c r="CB39" s="49" t="s">
        <v>31</v>
      </c>
      <c r="CC39" s="49" t="s">
        <v>31</v>
      </c>
      <c r="CD39" s="49" t="s">
        <v>31</v>
      </c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49" t="s">
        <v>32</v>
      </c>
      <c r="CT39" s="49" t="s">
        <v>32</v>
      </c>
      <c r="CU39" s="49" t="s">
        <v>32</v>
      </c>
      <c r="CV39" s="64" t="s">
        <v>32</v>
      </c>
      <c r="CW39" s="18"/>
      <c r="CX39" s="24"/>
      <c r="CY39" s="49" t="s">
        <v>31</v>
      </c>
      <c r="CZ39" s="49" t="s">
        <v>31</v>
      </c>
      <c r="DA39" s="49" t="s">
        <v>31</v>
      </c>
      <c r="DB39" s="49" t="s">
        <v>31</v>
      </c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49" t="s">
        <v>32</v>
      </c>
      <c r="DR39" s="49" t="s">
        <v>32</v>
      </c>
      <c r="DS39" s="49" t="s">
        <v>32</v>
      </c>
      <c r="DT39" s="64" t="s">
        <v>32</v>
      </c>
    </row>
    <row r="40" spans="2:124" x14ac:dyDescent="0.25">
      <c r="B40" s="4" t="s">
        <v>67</v>
      </c>
      <c r="D40" s="100">
        <f>D38</f>
        <v>6.6333333333333337</v>
      </c>
      <c r="E40" s="18">
        <f t="shared" ref="E40" si="281">IF(D41="T",IF(E39="KB",IF(E38&gt;2,E38-3,E38-1),E38+1),IF(E39="KT",IF(E38&lt;8,E38+2,IF(E38&gt;10,10,E38)),IF(E38&gt;=10,10,E38)))</f>
        <v>6.8718055555555555</v>
      </c>
      <c r="F40" s="18">
        <f t="shared" ref="F40" si="282">IF(E41="T",IF(F39="KB",IF(F38&gt;2,F38-3,F38-1),F38+1),IF(F39="KT",IF(F38&lt;8,F38+2,IF(F38&gt;10,10,F38)),IF(F38&gt;=10,10,F38)))</f>
        <v>6.9017069623618008</v>
      </c>
      <c r="G40" s="52">
        <f t="shared" ref="G40:I40" si="283">IF(F41="T",IF(G39="KB",IF(G38&gt;2,G38-3,G38-1),G38+1),IF(G39="KT",IF(G38&lt;8,G38+2,IF(G38&gt;10,10,G38)),IF(G38&gt;=10,10,G38)))</f>
        <v>3.0908933144303594</v>
      </c>
      <c r="H40" s="52">
        <f t="shared" si="283"/>
        <v>-0.79522049704876308</v>
      </c>
      <c r="I40" s="52">
        <f t="shared" si="283"/>
        <v>-0.43765441767056984</v>
      </c>
      <c r="J40" s="52">
        <f t="shared" ref="J40" si="284">IF(I41="T",IF(J39="KB",IF(J38&gt;2,J38-3,J38-1),J38+1),IF(J39="KT",IF(J38&lt;8,J38+2,IF(J38&gt;10,10,J38)),IF(J38&gt;=10,10,J38)))</f>
        <v>-7.8738198720719965E-2</v>
      </c>
      <c r="K40" s="24">
        <f t="shared" ref="K40:L40" si="285">IF(J41="T",IF(K39="KB",IF(K38&gt;2,K38-3,K38-1),K38+1),IF(K39="KT",IF(K38&lt;8,K38+2,IF(K38&gt;10,10,K38)),IF(K38&gt;=10,10,K38)))</f>
        <v>0.28851595211028275</v>
      </c>
      <c r="L40" s="24">
        <f t="shared" si="285"/>
        <v>0.66061413866769025</v>
      </c>
      <c r="M40" s="24">
        <f t="shared" ref="M40" si="286">IF(L41="T",IF(M39="KB",IF(M38&gt;2,M38-3,M38-1),M38+1),IF(M39="KT",IF(M38&lt;8,M38+2,IF(M38&gt;10,10,M38)),IF(M38&gt;=10,10,M38)))</f>
        <v>0.90827685094454214</v>
      </c>
      <c r="N40" s="24">
        <f t="shared" ref="N40" si="287">IF(M41="T",IF(N39="KB",IF(N38&gt;2,N38-3,N38-1),N38+1),IF(N39="KT",IF(N38&lt;8,N38+2,IF(N38&gt;10,10,N38)),IF(N38&gt;=10,10,N38)))</f>
        <v>1.2198009919780146</v>
      </c>
      <c r="O40" s="24">
        <f t="shared" ref="O40" si="288">IF(N41="T",IF(O39="KB",IF(O38&gt;2,O38-3,O38-1),O38+1),IF(O39="KT",IF(O38&lt;8,O38+2,IF(O38&gt;10,10,O38)),IF(O38&gt;=10,10,O38)))</f>
        <v>1.5010381102495192</v>
      </c>
      <c r="P40" s="24">
        <f t="shared" ref="P40" si="289">IF(O41="T",IF(P39="KB",IF(P38&gt;2,P38-3,P38-1),P38+1),IF(P39="KT",IF(P38&lt;8,P38+2,IF(P38&gt;10,10,P38)),IF(P38&gt;=10,10,P38)))</f>
        <v>1.7990624315183503</v>
      </c>
      <c r="Q40" s="24">
        <f t="shared" ref="Q40" si="290">IF(P41="T",IF(Q39="KB",IF(Q38&gt;2,Q38-3,Q38-1),Q38+1),IF(Q39="KT",IF(Q38&lt;8,Q38+2,IF(Q38&gt;10,10,Q38)),IF(Q38&gt;=10,10,Q38)))</f>
        <v>2.0903368429048612</v>
      </c>
      <c r="R40" s="24">
        <f t="shared" ref="R40" si="291">IF(Q41="T",IF(R39="KB",IF(R38&gt;2,R38-3,R38-1),R38+1),IF(R39="KT",IF(R38&lt;8,R38+2,IF(R38&gt;10,10,R38)),IF(R38&gt;=10,10,R38)))</f>
        <v>2.3866299008488752</v>
      </c>
      <c r="S40" s="24">
        <f t="shared" ref="S40" si="292">IF(R41="T",IF(S39="KB",IF(S38&gt;2,S38-3,S38-1),S38+1),IF(S39="KT",IF(S38&lt;8,S38+2,IF(S38&gt;10,10,S38)),IF(S38&gt;=10,10,S38)))</f>
        <v>2.6820573271304804</v>
      </c>
      <c r="T40" s="24">
        <f t="shared" ref="T40" si="293">IF(S41="T",IF(T39="KB",IF(T38&gt;2,T38-3,T38-1),T38+1),IF(T39="KT",IF(T38&lt;8,T38+2,IF(T38&gt;10,10,T38)),IF(T38&gt;=10,10,T38)))</f>
        <v>2.9680554195452338</v>
      </c>
      <c r="U40" s="24">
        <f t="shared" ref="U40" si="294">IF(T41="T",IF(U39="KB",IF(U38&gt;2,U38-3,U38-1),U38+1),IF(U39="KT",IF(U38&lt;8,U38+2,IF(U38&gt;10,10,U38)),IF(U38&gt;=10,10,U38)))</f>
        <v>3.2643670470466022</v>
      </c>
      <c r="V40" s="24">
        <f t="shared" ref="V40" si="295">IF(U41="T",IF(V39="KB",IF(V38&gt;2,V38-3,V38-1),V38+1),IF(V39="KT",IF(V38&lt;8,V38+2,IF(V38&gt;10,10,V38)),IF(V38&gt;=10,10,V38)))</f>
        <v>3.5611207751578524</v>
      </c>
      <c r="W40" s="24">
        <f t="shared" ref="W40" si="296">IF(V41="T",IF(W39="KB",IF(W38&gt;2,W38-3,W38-1),W38+1),IF(W39="KT",IF(W38&lt;8,W38+2,IF(W38&gt;10,10,W38)),IF(W38&gt;=10,10,W38)))</f>
        <v>3.8632523211173511</v>
      </c>
      <c r="X40" s="24">
        <f t="shared" ref="X40" si="297">IF(W41="T",IF(X39="KB",IF(X38&gt;2,X38-3,X38-1),X38+1),IF(X39="KT",IF(X38&lt;8,X38+2,IF(X38&gt;10,10,X38)),IF(X38&gt;=10,10,X38)))</f>
        <v>4.1682938263059146</v>
      </c>
      <c r="Y40" s="49">
        <f t="shared" ref="Y40:AA40" si="298">IF(X41="T",IF(Y39="KB",IF(Y38&gt;2,Y38-3,Y38-1),Y38+1),IF(Y39="KT",IF(Y38&lt;8,Y38+2,IF(Y38&gt;10,10,Y38)),IF(Y38&gt;=10,10,Y38)))</f>
        <v>6.4494848792671879</v>
      </c>
      <c r="Z40" s="49">
        <f t="shared" si="298"/>
        <v>8.7483093321401313</v>
      </c>
      <c r="AA40" s="49">
        <f t="shared" si="298"/>
        <v>8.8423377588552654</v>
      </c>
      <c r="AB40" s="64">
        <f t="shared" ref="AB40" si="299">IF(AA41="T",IF(AB39="KB",IF(AB38&gt;2,AB38-3,AB38-1),AB38+1),IF(AB39="KT",IF(AB38&lt;8,AB38+2,IF(AB38&gt;10,10,AB38)),IF(AB38&gt;=10,10,AB38)))</f>
        <v>8.9256245965304899</v>
      </c>
      <c r="AC40" s="18">
        <f t="shared" ref="AC40" si="300">IF(AB41="T",IF(AC39="KB",IF(AC38&gt;2,AC38-3,AC38-1),AC38+1),IF(AC39="KT",IF(AC38&lt;8,AC38+2,IF(AC38&gt;10,10,AC38)),IF(AC38&gt;=10,10,AC38)))</f>
        <v>9.0153197099401865</v>
      </c>
      <c r="AD40" s="18">
        <f t="shared" ref="AD40" si="301">IF(AC41="T",IF(AD39="KB",IF(AD38&gt;2,AD38-3,AD38-1),AD38+1),IF(AD39="KT",IF(AD38&lt;8,AD38+2,IF(AD38&gt;10,10,AD38)),IF(AD38&gt;=10,10,AD38)))</f>
        <v>9.1028481666971643</v>
      </c>
      <c r="AE40" s="52">
        <f t="shared" ref="AE40" si="302">IF(AD41="T",IF(AE39="KB",IF(AE38&gt;2,AE38-3,AE38-1),AE38+1),IF(AE39="KT",IF(AE38&lt;8,AE38+2,IF(AE38&gt;10,10,AE38)),IF(AE38&gt;=10,10,AE38)))</f>
        <v>5.1924974329950189</v>
      </c>
      <c r="AF40" s="52">
        <f t="shared" ref="AF40" si="303">IF(AE41="T",IF(AF39="KB",IF(AF38&gt;2,AF38-3,AF38-1),AF38+1),IF(AF39="KT",IF(AF38&lt;8,AF38+2,IF(AF38&gt;10,10,AF38)),IF(AF38&gt;=10,10,AF38)))</f>
        <v>1.2821237757369497</v>
      </c>
      <c r="AG40" s="52">
        <f t="shared" ref="AG40" si="304">IF(AF41="T",IF(AG39="KB",IF(AG38&gt;2,AG38-3,AG38-1),AG38+1),IF(AG39="KT",IF(AG38&lt;8,AG38+2,IF(AG38&gt;10,10,AG38)),IF(AG38&gt;=10,10,AG38)))</f>
        <v>1.5744865614713597</v>
      </c>
      <c r="AH40" s="52">
        <f t="shared" ref="AH40" si="305">IF(AG41="T",IF(AH39="KB",IF(AH38&gt;2,AH38-3,AH38-1),AH38+1),IF(AH39="KT",IF(AH38&lt;8,AH38+2,IF(AH38&gt;10,10,AH38)),IF(AH38&gt;=10,10,AH38)))</f>
        <v>1.885366382840888</v>
      </c>
      <c r="AI40" s="24">
        <f t="shared" ref="AI40" si="306">IF(AH41="T",IF(AI39="KB",IF(AI38&gt;2,AI38-3,AI38-1),AI38+1),IF(AI39="KT",IF(AI38&lt;8,AI38+2,IF(AI38&gt;10,10,AI38)),IF(AI38&gt;=10,10,AI38)))</f>
        <v>2.1926958601908813</v>
      </c>
      <c r="AJ40" s="24">
        <f t="shared" ref="AJ40" si="307">IF(AI41="T",IF(AJ39="KB",IF(AJ38&gt;2,AJ38-3,AJ38-1),AJ38+1),IF(AJ39="KT",IF(AJ38&lt;8,AJ38+2,IF(AJ38&gt;10,10,AJ38)),IF(AJ38&gt;=10,10,AJ38)))</f>
        <v>2.5075086833486666</v>
      </c>
      <c r="AK40" s="24">
        <f t="shared" ref="AK40" si="308">IF(AJ41="T",IF(AK39="KB",IF(AK38&gt;2,AK38-3,AK38-1),AK38+1),IF(AK39="KT",IF(AK38&lt;8,AK38+2,IF(AK38&gt;10,10,AK38)),IF(AK38&gt;=10,10,AK38)))</f>
        <v>2.7838140773253301</v>
      </c>
      <c r="AL40" s="24">
        <f t="shared" ref="AL40" si="309">IF(AK41="T",IF(AL39="KB",IF(AL38&gt;2,AL38-3,AL38-1),AL38+1),IF(AL39="KT",IF(AL38&lt;8,AL38+2,IF(AL38&gt;10,10,AL38)),IF(AL38&gt;=10,10,AL38)))</f>
        <v>3.0832086416004252</v>
      </c>
      <c r="AM40" s="24">
        <f t="shared" ref="AM40" si="310">IF(AL41="T",IF(AM39="KB",IF(AM38&gt;2,AM38-3,AM38-1),AM38+1),IF(AM39="KT",IF(AM38&lt;8,AM38+2,IF(AM38&gt;10,10,AM38)),IF(AM38&gt;=10,10,AM38)))</f>
        <v>3.3748940764341753</v>
      </c>
      <c r="AN40" s="24">
        <f t="shared" ref="AN40" si="311">IF(AM41="T",IF(AN39="KB",IF(AN38&gt;2,AN38-3,AN38-1),AN38+1),IF(AN39="KT",IF(AN38&lt;8,AN38+2,IF(AN38&gt;10,10,AN38)),IF(AN38&gt;=10,10,AN38)))</f>
        <v>3.6742695316964684</v>
      </c>
      <c r="AO40" s="24">
        <f t="shared" ref="AO40" si="312">IF(AN41="T",IF(AO39="KB",IF(AO38&gt;2,AO38-3,AO38-1),AO38+1),IF(AO39="KT",IF(AO38&lt;8,AO38+2,IF(AO38&gt;10,10,AO38)),IF(AO38&gt;=10,10,AO38)))</f>
        <v>3.9736354324523608</v>
      </c>
      <c r="AP40" s="24">
        <f t="shared" ref="AP40" si="313">IF(AO41="T",IF(AP39="KB",IF(AP38&gt;2,AP38-3,AP38-1),AP38+1),IF(AP39="KT",IF(AP38&lt;8,AP38+2,IF(AP38&gt;10,10,AP38)),IF(AP38&gt;=10,10,AP38)))</f>
        <v>4.2768415661693231</v>
      </c>
      <c r="AQ40" s="24">
        <f t="shared" ref="AQ40" si="314">IF(AP41="T",IF(AQ39="KB",IF(AQ38&gt;2,AQ38-3,AQ38-1),AQ38+1),IF(AQ39="KT",IF(AQ38&lt;8,AQ38+2,IF(AQ38&gt;10,10,AQ38)),IF(AQ38&gt;=10,10,AQ38)))</f>
        <v>4.5589503048663964</v>
      </c>
      <c r="AR40" s="24">
        <f t="shared" ref="AR40" si="315">IF(AQ41="T",IF(AR39="KB",IF(AR38&gt;2,AR38-3,AR38-1),AR38+1),IF(AR39="KT",IF(AR38&lt;8,AR38+2,IF(AR38&gt;10,10,AR38)),IF(AR38&gt;=10,10,AR38)))</f>
        <v>4.8574319643320125</v>
      </c>
      <c r="AS40" s="24">
        <f t="shared" ref="AS40" si="316">IF(AR41="T",IF(AS39="KB",IF(AS38&gt;2,AS38-3,AS38-1),AS38+1),IF(AS39="KT",IF(AS38&lt;8,AS38+2,IF(AS38&gt;10,10,AS38)),IF(AS38&gt;=10,10,AS38)))</f>
        <v>5.1535513866719551</v>
      </c>
      <c r="AT40" s="24">
        <f t="shared" ref="AT40" si="317">IF(AS41="T",IF(AT39="KB",IF(AT38&gt;2,AT38-3,AT38-1),AT38+1),IF(AT39="KT",IF(AT38&lt;8,AT38+2,IF(AT38&gt;10,10,AT38)),IF(AT38&gt;=10,10,AT38)))</f>
        <v>5.4566761508333315</v>
      </c>
      <c r="AU40" s="24">
        <f t="shared" ref="AU40" si="318">IF(AT41="T",IF(AU39="KB",IF(AU38&gt;2,AU38-3,AU38-1),AU38+1),IF(AU39="KT",IF(AU38&lt;8,AU38+2,IF(AU38&gt;10,10,AU38)),IF(AU38&gt;=10,10,AU38)))</f>
        <v>5.7621224673425884</v>
      </c>
      <c r="AV40" s="24">
        <f t="shared" ref="AV40" si="319">IF(AU41="T",IF(AV39="KB",IF(AV38&gt;2,AV38-3,AV38-1),AV38+1),IF(AV39="KT",IF(AV38&lt;8,AV38+2,IF(AV38&gt;10,10,AV38)),IF(AV38&gt;=10,10,AV38)))</f>
        <v>6.0722322309365033</v>
      </c>
      <c r="AW40" s="49">
        <f t="shared" ref="AW40" si="320">IF(AV41="T",IF(AW39="KB",IF(AW38&gt;2,AW38-3,AW38-1),AW38+1),IF(AW39="KT",IF(AW38&lt;8,AW38+2,IF(AW38&gt;10,10,AW38)),IF(AW38&gt;=10,10,AW38)))</f>
        <v>8.3508891546950998</v>
      </c>
      <c r="AX40" s="49">
        <f t="shared" ref="AX40" si="321">IF(AW41="T",IF(AX39="KB",IF(AX38&gt;2,AX38-3,AX38-1),AX38+1),IF(AX39="KT",IF(AX38&lt;8,AX38+2,IF(AX38&gt;10,10,AX38)),IF(AX38&gt;=10,10,AX38)))</f>
        <v>8.4488125913647352</v>
      </c>
      <c r="AY40" s="49">
        <f t="shared" ref="AY40" si="322">IF(AX41="T",IF(AY39="KB",IF(AY38&gt;2,AY38-3,AY38-1),AY38+1),IF(AY39="KT",IF(AY38&lt;8,AY38+2,IF(AY38&gt;10,10,AY38)),IF(AY38&gt;=10,10,AY38)))</f>
        <v>8.5234825886553924</v>
      </c>
      <c r="AZ40" s="64">
        <f t="shared" ref="AZ40" si="323">IF(AY41="T",IF(AZ39="KB",IF(AZ38&gt;2,AZ38-3,AZ38-1),AZ38+1),IF(AZ39="KT",IF(AZ38&lt;8,AZ38+2,IF(AZ38&gt;10,10,AZ38)),IF(AZ38&gt;=10,10,AZ38)))</f>
        <v>8.6103362060454138</v>
      </c>
      <c r="BA40" s="18">
        <f t="shared" ref="BA40" si="324">IF(AZ41="T",IF(BA39="KB",IF(BA38&gt;2,BA38-3,BA38-1),BA38+1),IF(BA39="KT",IF(BA38&lt;8,BA38+2,IF(BA38&gt;10,10,BA38)),IF(BA38&gt;=10,10,BA38)))</f>
        <v>8.6916549137956274</v>
      </c>
      <c r="BB40" s="18">
        <f t="shared" ref="BB40" si="325">IF(BA41="T",IF(BB39="KB",IF(BB38&gt;2,BB38-3,BB38-1),BB38+1),IF(BB39="KT",IF(BB38&lt;8,BB38+2,IF(BB38&gt;10,10,BB38)),IF(BB38&gt;=10,10,BB38)))</f>
        <v>8.7762979767756164</v>
      </c>
      <c r="BC40" s="52">
        <f t="shared" ref="BC40" si="326">IF(BB41="T",IF(BC39="KB",IF(BC38&gt;2,BC38-3,BC38-1),BC38+1),IF(BC39="KT",IF(BC38&lt;8,BC38+2,IF(BC38&gt;10,10,BC38)),IF(BC38&gt;=10,10,BC38)))</f>
        <v>4.859835762550591</v>
      </c>
      <c r="BD40" s="52">
        <f t="shared" ref="BD40" si="327">IF(BC41="T",IF(BD39="KB",IF(BD38&gt;2,BD38-3,BD38-1),BD38+1),IF(BD39="KT",IF(BD38&lt;8,BD38+2,IF(BD38&gt;10,10,BD38)),IF(BD38&gt;=10,10,BD38)))</f>
        <v>0.94448308733794528</v>
      </c>
      <c r="BE40" s="52">
        <f t="shared" ref="BE40" si="328">IF(BD41="T",IF(BE39="KB",IF(BE38&gt;2,BE38-3,BE38-1),BE38+1),IF(BE39="KT",IF(BE38&lt;8,BE38+2,IF(BE38&gt;10,10,BE38)),IF(BE38&gt;=10,10,BE38)))</f>
        <v>1.2308200430289824</v>
      </c>
      <c r="BF40" s="52">
        <f t="shared" ref="BF40" si="329">IF(BE41="T",IF(BF39="KB",IF(BF38&gt;2,BF38-3,BF38-1),BF38+1),IF(BF39="KT",IF(BF38&lt;8,BF38+2,IF(BF38&gt;10,10,BF38)),IF(BF38&gt;=10,10,BF38)))</f>
        <v>1.5357168595948911</v>
      </c>
      <c r="BG40" s="24">
        <f t="shared" ref="BG40" si="330">IF(BF41="T",IF(BG39="KB",IF(BG38&gt;2,BG38-3,BG38-1),BG38+1),IF(BG39="KT",IF(BG38&lt;8,BG38+2,IF(BG38&gt;10,10,BG38)),IF(BG38&gt;=10,10,BG38)))</f>
        <v>1.8365613387167437</v>
      </c>
      <c r="BH40" s="24">
        <f t="shared" ref="BH40" si="331">IF(BG41="T",IF(BH39="KB",IF(BH38&gt;2,BH38-3,BH38-1),BH38+1),IF(BH39="KT",IF(BH38&lt;8,BH38+2,IF(BH38&gt;10,10,BH38)),IF(BH38&gt;=10,10,BH38)))</f>
        <v>2.1446595795540042</v>
      </c>
      <c r="BI40" s="24">
        <f t="shared" ref="BI40" si="332">IF(BH41="T",IF(BI39="KB",IF(BI38&gt;2,BI38-3,BI38-1),BI38+1),IF(BI39="KT",IF(BI38&lt;8,BI38+2,IF(BI38&gt;10,10,BI38)),IF(BI38&gt;=10,10,BI38)))</f>
        <v>2.4243222646909302</v>
      </c>
      <c r="BJ40" s="24">
        <f t="shared" ref="BJ40" si="333">IF(BI41="T",IF(BJ39="KB",IF(BJ38&gt;2,BJ38-3,BJ38-1),BJ38+1),IF(BJ39="KT",IF(BJ38&lt;8,BJ38+2,IF(BJ38&gt;10,10,BJ38)),IF(BJ38&gt;=10,10,BJ38)))</f>
        <v>2.7227932898785778</v>
      </c>
      <c r="BK40" s="24">
        <f t="shared" ref="BK40" si="334">IF(BJ41="T",IF(BK39="KB",IF(BK38&gt;2,BK38-3,BK38-1),BK38+1),IF(BK39="KT",IF(BK38&lt;8,BK38+2,IF(BK38&gt;10,10,BK38)),IF(BK38&gt;=10,10,BK38)))</f>
        <v>3.0164507072414191</v>
      </c>
      <c r="BL40" s="24">
        <f t="shared" ref="BL40" si="335">IF(BK41="T",IF(BL39="KB",IF(BL38&gt;2,BL38-3,BL38-1),BL38+1),IF(BL39="KT",IF(BL38&lt;8,BL38+2,IF(BL38&gt;10,10,BL38)),IF(BL38&gt;=10,10,BL38)))</f>
        <v>3.3171054907172177</v>
      </c>
      <c r="BM40" s="24">
        <f t="shared" ref="BM40" si="336">IF(BL41="T",IF(BM39="KB",IF(BM38&gt;2,BM38-3,BM38-1),BM38+1),IF(BM39="KT",IF(BM38&lt;8,BM38+2,IF(BM38&gt;10,10,BM38)),IF(BM38&gt;=10,10,BM38)))</f>
        <v>3.6188521533370919</v>
      </c>
      <c r="BN40" s="24">
        <f t="shared" ref="BN40" si="337">IF(BM41="T",IF(BN39="KB",IF(BN38&gt;2,BN38-3,BN38-1),BN38+1),IF(BN39="KT",IF(BN38&lt;8,BN38+2,IF(BN38&gt;10,10,BN38)),IF(BN38&gt;=10,10,BN38)))</f>
        <v>3.9246434385854827</v>
      </c>
      <c r="BO40" s="24">
        <f t="shared" ref="BO40" si="338">IF(BN41="T",IF(BO39="KB",IF(BO38&gt;2,BO38-3,BO38-1),BO38+1),IF(BO39="KT",IF(BO38&lt;8,BO38+2,IF(BO38&gt;10,10,BO38)),IF(BO38&gt;=10,10,BO38)))</f>
        <v>4.2054596015168428</v>
      </c>
      <c r="BP40" s="24">
        <f t="shared" ref="BP40" si="339">IF(BO41="T",IF(BP39="KB",IF(BP38&gt;2,BP38-3,BP38-1),BP38+1),IF(BP39="KT",IF(BP38&lt;8,BP38+2,IF(BP38&gt;10,10,BP38)),IF(BP38&gt;=10,10,BP38)))</f>
        <v>4.5043610169175103</v>
      </c>
      <c r="BQ40" s="24">
        <f t="shared" ref="BQ40" si="340">IF(BP41="T",IF(BQ39="KB",IF(BQ38&gt;2,BQ38-3,BQ38-1),BQ38+1),IF(BQ39="KT",IF(BQ38&lt;8,BQ38+2,IF(BQ38&gt;10,10,BQ38)),IF(BQ38&gt;=10,10,BQ38)))</f>
        <v>4.7998174973943168</v>
      </c>
      <c r="BR40" s="24">
        <f t="shared" ref="BR40" si="341">IF(BQ41="T",IF(BR39="KB",IF(BR38&gt;2,BR38-3,BR38-1),BR38+1),IF(BR39="KT",IF(BR38&lt;8,BR38+2,IF(BR38&gt;10,10,BR38)),IF(BR38&gt;=10,10,BR38)))</f>
        <v>5.1025941366438463</v>
      </c>
      <c r="BS40" s="24">
        <f t="shared" ref="BS40" si="342">IF(BR41="T",IF(BS39="KB",IF(BS38&gt;2,BS38-3,BS38-1),BS38+1),IF(BS39="KT",IF(BS38&lt;8,BS38+2,IF(BS38&gt;10,10,BS38)),IF(BS38&gt;=10,10,BS38)))</f>
        <v>5.4073083878178068</v>
      </c>
      <c r="BT40" s="24">
        <f t="shared" ref="BT40" si="343">IF(BS41="T",IF(BT39="KB",IF(BT38&gt;2,BT38-3,BT38-1),BT38+1),IF(BT39="KT",IF(BT38&lt;8,BT38+2,IF(BT38&gt;10,10,BT38)),IF(BT38&gt;=10,10,BT38)))</f>
        <v>5.7166515243403442</v>
      </c>
      <c r="BU40" s="49">
        <f t="shared" ref="BU40" si="344">IF(BT41="T",IF(BU39="KB",IF(BU38&gt;2,BU38-3,BU38-1),BU38+1),IF(BU39="KT",IF(BU38&lt;8,BU38+2,IF(BU38&gt;10,10,BU38)),IF(BU38&gt;=10,10,BU38)))</f>
        <v>7.9956917616346299</v>
      </c>
      <c r="BV40" s="49">
        <f t="shared" ref="BV40" si="345">IF(BU41="T",IF(BV39="KB",IF(BV38&gt;2,BV38-3,BV38-1),BV38+1),IF(BV39="KT",IF(BV38&lt;8,BV38+2,IF(BV38&gt;10,10,BV38)),IF(BV38&gt;=10,10,BV38)))</f>
        <v>8.2951790011207631</v>
      </c>
      <c r="BW40" s="49">
        <f t="shared" ref="BW40" si="346">IF(BV41="T",IF(BW39="KB",IF(BW38&gt;2,BW38-3,BW38-1),BW38+1),IF(BW39="KT",IF(BW38&lt;8,BW38+2,IF(BW38&gt;10,10,BW38)),IF(BW38&gt;=10,10,BW38)))</f>
        <v>8.3880507920886931</v>
      </c>
      <c r="BX40" s="64">
        <f t="shared" ref="BX40" si="347">IF(BW41="T",IF(BX39="KB",IF(BX38&gt;2,BX38-3,BX38-1),BX38+1),IF(BX39="KT",IF(BX38&lt;8,BX38+2,IF(BX38&gt;10,10,BX38)),IF(BX38&gt;=10,10,BX38)))</f>
        <v>8.4706780839766047</v>
      </c>
      <c r="BY40" s="18">
        <f t="shared" ref="BY40" si="348">IF(BX41="T",IF(BY39="KB",IF(BY38&gt;2,BY38-3,BY38-1),BY38+1),IF(BY39="KT",IF(BY38&lt;8,BY38+2,IF(BY38&gt;10,10,BY38)),IF(BY38&gt;=10,10,BY38)))</f>
        <v>8.5590524853987411</v>
      </c>
      <c r="BZ40" s="18">
        <f t="shared" ref="BZ40" si="349">IF(BY41="T",IF(BZ39="KB",IF(BZ38&gt;2,BZ38-3,BZ38-1),BZ38+1),IF(BZ39="KT",IF(BZ38&lt;8,BZ38+2,IF(BZ38&gt;10,10,BZ38)),IF(BZ38&gt;=10,10,BZ38)))</f>
        <v>8.6451781920479824</v>
      </c>
      <c r="CA40" s="52">
        <f t="shared" ref="CA40" si="350">IF(BZ41="T",IF(CA39="KB",IF(CA38&gt;2,CA38-3,CA38-1),CA38+1),IF(CA39="KT",IF(CA38&lt;8,CA38+2,IF(CA38&gt;10,10,CA38)),IF(CA38&gt;=10,10,CA38)))</f>
        <v>4.7330531060778869</v>
      </c>
      <c r="CB40" s="52">
        <f t="shared" ref="CB40" si="351">IF(CA41="T",IF(CB39="KB",IF(CB38&gt;2,CB38-3,CB38-1),CB38+1),IF(CB39="KT",IF(CB38&lt;8,CB38+2,IF(CB38&gt;10,10,CB38)),IF(CB38&gt;=10,10,CB38)))</f>
        <v>0.82067827641167357</v>
      </c>
      <c r="CC40" s="52">
        <f t="shared" ref="CC40" si="352">IF(CB41="T",IF(CC39="KB",IF(CC38&gt;2,CC38-3,CC38-1),CC38+1),IF(CC39="KT",IF(CC38&lt;8,CC38+2,IF(CC38&gt;10,10,CC38)),IF(CC38&gt;=10,10,CC38)))</f>
        <v>1.1107406785877332</v>
      </c>
      <c r="CD40" s="52">
        <f t="shared" ref="CD40" si="353">IF(CC41="T",IF(CD39="KB",IF(CD38&gt;2,CD38-3,CD38-1),CD38+1),IF(CD39="KT",IF(CD38&lt;8,CD38+2,IF(CD38&gt;10,10,CD38)),IF(CD38&gt;=10,10,CD38)))</f>
        <v>1.4190571007537107</v>
      </c>
      <c r="CE40" s="24">
        <f t="shared" ref="CE40" si="354">IF(CD41="T",IF(CE39="KB",IF(CE38&gt;2,CE38-3,CE38-1),CE38+1),IF(CE39="KT",IF(CE38&lt;8,CE38+2,IF(CE38&gt;10,10,CE38)),IF(CE38&gt;=10,10,CE38)))</f>
        <v>1.7235420655024505</v>
      </c>
      <c r="CF40" s="24">
        <f t="shared" ref="CF40" si="355">IF(CE41="T",IF(CF39="KB",IF(CF38&gt;2,CF38-3,CF38-1),CF38+1),IF(CF39="KT",IF(CF38&lt;8,CF38+2,IF(CF38&gt;10,10,CF38)),IF(CF38&gt;=10,10,CF38)))</f>
        <v>2.0352383115375305</v>
      </c>
      <c r="CG40" s="24">
        <f t="shared" ref="CG40" si="356">IF(CF41="T",IF(CG39="KB",IF(CG38&gt;2,CG38-3,CG38-1),CG38+1),IF(CG39="KT",IF(CG38&lt;8,CG38+2,IF(CG38&gt;10,10,CG38)),IF(CG38&gt;=10,10,CG38)))</f>
        <v>2.3131019940755464</v>
      </c>
      <c r="CH40" s="24">
        <f t="shared" ref="CH40" si="357">IF(CG41="T",IF(CH39="KB",IF(CH38&gt;2,CH38-3,CH38-1),CH38+1),IF(CH39="KT",IF(CH38&lt;8,CH38+2,IF(CH38&gt;10,10,CH38)),IF(CH38&gt;=10,10,CH38)))</f>
        <v>2.6119649868021471</v>
      </c>
      <c r="CI40" s="24">
        <f t="shared" ref="CI40" si="358">IF(CH41="T",IF(CI39="KB",IF(CI38&gt;2,CI38-3,CI38-1),CI38+1),IF(CI39="KT",IF(CI38&lt;8,CI38+2,IF(CI38&gt;10,10,CI38)),IF(CI38&gt;=10,10,CI38)))</f>
        <v>2.9044113528745079</v>
      </c>
      <c r="CJ40" s="24">
        <f t="shared" ref="CJ40" si="359">IF(CI41="T",IF(CJ39="KB",IF(CJ38&gt;2,CJ38-3,CJ38-1),CJ38+1),IF(CJ39="KT",IF(CJ38&lt;8,CJ38+2,IF(CJ38&gt;10,10,CJ38)),IF(CJ38&gt;=10,10,CJ38)))</f>
        <v>3.204149060714041</v>
      </c>
      <c r="CK40" s="24">
        <f t="shared" ref="CK40" si="360">IF(CJ41="T",IF(CK39="KB",IF(CK38&gt;2,CK38-3,CK38-1),CK38+1),IF(CK39="KT",IF(CK38&lt;8,CK38+2,IF(CK38&gt;10,10,CK38)),IF(CK38&gt;=10,10,CK38)))</f>
        <v>3.5043241261100402</v>
      </c>
      <c r="CL40" s="24">
        <f t="shared" ref="CL40" si="361">IF(CK41="T",IF(CL39="KB",IF(CL38&gt;2,CL38-3,CL38-1),CL38+1),IF(CL39="KT",IF(CL38&lt;8,CL38+2,IF(CL38&gt;10,10,CL38)),IF(CL38&gt;=10,10,CL38)))</f>
        <v>3.8083635411678589</v>
      </c>
      <c r="CM40" s="24">
        <f t="shared" ref="CM40" si="362">IF(CL41="T",IF(CM39="KB",IF(CM38&gt;2,CM38-3,CM38-1),CM38+1),IF(CM39="KT",IF(CM38&lt;8,CM38+2,IF(CM38&gt;10,10,CM38)),IF(CM38&gt;=10,10,CM38)))</f>
        <v>4.0900556391945058</v>
      </c>
      <c r="CN40" s="24">
        <f t="shared" ref="CN40" si="363">IF(CM41="T",IF(CN39="KB",IF(CN38&gt;2,CN38-3,CN38-1),CN38+1),IF(CN39="KT",IF(CN38&lt;8,CN38+2,IF(CN38&gt;10,10,CN38)),IF(CN38&gt;=10,10,CN38)))</f>
        <v>4.3886713471756806</v>
      </c>
      <c r="CO40" s="24">
        <f t="shared" ref="CO40" si="364">IF(CN41="T",IF(CO39="KB",IF(CO38&gt;2,CO38-3,CO38-1),CO38+1),IF(CO39="KT",IF(CO38&lt;8,CO38+2,IF(CO38&gt;10,10,CO38)),IF(CO38&gt;=10,10,CO38)))</f>
        <v>4.684575201618534</v>
      </c>
      <c r="CP40" s="24">
        <f t="shared" ref="CP40" si="365">IF(CO41="T",IF(CP39="KB",IF(CP38&gt;2,CP38-3,CP38-1),CP38+1),IF(CP39="KT",IF(CP38&lt;8,CP38+2,IF(CP38&gt;10,10,CP38)),IF(CP38&gt;=10,10,CP38)))</f>
        <v>4.9875849342694911</v>
      </c>
      <c r="CQ40" s="24">
        <f t="shared" ref="CQ40" si="366">IF(CP41="T",IF(CQ39="KB",IF(CQ38&gt;2,CQ38-3,CQ38-1),CQ38+1),IF(CQ39="KT",IF(CQ38&lt;8,CQ38+2,IF(CQ38&gt;10,10,CQ38)),IF(CQ38&gt;=10,10,CQ38)))</f>
        <v>5.2927916792553393</v>
      </c>
      <c r="CR40" s="24">
        <f t="shared" ref="CR40" si="367">IF(CQ41="T",IF(CR39="KB",IF(CR38&gt;2,CR38-3,CR38-1),CR38+1),IF(CR39="KT",IF(CR38&lt;8,CR38+2,IF(CR38&gt;10,10,CR38)),IF(CR38&gt;=10,10,CR38)))</f>
        <v>5.6026498695126854</v>
      </c>
      <c r="CS40" s="49">
        <f t="shared" ref="CS40" si="368">IF(CR41="T",IF(CS39="KB",IF(CS38&gt;2,CS38-3,CS38-1),CS38+1),IF(CS39="KT",IF(CS38&lt;8,CS38+2,IF(CS38&gt;10,10,CS38)),IF(CS38&gt;=10,10,CS38)))</f>
        <v>7.8814325799395668</v>
      </c>
      <c r="CT40" s="49">
        <f t="shared" ref="CT40" si="369">IF(CS41="T",IF(CT39="KB",IF(CT38&gt;2,CT38-3,CT38-1),CT38+1),IF(CT39="KT",IF(CT38&lt;8,CT38+2,IF(CT38&gt;10,10,CT38)),IF(CT38&gt;=10,10,CT38)))</f>
        <v>8.1810029048209572</v>
      </c>
      <c r="CU40" s="49">
        <f t="shared" ref="CU40" si="370">IF(CT41="T",IF(CU39="KB",IF(CU38&gt;2,CU38-3,CU38-1),CU38+1),IF(CU39="KT",IF(CU38&lt;8,CU38+2,IF(CU38&gt;10,10,CU38)),IF(CU38&gt;=10,10,CU38)))</f>
        <v>8.2737417970143685</v>
      </c>
      <c r="CV40" s="64">
        <f t="shared" ref="CV40" si="371">IF(CU41="T",IF(CV39="KB",IF(CV38&gt;2,CV38-3,CV38-1),CV38+1),IF(CV39="KT",IF(CV38&lt;8,CV38+2,IF(CV38&gt;10,10,CV38)),IF(CV38&gt;=10,10,CV38)))</f>
        <v>8.3562985041742053</v>
      </c>
      <c r="CW40" s="18">
        <f t="shared" ref="CW40" si="372">IF(CV41="T",IF(CW39="KB",IF(CW38&gt;2,CW38-3,CW38-1),CW38+1),IF(CW39="KT",IF(CW38&lt;8,CW38+2,IF(CW38&gt;10,10,CW38)),IF(CW38&gt;=10,10,CW38)))</f>
        <v>8.444525485806599</v>
      </c>
      <c r="CX40" s="18">
        <f t="shared" ref="CX40" si="373">IF(CW41="T",IF(CX39="KB",IF(CX38&gt;2,CX38-3,CX38-1),CX38+1),IF(CX39="KT",IF(CX38&lt;8,CX38+2,IF(CX38&gt;10,10,CX38)),IF(CX38&gt;=10,10,CX38)))</f>
        <v>8.5304965121584857</v>
      </c>
      <c r="CY40" s="52">
        <f t="shared" ref="CY40" si="374">IF(CX41="T",IF(CY39="KB",IF(CY38&gt;2,CY38-3,CY38-1),CY38+1),IF(CY39="KT",IF(CY38&lt;8,CY38+2,IF(CY38&gt;10,10,CY38)),IF(CY38&gt;=10,10,CY38)))</f>
        <v>4.6181746981063947</v>
      </c>
      <c r="CZ40" s="52">
        <f t="shared" ref="CZ40" si="375">IF(CY41="T",IF(CZ39="KB",IF(CZ38&gt;2,CZ38-3,CZ38-1),CZ38+1),IF(CZ39="KT",IF(CZ38&lt;8,CZ38+2,IF(CZ38&gt;10,10,CZ38)),IF(CZ38&gt;=10,10,CZ38)))</f>
        <v>0.70557848621206132</v>
      </c>
      <c r="DA40" s="52">
        <f t="shared" ref="DA40" si="376">IF(CZ41="T",IF(DA39="KB",IF(DA38&gt;2,DA38-3,DA38-1),DA38+1),IF(DA39="KT",IF(DA38&lt;8,DA38+2,IF(DA38&gt;10,10,DA38)),IF(DA38&gt;=10,10,DA38)))</f>
        <v>0.99538615519461937</v>
      </c>
      <c r="DB40" s="52">
        <f t="shared" ref="DB40" si="377">IF(DA41="T",IF(DB39="KB",IF(DB38&gt;2,DB38-3,DB38-1),DB38+1),IF(DB39="KT",IF(DB38&lt;8,DB38+2,IF(DB38&gt;10,10,DB38)),IF(DB38&gt;=10,10,DB38)))</f>
        <v>1.3034188416113413</v>
      </c>
      <c r="DC40" s="24">
        <f t="shared" ref="DC40" si="378">IF(DB41="T",IF(DC39="KB",IF(DC38&gt;2,DC38-3,DC38-1),DC38+1),IF(DC39="KT",IF(DC38&lt;8,DC38+2,IF(DC38&gt;10,10,DC38)),IF(DC38&gt;=10,10,DC38)))</f>
        <v>1.6075888938502569</v>
      </c>
      <c r="DD40" s="24">
        <f t="shared" ref="DD40" si="379">IF(DC41="T",IF(DD39="KB",IF(DD38&gt;2,DD38-3,DD38-1),DD38+1),IF(DD39="KT",IF(DD38&lt;8,DD38+2,IF(DD38&gt;10,10,DD38)),IF(DD38&gt;=10,10,DD38)))</f>
        <v>1.9189401377173516</v>
      </c>
      <c r="DE40" s="24">
        <f t="shared" ref="DE40" si="380">IF(DD41="T",IF(DE39="KB",IF(DE38&gt;2,DE38-3,DE38-1),DE38+1),IF(DE39="KT",IF(DE38&lt;8,DE38+2,IF(DE38&gt;10,10,DE38)),IF(DE38&gt;=10,10,DE38)))</f>
        <v>2.1969763213393598</v>
      </c>
      <c r="DF40" s="24">
        <f t="shared" ref="DF40" si="381">IF(DE41="T",IF(DF39="KB",IF(DF38&gt;2,DF38-3,DF38-1),DF38+1),IF(DF39="KT",IF(DF38&lt;8,DF38+2,IF(DF38&gt;10,10,DF38)),IF(DF38&gt;=10,10,DF38)))</f>
        <v>2.4957804703470314</v>
      </c>
      <c r="DG40" s="24">
        <f t="shared" ref="DG40" si="382">IF(DF41="T",IF(DG39="KB",IF(DG38&gt;2,DG38-3,DG38-1),DG38+1),IF(DG39="KT",IF(DG38&lt;8,DG38+2,IF(DG38&gt;10,10,DG38)),IF(DG38&gt;=10,10,DG38)))</f>
        <v>2.7883110719249911</v>
      </c>
      <c r="DH40" s="24">
        <f t="shared" ref="DH40" si="383">IF(DG41="T",IF(DH39="KB",IF(DH38&gt;2,DH38-3,DH38-1),DH38+1),IF(DH39="KT",IF(DH38&lt;8,DH38+2,IF(DH38&gt;10,10,DH38)),IF(DH38&gt;=10,10,DH38)))</f>
        <v>3.0880888824809261</v>
      </c>
      <c r="DI40" s="24">
        <f t="shared" ref="DI40" si="384">IF(DH41="T",IF(DI39="KB",IF(DI38&gt;2,DI38-3,DI38-1),DI38+1),IF(DI39="KT",IF(DI38&lt;8,DI38+2,IF(DI38&gt;10,10,DI38)),IF(DI38&gt;=10,10,DI38)))</f>
        <v>3.3883535238109928</v>
      </c>
      <c r="DJ40" s="24">
        <f t="shared" ref="DJ40" si="385">IF(DI41="T",IF(DJ39="KB",IF(DJ38&gt;2,DJ38-3,DJ38-1),DJ38+1),IF(DJ39="KT",IF(DJ38&lt;8,DJ38+2,IF(DJ38&gt;10,10,DJ38)),IF(DJ38&gt;=10,10,DJ38)))</f>
        <v>3.6924851850171132</v>
      </c>
      <c r="DK40" s="24">
        <f t="shared" ref="DK40" si="386">IF(DJ41="T",IF(DK39="KB",IF(DK38&gt;2,DK38-3,DK38-1),DK38+1),IF(DK39="KT",IF(DK38&lt;8,DK38+2,IF(DK38&gt;10,10,DK38)),IF(DK38&gt;=10,10,DK38)))</f>
        <v>3.974131159969609</v>
      </c>
      <c r="DL40" s="24">
        <f t="shared" ref="DL40" si="387">IF(DK41="T",IF(DL39="KB",IF(DL38&gt;2,DL38-3,DL38-1),DL38+1),IF(DL39="KT",IF(DL38&lt;8,DL38+2,IF(DL38&gt;10,10,DL38)),IF(DL38&gt;=10,10,DL38)))</f>
        <v>4.2727617074409396</v>
      </c>
      <c r="DM40" s="24">
        <f t="shared" ref="DM40" si="388">IF(DL41="T",IF(DM39="KB",IF(DM38&gt;2,DM38-3,DM38-1),DM38+1),IF(DM39="KT",IF(DM38&lt;8,DM38+2,IF(DM38&gt;10,10,DM38)),IF(DM38&gt;=10,10,DM38)))</f>
        <v>4.5686416980448756</v>
      </c>
      <c r="DN40" s="24">
        <f t="shared" ref="DN40" si="389">IF(DM41="T",IF(DN39="KB",IF(DN38&gt;2,DN38-3,DN38-1),DN38+1),IF(DN39="KT",IF(DN38&lt;8,DN38+2,IF(DN38&gt;10,10,DN38)),IF(DN38&gt;=10,10,DN38)))</f>
        <v>4.8716386964745313</v>
      </c>
      <c r="DO40" s="24">
        <f t="shared" ref="DO40" si="390">IF(DN41="T",IF(DO39="KB",IF(DO38&gt;2,DO38-3,DO38-1),DO38+1),IF(DO39="KT",IF(DO38&lt;8,DO38+2,IF(DO38&gt;10,10,DO38)),IF(DO38&gt;=10,10,DO38)))</f>
        <v>5.1768189203833499</v>
      </c>
      <c r="DP40" s="24">
        <f t="shared" ref="DP40" si="391">IF(DO41="T",IF(DP39="KB",IF(DP38&gt;2,DP38-3,DP38-1),DP38+1),IF(DP39="KT",IF(DP38&lt;8,DP38+2,IF(DP38&gt;10,10,DP38)),IF(DP38&gt;=10,10,DP38)))</f>
        <v>5.4866492609446107</v>
      </c>
      <c r="DQ40" s="49">
        <f t="shared" ref="DQ40" si="392">IF(DP41="T",IF(DQ39="KB",IF(DQ38&gt;2,DQ38-3,DQ38-1),DQ38+1),IF(DQ39="KT",IF(DQ38&lt;8,DQ38+2,IF(DQ38&gt;10,10,DQ38)),IF(DQ38&gt;=10,10,DQ38)))</f>
        <v>7.7654458962195356</v>
      </c>
      <c r="DR40" s="49">
        <f t="shared" ref="DR40" si="393">IF(DQ41="T",IF(DR39="KB",IF(DR38&gt;2,DR38-3,DR38-1),DR38+1),IF(DR39="KT",IF(DR38&lt;8,DR38+2,IF(DR38&gt;10,10,DR38)),IF(DR38&gt;=10,10,DR38)))</f>
        <v>8.0650117252909812</v>
      </c>
      <c r="DS40" s="49">
        <f t="shared" ref="DS40" si="394">IF(DR41="T",IF(DS39="KB",IF(DS38&gt;2,DS38-3,DS38-1),DS38+1),IF(DS39="KT",IF(DS38&lt;8,DS38+2,IF(DS38&gt;10,10,DS38)),IF(DS38&gt;=10,10,DS38)))</f>
        <v>8.1577577986175172</v>
      </c>
      <c r="DT40" s="64">
        <f t="shared" ref="DT40" si="395">IF(DS41="T",IF(DT39="KB",IF(DT38&gt;2,DT38-3,DT38-1),DT38+1),IF(DT39="KT",IF(DT38&lt;8,DT38+2,IF(DT38&gt;10,10,DT38)),IF(DT38&gt;=10,10,DT38)))</f>
        <v>8.2403183150530204</v>
      </c>
    </row>
    <row r="41" spans="2:124" s="33" customFormat="1" ht="15.75" thickBot="1" x14ac:dyDescent="0.3">
      <c r="B41" s="31" t="s">
        <v>33</v>
      </c>
      <c r="C41" s="77" t="s">
        <v>34</v>
      </c>
      <c r="D41" s="104" t="s">
        <v>34</v>
      </c>
      <c r="E41" s="51" t="str">
        <f t="shared" ref="E41:N41" si="396">IF(D41="T",IF(E40&lt;0,"B",IF(E39="KB",IF(E40&lt;=2,"B","T"),"T")),IF(E39="KT",IF(D41="B",IF(E40&gt;=8,"T","B")),IF(D41="B",IF(E40&gt;=10,IF(E39="KT","T","B"),"B"))))</f>
        <v>T</v>
      </c>
      <c r="F41" s="51" t="str">
        <f t="shared" si="396"/>
        <v>T</v>
      </c>
      <c r="G41" s="51" t="str">
        <f t="shared" si="396"/>
        <v>T</v>
      </c>
      <c r="H41" s="51" t="str">
        <f t="shared" si="396"/>
        <v>B</v>
      </c>
      <c r="I41" s="51" t="str">
        <f t="shared" si="396"/>
        <v>B</v>
      </c>
      <c r="J41" s="51" t="str">
        <f t="shared" si="396"/>
        <v>B</v>
      </c>
      <c r="K41" s="51" t="str">
        <f t="shared" si="396"/>
        <v>B</v>
      </c>
      <c r="L41" s="51" t="str">
        <f t="shared" si="396"/>
        <v>B</v>
      </c>
      <c r="M41" s="51" t="str">
        <f t="shared" si="396"/>
        <v>B</v>
      </c>
      <c r="N41" s="51" t="str">
        <f t="shared" si="396"/>
        <v>B</v>
      </c>
      <c r="O41" s="51" t="str">
        <f>IF(N41="T",IF(O40&lt;0,"B",IF(O39="KB",IF(O40&lt;=2,"B","T"),"T")),IF(O39="KT",IF(N41="B",IF(O40&gt;=8,"T","B")),IF(N41="B",IF(O40&gt;=10,IF(O39="KT","T","B"),"B"))))</f>
        <v>B</v>
      </c>
      <c r="P41" s="51" t="str">
        <f t="shared" ref="P41:CA41" si="397">IF(O41="T",IF(P40&lt;0,"B",IF(P39="KB",IF(P40&lt;=2,"B","T"),"T")),IF(P39="KT",IF(O41="B",IF(P40&gt;=8,"T","B")),IF(O41="B",IF(P40&gt;=10,IF(P39="KT","T","B"),"B"))))</f>
        <v>B</v>
      </c>
      <c r="Q41" s="51" t="str">
        <f t="shared" si="397"/>
        <v>B</v>
      </c>
      <c r="R41" s="51" t="str">
        <f t="shared" si="397"/>
        <v>B</v>
      </c>
      <c r="S41" s="51" t="str">
        <f t="shared" si="397"/>
        <v>B</v>
      </c>
      <c r="T41" s="51" t="str">
        <f t="shared" si="397"/>
        <v>B</v>
      </c>
      <c r="U41" s="51" t="str">
        <f t="shared" si="397"/>
        <v>B</v>
      </c>
      <c r="V41" s="51" t="str">
        <f t="shared" si="397"/>
        <v>B</v>
      </c>
      <c r="W41" s="51" t="str">
        <f t="shared" si="397"/>
        <v>B</v>
      </c>
      <c r="X41" s="51" t="str">
        <f t="shared" si="397"/>
        <v>B</v>
      </c>
      <c r="Y41" s="51" t="str">
        <f t="shared" si="397"/>
        <v>B</v>
      </c>
      <c r="Z41" s="51" t="str">
        <f t="shared" si="397"/>
        <v>T</v>
      </c>
      <c r="AA41" s="51" t="str">
        <f t="shared" si="397"/>
        <v>T</v>
      </c>
      <c r="AB41" s="65" t="str">
        <f t="shared" si="397"/>
        <v>T</v>
      </c>
      <c r="AC41" s="51" t="str">
        <f t="shared" si="397"/>
        <v>T</v>
      </c>
      <c r="AD41" s="51" t="str">
        <f t="shared" si="397"/>
        <v>T</v>
      </c>
      <c r="AE41" s="51" t="str">
        <f t="shared" si="397"/>
        <v>T</v>
      </c>
      <c r="AF41" s="51" t="str">
        <f t="shared" si="397"/>
        <v>B</v>
      </c>
      <c r="AG41" s="51" t="str">
        <f t="shared" si="397"/>
        <v>B</v>
      </c>
      <c r="AH41" s="51" t="str">
        <f t="shared" si="397"/>
        <v>B</v>
      </c>
      <c r="AI41" s="51" t="str">
        <f t="shared" si="397"/>
        <v>B</v>
      </c>
      <c r="AJ41" s="51" t="str">
        <f t="shared" si="397"/>
        <v>B</v>
      </c>
      <c r="AK41" s="51" t="str">
        <f t="shared" si="397"/>
        <v>B</v>
      </c>
      <c r="AL41" s="51" t="str">
        <f t="shared" si="397"/>
        <v>B</v>
      </c>
      <c r="AM41" s="51" t="str">
        <f t="shared" si="397"/>
        <v>B</v>
      </c>
      <c r="AN41" s="51" t="str">
        <f t="shared" si="397"/>
        <v>B</v>
      </c>
      <c r="AO41" s="51" t="str">
        <f t="shared" si="397"/>
        <v>B</v>
      </c>
      <c r="AP41" s="51" t="str">
        <f t="shared" si="397"/>
        <v>B</v>
      </c>
      <c r="AQ41" s="51" t="str">
        <f t="shared" si="397"/>
        <v>B</v>
      </c>
      <c r="AR41" s="51" t="str">
        <f t="shared" si="397"/>
        <v>B</v>
      </c>
      <c r="AS41" s="51" t="str">
        <f t="shared" si="397"/>
        <v>B</v>
      </c>
      <c r="AT41" s="51" t="str">
        <f t="shared" si="397"/>
        <v>B</v>
      </c>
      <c r="AU41" s="51" t="str">
        <f t="shared" si="397"/>
        <v>B</v>
      </c>
      <c r="AV41" s="51" t="str">
        <f t="shared" si="397"/>
        <v>B</v>
      </c>
      <c r="AW41" s="51" t="str">
        <f t="shared" si="397"/>
        <v>T</v>
      </c>
      <c r="AX41" s="51" t="str">
        <f t="shared" si="397"/>
        <v>T</v>
      </c>
      <c r="AY41" s="51" t="str">
        <f t="shared" si="397"/>
        <v>T</v>
      </c>
      <c r="AZ41" s="65" t="str">
        <f t="shared" si="397"/>
        <v>T</v>
      </c>
      <c r="BA41" s="51" t="str">
        <f t="shared" si="397"/>
        <v>T</v>
      </c>
      <c r="BB41" s="51" t="str">
        <f t="shared" si="397"/>
        <v>T</v>
      </c>
      <c r="BC41" s="51" t="str">
        <f t="shared" si="397"/>
        <v>T</v>
      </c>
      <c r="BD41" s="51" t="str">
        <f t="shared" si="397"/>
        <v>B</v>
      </c>
      <c r="BE41" s="51" t="str">
        <f t="shared" si="397"/>
        <v>B</v>
      </c>
      <c r="BF41" s="51" t="str">
        <f t="shared" si="397"/>
        <v>B</v>
      </c>
      <c r="BG41" s="51" t="str">
        <f t="shared" si="397"/>
        <v>B</v>
      </c>
      <c r="BH41" s="51" t="str">
        <f t="shared" si="397"/>
        <v>B</v>
      </c>
      <c r="BI41" s="51" t="str">
        <f t="shared" si="397"/>
        <v>B</v>
      </c>
      <c r="BJ41" s="51" t="str">
        <f t="shared" si="397"/>
        <v>B</v>
      </c>
      <c r="BK41" s="51" t="str">
        <f t="shared" si="397"/>
        <v>B</v>
      </c>
      <c r="BL41" s="51" t="str">
        <f t="shared" si="397"/>
        <v>B</v>
      </c>
      <c r="BM41" s="51" t="str">
        <f t="shared" si="397"/>
        <v>B</v>
      </c>
      <c r="BN41" s="51" t="str">
        <f t="shared" si="397"/>
        <v>B</v>
      </c>
      <c r="BO41" s="51" t="str">
        <f t="shared" si="397"/>
        <v>B</v>
      </c>
      <c r="BP41" s="51" t="str">
        <f t="shared" si="397"/>
        <v>B</v>
      </c>
      <c r="BQ41" s="51" t="str">
        <f t="shared" si="397"/>
        <v>B</v>
      </c>
      <c r="BR41" s="51" t="str">
        <f t="shared" si="397"/>
        <v>B</v>
      </c>
      <c r="BS41" s="51" t="str">
        <f t="shared" si="397"/>
        <v>B</v>
      </c>
      <c r="BT41" s="51" t="str">
        <f t="shared" si="397"/>
        <v>B</v>
      </c>
      <c r="BU41" s="51" t="str">
        <f t="shared" si="397"/>
        <v>B</v>
      </c>
      <c r="BV41" s="51" t="str">
        <f t="shared" si="397"/>
        <v>T</v>
      </c>
      <c r="BW41" s="51" t="str">
        <f t="shared" si="397"/>
        <v>T</v>
      </c>
      <c r="BX41" s="65" t="str">
        <f t="shared" si="397"/>
        <v>T</v>
      </c>
      <c r="BY41" s="51" t="str">
        <f t="shared" si="397"/>
        <v>T</v>
      </c>
      <c r="BZ41" s="51" t="str">
        <f t="shared" si="397"/>
        <v>T</v>
      </c>
      <c r="CA41" s="51" t="str">
        <f t="shared" si="397"/>
        <v>T</v>
      </c>
      <c r="CB41" s="51" t="str">
        <f t="shared" ref="CB41:DT41" si="398">IF(CA41="T",IF(CB40&lt;0,"B",IF(CB39="KB",IF(CB40&lt;=2,"B","T"),"T")),IF(CB39="KT",IF(CA41="B",IF(CB40&gt;=8,"T","B")),IF(CA41="B",IF(CB40&gt;=10,IF(CB39="KT","T","B"),"B"))))</f>
        <v>B</v>
      </c>
      <c r="CC41" s="51" t="str">
        <f t="shared" si="398"/>
        <v>B</v>
      </c>
      <c r="CD41" s="51" t="str">
        <f t="shared" si="398"/>
        <v>B</v>
      </c>
      <c r="CE41" s="51" t="str">
        <f t="shared" si="398"/>
        <v>B</v>
      </c>
      <c r="CF41" s="51" t="str">
        <f t="shared" si="398"/>
        <v>B</v>
      </c>
      <c r="CG41" s="51" t="str">
        <f t="shared" si="398"/>
        <v>B</v>
      </c>
      <c r="CH41" s="51" t="str">
        <f t="shared" si="398"/>
        <v>B</v>
      </c>
      <c r="CI41" s="51" t="str">
        <f t="shared" si="398"/>
        <v>B</v>
      </c>
      <c r="CJ41" s="51" t="str">
        <f t="shared" si="398"/>
        <v>B</v>
      </c>
      <c r="CK41" s="51" t="str">
        <f t="shared" si="398"/>
        <v>B</v>
      </c>
      <c r="CL41" s="51" t="str">
        <f t="shared" si="398"/>
        <v>B</v>
      </c>
      <c r="CM41" s="51" t="str">
        <f t="shared" si="398"/>
        <v>B</v>
      </c>
      <c r="CN41" s="51" t="str">
        <f t="shared" si="398"/>
        <v>B</v>
      </c>
      <c r="CO41" s="51" t="str">
        <f t="shared" si="398"/>
        <v>B</v>
      </c>
      <c r="CP41" s="51" t="str">
        <f t="shared" si="398"/>
        <v>B</v>
      </c>
      <c r="CQ41" s="51" t="str">
        <f t="shared" si="398"/>
        <v>B</v>
      </c>
      <c r="CR41" s="51" t="str">
        <f t="shared" si="398"/>
        <v>B</v>
      </c>
      <c r="CS41" s="51" t="str">
        <f t="shared" si="398"/>
        <v>B</v>
      </c>
      <c r="CT41" s="51" t="str">
        <f t="shared" si="398"/>
        <v>T</v>
      </c>
      <c r="CU41" s="51" t="str">
        <f t="shared" si="398"/>
        <v>T</v>
      </c>
      <c r="CV41" s="65" t="str">
        <f t="shared" si="398"/>
        <v>T</v>
      </c>
      <c r="CW41" s="51" t="str">
        <f t="shared" si="398"/>
        <v>T</v>
      </c>
      <c r="CX41" s="51" t="str">
        <f t="shared" si="398"/>
        <v>T</v>
      </c>
      <c r="CY41" s="51" t="str">
        <f t="shared" si="398"/>
        <v>T</v>
      </c>
      <c r="CZ41" s="51" t="str">
        <f t="shared" si="398"/>
        <v>B</v>
      </c>
      <c r="DA41" s="51" t="str">
        <f t="shared" si="398"/>
        <v>B</v>
      </c>
      <c r="DB41" s="51" t="str">
        <f t="shared" si="398"/>
        <v>B</v>
      </c>
      <c r="DC41" s="51" t="str">
        <f t="shared" si="398"/>
        <v>B</v>
      </c>
      <c r="DD41" s="51" t="str">
        <f t="shared" si="398"/>
        <v>B</v>
      </c>
      <c r="DE41" s="51" t="str">
        <f t="shared" si="398"/>
        <v>B</v>
      </c>
      <c r="DF41" s="51" t="str">
        <f t="shared" si="398"/>
        <v>B</v>
      </c>
      <c r="DG41" s="51" t="str">
        <f t="shared" si="398"/>
        <v>B</v>
      </c>
      <c r="DH41" s="51" t="str">
        <f t="shared" si="398"/>
        <v>B</v>
      </c>
      <c r="DI41" s="51" t="str">
        <f t="shared" si="398"/>
        <v>B</v>
      </c>
      <c r="DJ41" s="51" t="str">
        <f t="shared" si="398"/>
        <v>B</v>
      </c>
      <c r="DK41" s="51" t="str">
        <f t="shared" si="398"/>
        <v>B</v>
      </c>
      <c r="DL41" s="51" t="str">
        <f t="shared" si="398"/>
        <v>B</v>
      </c>
      <c r="DM41" s="51" t="str">
        <f t="shared" si="398"/>
        <v>B</v>
      </c>
      <c r="DN41" s="51" t="str">
        <f t="shared" si="398"/>
        <v>B</v>
      </c>
      <c r="DO41" s="51" t="str">
        <f t="shared" si="398"/>
        <v>B</v>
      </c>
      <c r="DP41" s="51" t="str">
        <f t="shared" si="398"/>
        <v>B</v>
      </c>
      <c r="DQ41" s="51" t="str">
        <f t="shared" si="398"/>
        <v>B</v>
      </c>
      <c r="DR41" s="51" t="str">
        <f t="shared" si="398"/>
        <v>T</v>
      </c>
      <c r="DS41" s="51" t="str">
        <f t="shared" si="398"/>
        <v>T</v>
      </c>
      <c r="DT41" s="51" t="str">
        <f t="shared" si="398"/>
        <v>T</v>
      </c>
    </row>
    <row r="42" spans="2:124" x14ac:dyDescent="0.25">
      <c r="D42" s="100"/>
      <c r="E42" s="122" t="s">
        <v>69</v>
      </c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4"/>
      <c r="AC42" s="125" t="s">
        <v>70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7"/>
      <c r="BA42" s="122" t="s">
        <v>71</v>
      </c>
      <c r="BB42" s="123"/>
      <c r="BC42" s="123"/>
      <c r="BD42" s="123"/>
      <c r="BE42" s="123"/>
      <c r="BF42" s="123"/>
      <c r="BG42" s="123"/>
      <c r="BH42" s="123"/>
      <c r="BI42" s="123"/>
      <c r="BJ42" s="123"/>
      <c r="BK42" s="123"/>
      <c r="BL42" s="123"/>
      <c r="BM42" s="123"/>
      <c r="BN42" s="123"/>
      <c r="BO42" s="123"/>
      <c r="BP42" s="123"/>
      <c r="BQ42" s="123"/>
      <c r="BR42" s="123"/>
      <c r="BS42" s="123"/>
      <c r="BT42" s="123"/>
      <c r="BU42" s="123"/>
      <c r="BV42" s="123"/>
      <c r="BW42" s="123"/>
      <c r="BX42" s="124"/>
      <c r="BY42" s="125" t="s">
        <v>72</v>
      </c>
      <c r="BZ42" s="126"/>
      <c r="CA42" s="126"/>
      <c r="CB42" s="126"/>
      <c r="CC42" s="126"/>
      <c r="CD42" s="126"/>
      <c r="CE42" s="126"/>
      <c r="CF42" s="126"/>
      <c r="CG42" s="126"/>
      <c r="CH42" s="126"/>
      <c r="CI42" s="126"/>
      <c r="CJ42" s="126"/>
      <c r="CK42" s="126"/>
      <c r="CL42" s="126"/>
      <c r="CM42" s="126"/>
      <c r="CN42" s="126"/>
      <c r="CO42" s="126"/>
      <c r="CP42" s="126"/>
      <c r="CQ42" s="126"/>
      <c r="CR42" s="126"/>
      <c r="CS42" s="126"/>
      <c r="CT42" s="126"/>
      <c r="CU42" s="126"/>
      <c r="CV42" s="127"/>
      <c r="CW42" s="122" t="s">
        <v>73</v>
      </c>
      <c r="CX42" s="123"/>
      <c r="CY42" s="123"/>
      <c r="CZ42" s="123"/>
      <c r="DA42" s="123"/>
      <c r="DB42" s="123"/>
      <c r="DC42" s="123"/>
      <c r="DD42" s="123"/>
      <c r="DE42" s="123"/>
      <c r="DF42" s="123"/>
      <c r="DG42" s="123"/>
      <c r="DH42" s="123"/>
      <c r="DI42" s="123"/>
      <c r="DJ42" s="123"/>
      <c r="DK42" s="123"/>
      <c r="DL42" s="123"/>
      <c r="DM42" s="123"/>
      <c r="DN42" s="123"/>
      <c r="DO42" s="123"/>
      <c r="DP42" s="123"/>
      <c r="DQ42" s="123"/>
      <c r="DR42" s="123"/>
      <c r="DS42" s="123"/>
      <c r="DT42" s="124"/>
    </row>
    <row r="43" spans="2:124" x14ac:dyDescent="0.25">
      <c r="B43" s="4" t="s">
        <v>144</v>
      </c>
      <c r="D43" s="100"/>
      <c r="E43" s="22">
        <v>4.1666666666666664E-2</v>
      </c>
      <c r="F43" s="23">
        <v>8.3333333333333301E-2</v>
      </c>
      <c r="G43" s="23">
        <v>0.125</v>
      </c>
      <c r="H43" s="23">
        <v>0.16666666666666699</v>
      </c>
      <c r="I43" s="23">
        <v>0.20833333333333301</v>
      </c>
      <c r="J43" s="23">
        <v>0.25</v>
      </c>
      <c r="K43" s="23">
        <v>0.29166666666666702</v>
      </c>
      <c r="L43" s="23">
        <v>0.33333333333333298</v>
      </c>
      <c r="M43" s="23">
        <v>0.375</v>
      </c>
      <c r="N43" s="23">
        <v>0.41666666666666702</v>
      </c>
      <c r="O43" s="23">
        <v>0.45833333333333298</v>
      </c>
      <c r="P43" s="23">
        <v>0.5</v>
      </c>
      <c r="Q43" s="23">
        <v>0.54166666666666696</v>
      </c>
      <c r="R43" s="23">
        <v>0.58333333333333304</v>
      </c>
      <c r="S43" s="23">
        <v>0.625</v>
      </c>
      <c r="T43" s="23">
        <v>0.66666666666666696</v>
      </c>
      <c r="U43" s="23">
        <v>0.70833333333333304</v>
      </c>
      <c r="V43" s="23">
        <v>0.75</v>
      </c>
      <c r="W43" s="23">
        <v>0.79166666666666696</v>
      </c>
      <c r="X43" s="23">
        <v>0.83333333333333304</v>
      </c>
      <c r="Y43" s="23">
        <v>0.875</v>
      </c>
      <c r="Z43" s="23">
        <v>0.91666666666666696</v>
      </c>
      <c r="AA43" s="23">
        <v>0.95833333333333404</v>
      </c>
      <c r="AB43" s="57">
        <v>1</v>
      </c>
      <c r="AC43" s="22">
        <v>1.0416666666666701</v>
      </c>
      <c r="AD43" s="23">
        <v>1.0833333333333299</v>
      </c>
      <c r="AE43" s="23">
        <v>0.125</v>
      </c>
      <c r="AF43" s="23">
        <v>0.16666666666666699</v>
      </c>
      <c r="AG43" s="23">
        <v>0.20833333333333301</v>
      </c>
      <c r="AH43" s="23">
        <v>0.25</v>
      </c>
      <c r="AI43" s="23">
        <v>0.29166666666666702</v>
      </c>
      <c r="AJ43" s="23">
        <v>0.33333333333333298</v>
      </c>
      <c r="AK43" s="23">
        <v>0.375</v>
      </c>
      <c r="AL43" s="23">
        <v>0.41666666666666702</v>
      </c>
      <c r="AM43" s="23">
        <v>0.45833333333333298</v>
      </c>
      <c r="AN43" s="23">
        <v>0.5</v>
      </c>
      <c r="AO43" s="23">
        <v>0.54166666666666696</v>
      </c>
      <c r="AP43" s="23">
        <v>0.58333333333333304</v>
      </c>
      <c r="AQ43" s="23">
        <v>0.625</v>
      </c>
      <c r="AR43" s="23">
        <v>0.66666666666666696</v>
      </c>
      <c r="AS43" s="23">
        <v>0.70833333333333304</v>
      </c>
      <c r="AT43" s="23">
        <v>0.75</v>
      </c>
      <c r="AU43" s="23">
        <v>0.79166666666666696</v>
      </c>
      <c r="AV43" s="23">
        <v>0.83333333333333304</v>
      </c>
      <c r="AW43" s="23">
        <v>0.875</v>
      </c>
      <c r="AX43" s="23">
        <v>0.91666666666666696</v>
      </c>
      <c r="AY43" s="23">
        <v>0.95833333333333404</v>
      </c>
      <c r="AZ43" s="57">
        <v>1</v>
      </c>
      <c r="BA43" s="22">
        <v>1.0416666666666701</v>
      </c>
      <c r="BB43" s="23">
        <v>1.0833333333333299</v>
      </c>
      <c r="BC43" s="23">
        <v>0.125</v>
      </c>
      <c r="BD43" s="23">
        <v>0.16666666666666699</v>
      </c>
      <c r="BE43" s="23">
        <v>0.20833333333333301</v>
      </c>
      <c r="BF43" s="23">
        <v>0.25</v>
      </c>
      <c r="BG43" s="23">
        <v>0.29166666666666702</v>
      </c>
      <c r="BH43" s="23">
        <v>0.33333333333333298</v>
      </c>
      <c r="BI43" s="23">
        <v>0.375</v>
      </c>
      <c r="BJ43" s="23">
        <v>0.41666666666666702</v>
      </c>
      <c r="BK43" s="23">
        <v>0.45833333333333298</v>
      </c>
      <c r="BL43" s="23">
        <v>0.5</v>
      </c>
      <c r="BM43" s="23">
        <v>0.54166666666666696</v>
      </c>
      <c r="BN43" s="23">
        <v>0.58333333333333304</v>
      </c>
      <c r="BO43" s="23">
        <v>0.625</v>
      </c>
      <c r="BP43" s="23">
        <v>0.66666666666666696</v>
      </c>
      <c r="BQ43" s="23">
        <v>0.70833333333333304</v>
      </c>
      <c r="BR43" s="23">
        <v>0.75</v>
      </c>
      <c r="BS43" s="23">
        <v>0.79166666666666696</v>
      </c>
      <c r="BT43" s="23">
        <v>0.83333333333333304</v>
      </c>
      <c r="BU43" s="23">
        <v>0.875</v>
      </c>
      <c r="BV43" s="23">
        <v>0.91666666666666696</v>
      </c>
      <c r="BW43" s="23">
        <v>0.95833333333333404</v>
      </c>
      <c r="BX43" s="57">
        <v>1</v>
      </c>
      <c r="BY43" s="22">
        <v>1.0416666666666701</v>
      </c>
      <c r="BZ43" s="23">
        <v>1.0833333333333299</v>
      </c>
      <c r="CA43" s="23">
        <v>0.125</v>
      </c>
      <c r="CB43" s="23">
        <v>0.16666666666666699</v>
      </c>
      <c r="CC43" s="23">
        <v>0.20833333333333301</v>
      </c>
      <c r="CD43" s="23">
        <v>0.25</v>
      </c>
      <c r="CE43" s="23">
        <v>0.29166666666666702</v>
      </c>
      <c r="CF43" s="23">
        <v>0.33333333333333298</v>
      </c>
      <c r="CG43" s="23">
        <v>0.375</v>
      </c>
      <c r="CH43" s="23">
        <v>0.41666666666666702</v>
      </c>
      <c r="CI43" s="23">
        <v>0.45833333333333298</v>
      </c>
      <c r="CJ43" s="23">
        <v>0.5</v>
      </c>
      <c r="CK43" s="23">
        <v>0.54166666666666696</v>
      </c>
      <c r="CL43" s="23">
        <v>0.58333333333333304</v>
      </c>
      <c r="CM43" s="23">
        <v>0.625</v>
      </c>
      <c r="CN43" s="23">
        <v>0.66666666666666696</v>
      </c>
      <c r="CO43" s="23">
        <v>0.70833333333333304</v>
      </c>
      <c r="CP43" s="23">
        <v>0.75</v>
      </c>
      <c r="CQ43" s="23">
        <v>0.79166666666666696</v>
      </c>
      <c r="CR43" s="23">
        <v>0.83333333333333304</v>
      </c>
      <c r="CS43" s="23">
        <v>0.875</v>
      </c>
      <c r="CT43" s="23">
        <v>0.91666666666666696</v>
      </c>
      <c r="CU43" s="23">
        <v>0.95833333333333404</v>
      </c>
      <c r="CV43" s="57">
        <v>1</v>
      </c>
      <c r="CW43" s="22">
        <v>1.0416666666666701</v>
      </c>
      <c r="CX43" s="23">
        <v>1.0833333333333299</v>
      </c>
      <c r="CY43" s="23">
        <v>0.125</v>
      </c>
      <c r="CZ43" s="23">
        <v>0.16666666666666699</v>
      </c>
      <c r="DA43" s="23">
        <v>0.20833333333333301</v>
      </c>
      <c r="DB43" s="23">
        <v>0.25</v>
      </c>
      <c r="DC43" s="23">
        <v>0.29166666666666702</v>
      </c>
      <c r="DD43" s="23">
        <v>0.33333333333333298</v>
      </c>
      <c r="DE43" s="23">
        <v>0.375</v>
      </c>
      <c r="DF43" s="23">
        <v>0.41666666666666702</v>
      </c>
      <c r="DG43" s="23">
        <v>0.45833333333333298</v>
      </c>
      <c r="DH43" s="23">
        <v>0.5</v>
      </c>
      <c r="DI43" s="23">
        <v>0.54166666666666696</v>
      </c>
      <c r="DJ43" s="23">
        <v>0.58333333333333304</v>
      </c>
      <c r="DK43" s="23">
        <v>0.625</v>
      </c>
      <c r="DL43" s="23">
        <v>0.66666666666666696</v>
      </c>
      <c r="DM43" s="23">
        <v>0.70833333333333304</v>
      </c>
      <c r="DN43" s="23">
        <v>0.75</v>
      </c>
      <c r="DO43" s="23">
        <v>0.79166666666666696</v>
      </c>
      <c r="DP43" s="23">
        <v>0.83333333333333304</v>
      </c>
      <c r="DQ43" s="23">
        <v>0.875</v>
      </c>
      <c r="DR43" s="23">
        <v>0.91666666666666696</v>
      </c>
      <c r="DS43" s="23">
        <v>0.95833333333333404</v>
      </c>
      <c r="DT43" s="23">
        <v>1</v>
      </c>
    </row>
    <row r="44" spans="2:124" x14ac:dyDescent="0.25">
      <c r="B44" s="4" t="s">
        <v>81</v>
      </c>
      <c r="D44" s="100">
        <f t="shared" ref="D44:E44" si="399">IF(C51=0,C44,IF(C51&gt;0,C51*5%,IF(C44&gt;0,C44,B44)))</f>
        <v>0</v>
      </c>
      <c r="E44" s="18">
        <f t="shared" si="399"/>
        <v>0</v>
      </c>
      <c r="F44" s="18">
        <f t="shared" ref="F44" si="400">IF(E51=0,E44,IF(E51&gt;0,E51*5%,IF(E44&gt;0,E44,D44)))</f>
        <v>0</v>
      </c>
      <c r="G44" s="18">
        <f t="shared" ref="G44" si="401">IF(F51=0,F44,IF(F51&gt;0,F51*5%,IF(F44&gt;0,F44,E44)))</f>
        <v>0</v>
      </c>
      <c r="H44" s="18">
        <f t="shared" ref="H44" si="402">IF(G51=0,G44,IF(G51&gt;0,G51*5%,IF(G44&gt;0,G44,F44)))</f>
        <v>0</v>
      </c>
      <c r="I44" s="18">
        <f t="shared" ref="I44" si="403">IF(H51=0,H44,IF(H51&gt;0,H51*5%,IF(H44&gt;0,H44,G44)))</f>
        <v>0</v>
      </c>
      <c r="J44" s="18">
        <f t="shared" ref="J44" si="404">IF(I51=0,I44,IF(I51&gt;0,I51*5%,IF(I44&gt;0,I44,H44)))</f>
        <v>0</v>
      </c>
      <c r="K44" s="18">
        <f t="shared" ref="K44" si="405">IF(J51=0,J44,IF(J51&gt;0,J51*5%,IF(J44&gt;0,J44,I44)))</f>
        <v>93.719937500000043</v>
      </c>
      <c r="L44" s="18">
        <f t="shared" ref="L44" si="406">IF(K51=0,K44,IF(K51&gt;0,K51*5%,IF(K44&gt;0,K44,J44)))</f>
        <v>93.719937500000043</v>
      </c>
      <c r="M44" s="18">
        <f t="shared" ref="M44" si="407">IF(L51=0,L44,IF(L51&gt;0,L51*5%,IF(L44&gt;0,L44,K44)))</f>
        <v>93.719937500000043</v>
      </c>
      <c r="N44" s="18">
        <f t="shared" ref="N44" si="408">IF(M51=0,M44,IF(M51&gt;0,M51*5%,IF(M44&gt;0,M44,L44)))</f>
        <v>93.719937500000043</v>
      </c>
      <c r="O44" s="18">
        <f>IF(N51=0,N44,IF(N51&gt;0,N51*5%,IF(N44&gt;0,N44,M44)))</f>
        <v>93.719937500000043</v>
      </c>
      <c r="P44" s="18">
        <f t="shared" ref="P44" si="409">IF(O51=0,O44,IF(O51&gt;0,O51*5%,IF(O44&gt;0,O44,N44)))</f>
        <v>93.719937500000043</v>
      </c>
      <c r="Q44" s="18">
        <f t="shared" ref="Q44" si="410">IF(P51=0,P44,IF(P51&gt;0,P51*5%,IF(P44&gt;0,P44,O44)))</f>
        <v>93.719937500000043</v>
      </c>
      <c r="R44" s="18">
        <f>IF(Q51=0,Q44,IF(Q51&gt;0,Q51*5%,IF(Q44&gt;0,Q44,P44)))</f>
        <v>43.419584375000049</v>
      </c>
      <c r="S44" s="24">
        <f t="shared" ref="S44" si="411">IF(R51=0,R44,IF(R51&gt;0,R51*5%,IF(R44&gt;0,R44,Q44)))</f>
        <v>43.419584375000049</v>
      </c>
      <c r="T44" s="24">
        <f>IF(S51=0,S44,IF(S51&gt;0,S51*5%,IF(S44&gt;0,S44,R44)))</f>
        <v>43.419584375000049</v>
      </c>
      <c r="U44" s="24">
        <f t="shared" ref="U44" si="412">IF(T51=0,T44,IF(T51&gt;0,T51*5%,IF(T44&gt;0,T44,S44)))</f>
        <v>43.419584375000049</v>
      </c>
      <c r="V44" s="24">
        <f t="shared" ref="V44" si="413">IF(U51=0,U44,IF(U51&gt;0,U51*5%,IF(U44&gt;0,U44,T44)))</f>
        <v>43.419584375000049</v>
      </c>
      <c r="W44" s="24">
        <f t="shared" ref="W44" si="414">IF(V51=0,V44,IF(V51&gt;0,V51*5%,IF(V44&gt;0,V44,U44)))</f>
        <v>42.02947890625002</v>
      </c>
      <c r="X44" s="24">
        <f t="shared" ref="X44" si="415">IF(W51=0,W44,IF(W51&gt;0,W51*5%,IF(W44&gt;0,W44,V44)))</f>
        <v>42.02947890625002</v>
      </c>
      <c r="Y44" s="24">
        <f t="shared" ref="Y44" si="416">IF(X51=0,X44,IF(X51&gt;0,X51*5%,IF(X44&gt;0,X44,W44)))</f>
        <v>42.02947890625002</v>
      </c>
      <c r="Z44" s="24">
        <f t="shared" ref="Z44" si="417">IF(Y51=0,Y44,IF(Y51&gt;0,Y51*5%,IF(Y44&gt;0,Y44,X44)))</f>
        <v>42.02947890625002</v>
      </c>
      <c r="AA44" s="24">
        <f t="shared" ref="AA44" si="418">IF(Z51=0,Z44,IF(Z51&gt;0,Z51*5%,IF(Z44&gt;0,Z44,Y44)))</f>
        <v>42.02947890625002</v>
      </c>
      <c r="AB44" s="55">
        <f t="shared" ref="AB44" si="419">IF(AA51=0,AA44,IF(AA51&gt;0,AA51*5%,IF(AA44&gt;0,AA44,Z44)))</f>
        <v>42.02947890625002</v>
      </c>
      <c r="AC44" s="18">
        <f t="shared" ref="AC44" si="420">IF(AB51=0,AB44,IF(AB51&gt;0,AB51*5%,IF(AB44&gt;0,AB44,AA44)))</f>
        <v>42.02947890625002</v>
      </c>
      <c r="AD44" s="24">
        <f t="shared" ref="AD44" si="421">IF(AC51=0,AC44,IF(AC51&gt;0,AC51*5%,IF(AC44&gt;0,AC44,AB44)))</f>
        <v>42.02947890625002</v>
      </c>
      <c r="AE44" s="24">
        <f t="shared" ref="AE44" si="422">IF(AD51=0,AD44,IF(AD51&gt;0,AD51*5%,IF(AD44&gt;0,AD44,AC44)))</f>
        <v>42.02947890625002</v>
      </c>
      <c r="AF44" s="24">
        <f t="shared" ref="AF44" si="423">IF(AE51=0,AE44,IF(AE51&gt;0,AE51*5%,IF(AE44&gt;0,AE44,AD44)))</f>
        <v>42.02947890625002</v>
      </c>
      <c r="AG44" s="24">
        <f t="shared" ref="AG44" si="424">IF(AF51=0,AF44,IF(AF51&gt;0,AF51*5%,IF(AF44&gt;0,AF44,AE44)))</f>
        <v>42.02947890625002</v>
      </c>
      <c r="AH44" s="24">
        <f t="shared" ref="AH44" si="425">IF(AG51=0,AG44,IF(AG51&gt;0,AG51*5%,IF(AG44&gt;0,AG44,AF44)))</f>
        <v>42.02947890625002</v>
      </c>
      <c r="AI44" s="24">
        <f t="shared" ref="AI44" si="426">IF(AH51=0,AH44,IF(AH51&gt;0,AH51*5%,IF(AH44&gt;0,AH44,AG44)))</f>
        <v>65.845958489583396</v>
      </c>
      <c r="AJ44" s="24">
        <f t="shared" ref="AJ44" si="427">IF(AI51=0,AI44,IF(AI51&gt;0,AI51*5%,IF(AI44&gt;0,AI44,AH44)))</f>
        <v>65.845958489583396</v>
      </c>
      <c r="AK44" s="24">
        <f t="shared" ref="AK44" si="428">IF(AJ51=0,AJ44,IF(AJ51&gt;0,AJ51*5%,IF(AJ44&gt;0,AJ44,AI44)))</f>
        <v>65.845958489583396</v>
      </c>
      <c r="AL44" s="24">
        <f t="shared" ref="AL44" si="429">IF(AK51=0,AK44,IF(AK51&gt;0,AK51*5%,IF(AK44&gt;0,AK44,AJ44)))</f>
        <v>65.845958489583396</v>
      </c>
      <c r="AM44" s="24">
        <f t="shared" ref="AM44" si="430">IF(AL51=0,AL44,IF(AL51&gt;0,AL51*5%,IF(AL44&gt;0,AL44,AK44)))</f>
        <v>65.845958489583396</v>
      </c>
      <c r="AN44" s="24">
        <f t="shared" ref="AN44" si="431">IF(AM51=0,AM44,IF(AM51&gt;0,AM51*5%,IF(AM44&gt;0,AM44,AL44)))</f>
        <v>65.845958489583396</v>
      </c>
      <c r="AO44" s="24">
        <f t="shared" ref="AO44" si="432">IF(AN51=0,AN44,IF(AN51&gt;0,AN51*5%,IF(AN44&gt;0,AN44,AM44)))</f>
        <v>40.553608286458314</v>
      </c>
      <c r="AP44" s="24">
        <f t="shared" ref="AP44" si="433">IF(AO51=0,AO44,IF(AO51&gt;0,AO51*5%,IF(AO44&gt;0,AO44,AN44)))</f>
        <v>40.553608286458314</v>
      </c>
      <c r="AQ44" s="24">
        <f t="shared" ref="AQ44" si="434">IF(AP51=0,AP44,IF(AP51&gt;0,AP51*5%,IF(AP44&gt;0,AP44,AO44)))</f>
        <v>40.553608286458314</v>
      </c>
      <c r="AR44" s="24">
        <f t="shared" ref="AR44" si="435">IF(AQ51=0,AQ44,IF(AQ51&gt;0,AQ51*5%,IF(AQ44&gt;0,AQ44,AP44)))</f>
        <v>40.553608286458314</v>
      </c>
      <c r="AS44" s="24">
        <f t="shared" ref="AS44" si="436">IF(AR51=0,AR44,IF(AR51&gt;0,AR51*5%,IF(AR44&gt;0,AR44,AQ44)))</f>
        <v>40.553608286458314</v>
      </c>
      <c r="AT44" s="24">
        <f t="shared" ref="AT44" si="437">IF(AS51=0,AS44,IF(AS51&gt;0,AS51*5%,IF(AS44&gt;0,AS44,AR44)))</f>
        <v>40.553608286458314</v>
      </c>
      <c r="AU44" s="24">
        <f t="shared" ref="AU44" si="438">IF(AT51=0,AT44,IF(AT51&gt;0,AT51*5%,IF(AT44&gt;0,AT44,AS44)))</f>
        <v>48.141313347395887</v>
      </c>
      <c r="AV44" s="24">
        <f t="shared" ref="AV44" si="439">IF(AU51=0,AU44,IF(AU51&gt;0,AU51*5%,IF(AU44&gt;0,AU44,AT44)))</f>
        <v>48.141313347395887</v>
      </c>
      <c r="AW44" s="24">
        <f t="shared" ref="AW44" si="440">IF(AV51=0,AV44,IF(AV51&gt;0,AV51*5%,IF(AV44&gt;0,AV44,AU44)))</f>
        <v>48.141313347395887</v>
      </c>
      <c r="AX44" s="24">
        <f t="shared" ref="AX44" si="441">IF(AW51=0,AW44,IF(AW51&gt;0,AW51*5%,IF(AW44&gt;0,AW44,AV44)))</f>
        <v>48.141313347395887</v>
      </c>
      <c r="AY44" s="24">
        <f t="shared" ref="AY44" si="442">IF(AX51=0,AX44,IF(AX51&gt;0,AX51*5%,IF(AX44&gt;0,AX44,AW44)))</f>
        <v>48.141313347395887</v>
      </c>
      <c r="AZ44" s="55">
        <f t="shared" ref="AZ44" si="443">IF(AY51=0,AY44,IF(AY51&gt;0,AY51*5%,IF(AY44&gt;0,AY44,AX44)))</f>
        <v>48.141313347395887</v>
      </c>
      <c r="BA44" s="18">
        <f t="shared" ref="BA44" si="444">IF(AZ51=0,AZ44,IF(AZ51&gt;0,AZ51*5%,IF(AZ44&gt;0,AZ44,AY44)))</f>
        <v>48.141313347395887</v>
      </c>
      <c r="BB44" s="24">
        <f t="shared" ref="BB44" si="445">IF(BA51=0,BA44,IF(BA51&gt;0,BA51*5%,IF(BA44&gt;0,BA44,AZ44)))</f>
        <v>48.141313347395887</v>
      </c>
      <c r="BC44" s="24">
        <f t="shared" ref="BC44" si="446">IF(BB51=0,BB44,IF(BB51&gt;0,BB51*5%,IF(BB44&gt;0,BB44,BA44)))</f>
        <v>48.141313347395887</v>
      </c>
      <c r="BD44" s="24">
        <f t="shared" ref="BD44" si="447">IF(BC51=0,BC44,IF(BC51&gt;0,BC51*5%,IF(BC44&gt;0,BC44,BB44)))</f>
        <v>48.141313347395887</v>
      </c>
      <c r="BE44" s="24">
        <f t="shared" ref="BE44" si="448">IF(BD51=0,BD44,IF(BD51&gt;0,BD51*5%,IF(BD44&gt;0,BD44,BC44)))</f>
        <v>48.141313347395887</v>
      </c>
      <c r="BF44" s="24">
        <f t="shared" ref="BF44" si="449">IF(BE51=0,BE44,IF(BE51&gt;0,BE51*5%,IF(BE44&gt;0,BE44,BD44)))</f>
        <v>48.141313347395887</v>
      </c>
      <c r="BG44" s="24">
        <f t="shared" ref="BG44" si="450">IF(BF51=0,BF44,IF(BF51&gt;0,BF51*5%,IF(BF44&gt;0,BF44,BE44)))</f>
        <v>56.242816158229211</v>
      </c>
      <c r="BH44" s="24">
        <f t="shared" ref="BH44" si="451">IF(BG51=0,BG44,IF(BG51&gt;0,BG51*5%,IF(BG44&gt;0,BG44,BF44)))</f>
        <v>56.242816158229211</v>
      </c>
      <c r="BI44" s="24">
        <f t="shared" ref="BI44" si="452">IF(BH51=0,BH44,IF(BH51&gt;0,BH51*5%,IF(BH44&gt;0,BH44,BG44)))</f>
        <v>56.242816158229211</v>
      </c>
      <c r="BJ44" s="24">
        <f t="shared" ref="BJ44" si="453">IF(BI51=0,BI44,IF(BI51&gt;0,BI51*5%,IF(BI44&gt;0,BI44,BH44)))</f>
        <v>56.242816158229211</v>
      </c>
      <c r="BK44" s="24">
        <f t="shared" ref="BK44" si="454">IF(BJ51=0,BJ44,IF(BJ51&gt;0,BJ51*5%,IF(BJ44&gt;0,BJ44,BI44)))</f>
        <v>56.242816158229211</v>
      </c>
      <c r="BL44" s="24">
        <f t="shared" ref="BL44" si="455">IF(BK51=0,BK44,IF(BK51&gt;0,BK51*5%,IF(BK44&gt;0,BK44,BJ44)))</f>
        <v>56.242816158229211</v>
      </c>
      <c r="BM44" s="24">
        <f t="shared" ref="BM44" si="456">IF(BL51=0,BL44,IF(BL51&gt;0,BL51*5%,IF(BL44&gt;0,BL44,BK44)))</f>
        <v>43.434550985864576</v>
      </c>
      <c r="BN44" s="24">
        <f t="shared" ref="BN44" si="457">IF(BM51=0,BM44,IF(BM51&gt;0,BM51*5%,IF(BM44&gt;0,BM44,BL44)))</f>
        <v>43.434550985864576</v>
      </c>
      <c r="BO44" s="24">
        <f t="shared" ref="BO44" si="458">IF(BN51=0,BN44,IF(BN51&gt;0,BN51*5%,IF(BN44&gt;0,BN44,BM44)))</f>
        <v>43.434550985864576</v>
      </c>
      <c r="BP44" s="24">
        <f t="shared" ref="BP44" si="459">IF(BO51=0,BO44,IF(BO51&gt;0,BO51*5%,IF(BO44&gt;0,BO44,BN44)))</f>
        <v>43.434550985864576</v>
      </c>
      <c r="BQ44" s="24">
        <f t="shared" ref="BQ44" si="460">IF(BP51=0,BP44,IF(BP51&gt;0,BP51*5%,IF(BP44&gt;0,BP44,BO44)))</f>
        <v>43.434550985864576</v>
      </c>
      <c r="BR44" s="24">
        <f t="shared" ref="BR44" si="461">IF(BQ51=0,BQ44,IF(BQ51&gt;0,BQ51*5%,IF(BQ44&gt;0,BQ44,BP44)))</f>
        <v>43.434550985864576</v>
      </c>
      <c r="BS44" s="24">
        <f t="shared" ref="BS44" si="462">IF(BR51=0,BR44,IF(BR51&gt;0,BR51*5%,IF(BR44&gt;0,BR44,BQ44)))</f>
        <v>47.277030537573992</v>
      </c>
      <c r="BT44" s="24">
        <f t="shared" ref="BT44" si="463">IF(BS51=0,BS44,IF(BS51&gt;0,BS51*5%,IF(BS44&gt;0,BS44,BR44)))</f>
        <v>47.277030537573992</v>
      </c>
      <c r="BU44" s="24">
        <f t="shared" ref="BU44" si="464">IF(BT51=0,BT44,IF(BT51&gt;0,BT51*5%,IF(BT44&gt;0,BT44,BS44)))</f>
        <v>47.277030537573992</v>
      </c>
      <c r="BV44" s="24">
        <f t="shared" ref="BV44" si="465">IF(BU51=0,BU44,IF(BU51&gt;0,BU51*5%,IF(BU44&gt;0,BU44,BT44)))</f>
        <v>47.277030537573992</v>
      </c>
      <c r="BW44" s="24">
        <f t="shared" ref="BW44" si="466">IF(BV51=0,BV44,IF(BV51&gt;0,BV51*5%,IF(BV44&gt;0,BV44,BU44)))</f>
        <v>47.277030537573992</v>
      </c>
      <c r="BX44" s="55">
        <f t="shared" ref="BX44" si="467">IF(BW51=0,BW44,IF(BW51&gt;0,BW51*5%,IF(BW44&gt;0,BW44,BV44)))</f>
        <v>47.277030537573992</v>
      </c>
      <c r="BY44" s="18">
        <f t="shared" ref="BY44" si="468">IF(BX51=0,BX44,IF(BX51&gt;0,BX51*5%,IF(BX44&gt;0,BX44,BW44)))</f>
        <v>47.277030537573992</v>
      </c>
      <c r="BZ44" s="24">
        <f t="shared" ref="BZ44" si="469">IF(BY51=0,BY44,IF(BY51&gt;0,BY51*5%,IF(BY44&gt;0,BY44,BX44)))</f>
        <v>47.277030537573992</v>
      </c>
      <c r="CA44" s="24">
        <f t="shared" ref="CA44" si="470">IF(BZ51=0,BZ44,IF(BZ51&gt;0,BZ51*5%,IF(BZ44&gt;0,BZ44,BY44)))</f>
        <v>47.277030537573992</v>
      </c>
      <c r="CB44" s="24">
        <f t="shared" ref="CB44" si="471">IF(CA51=0,CA44,IF(CA51&gt;0,CA51*5%,IF(CA44&gt;0,CA44,BZ44)))</f>
        <v>47.277030537573992</v>
      </c>
      <c r="CC44" s="24">
        <f t="shared" ref="CC44" si="472">IF(CB51=0,CB44,IF(CB51&gt;0,CB51*5%,IF(CB44&gt;0,CB44,CA44)))</f>
        <v>47.277030537573992</v>
      </c>
      <c r="CD44" s="24">
        <f t="shared" ref="CD44" si="473">IF(CC51=0,CC44,IF(CC51&gt;0,CC51*5%,IF(CC44&gt;0,CC44,CB44)))</f>
        <v>47.277030537573992</v>
      </c>
      <c r="CE44" s="24">
        <f t="shared" ref="CE44" si="474">IF(CD51=0,CD44,IF(CD51&gt;0,CD51*5%,IF(CD44&gt;0,CD44,CC44)))</f>
        <v>62.69742751078897</v>
      </c>
      <c r="CF44" s="24">
        <f t="shared" ref="CF44" si="475">IF(CE51=0,CE44,IF(CE51&gt;0,CE51*5%,IF(CE44&gt;0,CE44,CD44)))</f>
        <v>62.69742751078897</v>
      </c>
      <c r="CG44" s="24">
        <f t="shared" ref="CG44" si="476">IF(CF51=0,CF44,IF(CF51&gt;0,CF51*5%,IF(CF44&gt;0,CF44,CE44)))</f>
        <v>62.69742751078897</v>
      </c>
      <c r="CH44" s="24">
        <f t="shared" ref="CH44" si="477">IF(CG51=0,CG44,IF(CG51&gt;0,CG51*5%,IF(CG44&gt;0,CG44,CF44)))</f>
        <v>62.69742751078897</v>
      </c>
      <c r="CI44" s="24">
        <f t="shared" ref="CI44" si="478">IF(CH51=0,CH44,IF(CH51&gt;0,CH51*5%,IF(CH44&gt;0,CH44,CG44)))</f>
        <v>62.69742751078897</v>
      </c>
      <c r="CJ44" s="24">
        <f t="shared" ref="CJ44" si="479">IF(CI51=0,CI44,IF(CI51&gt;0,CI51*5%,IF(CI44&gt;0,CI44,CH44)))</f>
        <v>62.69742751078897</v>
      </c>
      <c r="CK44" s="24">
        <f t="shared" ref="CK44" si="480">IF(CJ51=0,CJ44,IF(CJ51&gt;0,CJ51*5%,IF(CJ44&gt;0,CJ44,CI44)))</f>
        <v>41.498167580096677</v>
      </c>
      <c r="CL44" s="24">
        <f t="shared" ref="CL44" si="481">IF(CK51=0,CK44,IF(CK51&gt;0,CK51*5%,IF(CK44&gt;0,CK44,CJ44)))</f>
        <v>41.498167580096677</v>
      </c>
      <c r="CM44" s="24">
        <f t="shared" ref="CM44" si="482">IF(CL51=0,CL44,IF(CL51&gt;0,CL51*5%,IF(CL44&gt;0,CL44,CK44)))</f>
        <v>41.498167580096677</v>
      </c>
      <c r="CN44" s="24">
        <f t="shared" ref="CN44" si="483">IF(CM51=0,CM44,IF(CM51&gt;0,CM51*5%,IF(CM44&gt;0,CM44,CL44)))</f>
        <v>41.498167580096677</v>
      </c>
      <c r="CO44" s="24">
        <f t="shared" ref="CO44" si="484">IF(CN51=0,CN44,IF(CN51&gt;0,CN51*5%,IF(CN44&gt;0,CN44,CM44)))</f>
        <v>41.498167580096677</v>
      </c>
      <c r="CP44" s="24">
        <f t="shared" ref="CP44" si="485">IF(CO51=0,CO44,IF(CO51&gt;0,CO51*5%,IF(CO44&gt;0,CO44,CN44)))</f>
        <v>41.498167580096677</v>
      </c>
      <c r="CQ44" s="24">
        <f t="shared" ref="CQ44" si="486">IF(CP51=0,CP44,IF(CP51&gt;0,CP51*5%,IF(CP44&gt;0,CP44,CO44)))</f>
        <v>47.857945559304369</v>
      </c>
      <c r="CR44" s="24">
        <f t="shared" ref="CR44" si="487">IF(CQ51=0,CQ44,IF(CQ51&gt;0,CQ51*5%,IF(CQ44&gt;0,CQ44,CP44)))</f>
        <v>47.857945559304369</v>
      </c>
      <c r="CS44" s="24">
        <f t="shared" ref="CS44" si="488">IF(CR51=0,CR44,IF(CR51&gt;0,CR51*5%,IF(CR44&gt;0,CR44,CQ44)))</f>
        <v>47.857945559304369</v>
      </c>
      <c r="CT44" s="24">
        <f t="shared" ref="CT44" si="489">IF(CS51=0,CS44,IF(CS51&gt;0,CS51*5%,IF(CS44&gt;0,CS44,CR44)))</f>
        <v>47.857945559304369</v>
      </c>
      <c r="CU44" s="24">
        <f t="shared" ref="CU44" si="490">IF(CT51=0,CT44,IF(CT51&gt;0,CT51*5%,IF(CT44&gt;0,CT44,CS44)))</f>
        <v>47.857945559304369</v>
      </c>
      <c r="CV44" s="55">
        <f t="shared" ref="CV44" si="491">IF(CU51=0,CU44,IF(CU51&gt;0,CU51*5%,IF(CU44&gt;0,CU44,CT44)))</f>
        <v>47.857945559304369</v>
      </c>
      <c r="CW44" s="18">
        <f t="shared" ref="CW44" si="492">IF(CV51=0,CV44,IF(CV51&gt;0,CV51*5%,IF(CV44&gt;0,CV44,CU44)))</f>
        <v>47.857945559304369</v>
      </c>
      <c r="CX44" s="24">
        <f t="shared" ref="CX44" si="493">IF(CW51=0,CW44,IF(CW51&gt;0,CW51*5%,IF(CW44&gt;0,CW44,CV44)))</f>
        <v>47.857945559304369</v>
      </c>
      <c r="CY44" s="24">
        <f t="shared" ref="CY44" si="494">IF(CX51=0,CX44,IF(CX51&gt;0,CX51*5%,IF(CX44&gt;0,CX44,CW44)))</f>
        <v>47.857945559304369</v>
      </c>
      <c r="CZ44" s="24">
        <f t="shared" ref="CZ44" si="495">IF(CY51=0,CY44,IF(CY51&gt;0,CY51*5%,IF(CY44&gt;0,CY44,CX44)))</f>
        <v>47.857945559304369</v>
      </c>
      <c r="DA44" s="24">
        <f t="shared" ref="DA44" si="496">IF(CZ51=0,CZ44,IF(CZ51&gt;0,CZ51*5%,IF(CZ44&gt;0,CZ44,CY44)))</f>
        <v>47.857945559304369</v>
      </c>
      <c r="DB44" s="24">
        <f t="shared" ref="DB44" si="497">IF(DA51=0,DA44,IF(DA51&gt;0,DA51*5%,IF(DA44&gt;0,DA44,CZ44)))</f>
        <v>47.857945559304369</v>
      </c>
      <c r="DC44" s="24">
        <f t="shared" ref="DC44" si="498">IF(DB51=0,DB44,IF(DB51&gt;0,DB51*5%,IF(DB44&gt;0,DB44,DA44)))</f>
        <v>62.348878497750768</v>
      </c>
      <c r="DD44" s="24">
        <f t="shared" ref="DD44" si="499">IF(DC51=0,DC44,IF(DC51&gt;0,DC51*5%,IF(DC44&gt;0,DC44,DB44)))</f>
        <v>62.348878497750768</v>
      </c>
      <c r="DE44" s="24">
        <f t="shared" ref="DE44" si="500">IF(DD51=0,DD44,IF(DD51&gt;0,DD51*5%,IF(DD44&gt;0,DD44,DC44)))</f>
        <v>62.348878497750768</v>
      </c>
      <c r="DF44" s="24">
        <f t="shared" ref="DF44" si="501">IF(DE51=0,DE44,IF(DE51&gt;0,DE51*5%,IF(DE44&gt;0,DE44,DD44)))</f>
        <v>62.348878497750768</v>
      </c>
      <c r="DG44" s="24">
        <f t="shared" ref="DG44" si="502">IF(DF51=0,DF44,IF(DF51&gt;0,DF51*5%,IF(DF44&gt;0,DF44,DE44)))</f>
        <v>62.348878497750768</v>
      </c>
      <c r="DH44" s="24">
        <f t="shared" ref="DH44" si="503">IF(DG51=0,DG44,IF(DG51&gt;0,DG51*5%,IF(DG44&gt;0,DG44,DF44)))</f>
        <v>62.348878497750768</v>
      </c>
      <c r="DI44" s="24">
        <f t="shared" ref="DI44" si="504">IF(DH51=0,DH44,IF(DH51&gt;0,DH51*5%,IF(DH44&gt;0,DH44,DG44)))</f>
        <v>41.602732284008134</v>
      </c>
      <c r="DJ44" s="24">
        <f t="shared" ref="DJ44" si="505">IF(DI51=0,DI44,IF(DI51&gt;0,DI51*5%,IF(DI44&gt;0,DI44,DH44)))</f>
        <v>41.602732284008134</v>
      </c>
      <c r="DK44" s="24">
        <f t="shared" ref="DK44" si="506">IF(DJ51=0,DJ44,IF(DJ51&gt;0,DJ51*5%,IF(DJ44&gt;0,DJ44,DI44)))</f>
        <v>41.602732284008134</v>
      </c>
      <c r="DL44" s="24">
        <f t="shared" ref="DL44" si="507">IF(DK51=0,DK44,IF(DK51&gt;0,DK51*5%,IF(DK44&gt;0,DK44,DJ44)))</f>
        <v>41.602732284008134</v>
      </c>
      <c r="DM44" s="24">
        <f t="shared" ref="DM44" si="508">IF(DL51=0,DL44,IF(DL51&gt;0,DL51*5%,IF(DL44&gt;0,DL44,DK44)))</f>
        <v>41.602732284008134</v>
      </c>
      <c r="DN44" s="24">
        <f t="shared" ref="DN44" si="509">IF(DM51=0,DM44,IF(DM51&gt;0,DM51*5%,IF(DM44&gt;0,DM44,DL44)))</f>
        <v>41.602732284008134</v>
      </c>
      <c r="DO44" s="24">
        <f t="shared" ref="DO44" si="510">IF(DN51=0,DN44,IF(DN51&gt;0,DN51*5%,IF(DN44&gt;0,DN44,DM44)))</f>
        <v>47.826576148130918</v>
      </c>
      <c r="DP44" s="24">
        <f t="shared" ref="DP44" si="511">IF(DO51=0,DO44,IF(DO51&gt;0,DO51*5%,IF(DO44&gt;0,DO44,DN44)))</f>
        <v>47.826576148130918</v>
      </c>
      <c r="DQ44" s="24">
        <f t="shared" ref="DQ44" si="512">IF(DP51=0,DP44,IF(DP51&gt;0,DP51*5%,IF(DP44&gt;0,DP44,DO44)))</f>
        <v>47.826576148130918</v>
      </c>
      <c r="DR44" s="24">
        <f t="shared" ref="DR44" si="513">IF(DQ51=0,DQ44,IF(DQ51&gt;0,DQ51*5%,IF(DQ44&gt;0,DQ44,DP44)))</f>
        <v>47.826576148130918</v>
      </c>
      <c r="DS44" s="24">
        <f t="shared" ref="DS44" si="514">IF(DR51=0,DR44,IF(DR51&gt;0,DR51*5%,IF(DR44&gt;0,DR44,DQ44)))</f>
        <v>47.826576148130918</v>
      </c>
      <c r="DT44" s="24">
        <f t="shared" ref="DT44" si="515">IF(DS51=0,DS44,IF(DS51&gt;0,DS51*5%,IF(DS44&gt;0,DS44,DR44)))</f>
        <v>47.826576148130918</v>
      </c>
    </row>
    <row r="45" spans="2:124" x14ac:dyDescent="0.25">
      <c r="B45" s="3" t="s">
        <v>77</v>
      </c>
      <c r="D45" s="102">
        <v>1552.67</v>
      </c>
      <c r="E45" s="18">
        <f>E44+D49+D51-E46</f>
        <v>1450.1491666666666</v>
      </c>
      <c r="F45" s="18">
        <f>F44+E49+E51-F46</f>
        <v>1347.6283333333331</v>
      </c>
      <c r="G45" s="18">
        <f>G44+F49+F51-G46</f>
        <v>1245.1074999999996</v>
      </c>
      <c r="H45" s="18">
        <f t="shared" ref="H45:O45" si="516">H44+G49+G51-H46</f>
        <v>1142.5866666666661</v>
      </c>
      <c r="I45" s="18">
        <f t="shared" si="516"/>
        <v>945.60541666666597</v>
      </c>
      <c r="J45" s="18">
        <f t="shared" si="516"/>
        <v>675.84291666666593</v>
      </c>
      <c r="K45" s="18">
        <f t="shared" si="516"/>
        <v>2410.5897291666665</v>
      </c>
      <c r="L45" s="18">
        <f t="shared" si="516"/>
        <v>2355.8492499999998</v>
      </c>
      <c r="M45" s="18">
        <f t="shared" si="516"/>
        <v>2301.108770833333</v>
      </c>
      <c r="N45" s="18">
        <f t="shared" si="516"/>
        <v>2209.9776666666662</v>
      </c>
      <c r="O45" s="18">
        <f t="shared" si="516"/>
        <v>2082.4559374999994</v>
      </c>
      <c r="P45" s="18">
        <f t="shared" ref="P45" si="517">P44+O49+O51-P46</f>
        <v>1906.4133749999994</v>
      </c>
      <c r="Q45" s="18">
        <f t="shared" ref="Q45" si="518">Q44+P49+P51-Q46</f>
        <v>1681.8499791666659</v>
      </c>
      <c r="R45" s="18">
        <f t="shared" ref="R45" si="519">R44+Q49+Q51-R46</f>
        <v>2360.2893760416669</v>
      </c>
      <c r="S45" s="18">
        <f t="shared" ref="S45" si="520">S44+R49+R51-S46</f>
        <v>2255.24854375</v>
      </c>
      <c r="T45" s="18">
        <f>T44+S49+S51-T46</f>
        <v>2113.8170864583331</v>
      </c>
      <c r="U45" s="18">
        <f t="shared" ref="U45" si="521">U44+T49+T51-U46</f>
        <v>1935.9950041666664</v>
      </c>
      <c r="V45" s="18">
        <f t="shared" ref="V45" si="522">V44+U49+U51-V46</f>
        <v>1709.6520885416664</v>
      </c>
      <c r="W45" s="18">
        <f t="shared" ref="W45" si="523">W44+V49+V51-W46</f>
        <v>2358.8992705729165</v>
      </c>
      <c r="X45" s="18">
        <f t="shared" ref="X45" si="524">X44+W49+W51-X46</f>
        <v>2252.4683328124997</v>
      </c>
      <c r="Y45" s="18">
        <f t="shared" ref="Y45" si="525">Y44+X49+X51-Y46</f>
        <v>2146.037395052083</v>
      </c>
      <c r="Z45" s="18">
        <f t="shared" ref="Z45" si="526">Z44+Y49+Y51-Z46</f>
        <v>2003.2158322916664</v>
      </c>
      <c r="AA45" s="18">
        <f t="shared" ref="AA45" si="527">AA44+Z49+Z51-AA46</f>
        <v>1918.4640611979164</v>
      </c>
      <c r="AB45" s="55">
        <f t="shared" ref="AB45" si="528">AB44+AA49+AA51-AB46</f>
        <v>1857.9727067708329</v>
      </c>
      <c r="AC45" s="18">
        <f t="shared" ref="AC45" si="529">AC44+AB49+AB51-AC46</f>
        <v>1797.4813523437494</v>
      </c>
      <c r="AD45" s="18">
        <f t="shared" ref="AD45" si="530">AD44+AC49+AC51-AD46</f>
        <v>1736.989997916666</v>
      </c>
      <c r="AE45" s="18">
        <f t="shared" ref="AE45" si="531">AE44+AD49+AD51-AE46</f>
        <v>1676.4986434895825</v>
      </c>
      <c r="AF45" s="18">
        <f t="shared" ref="AF45" si="532">AF44+AE49+AE51-AF46</f>
        <v>1616.007289062499</v>
      </c>
      <c r="AG45" s="18">
        <f t="shared" ref="AG45" si="533">AG44+AF49+AF51-AG46</f>
        <v>1461.055517968749</v>
      </c>
      <c r="AH45" s="18">
        <f t="shared" ref="AH45" si="534">AH44+AG49+AG51-AH46</f>
        <v>1233.3224968749989</v>
      </c>
      <c r="AI45" s="18">
        <f t="shared" ref="AI45" si="535">AI44+AH49+AH51-AI46</f>
        <v>2382.7157501562501</v>
      </c>
      <c r="AJ45" s="18">
        <f t="shared" ref="AJ45" si="536">AJ44+AI49+AI51-AJ46</f>
        <v>2300.1012919791669</v>
      </c>
      <c r="AK45" s="18">
        <f t="shared" ref="AK45" si="537">AK44+AJ49+AJ51-AK46</f>
        <v>2217.4868338020838</v>
      </c>
      <c r="AL45" s="18">
        <f t="shared" ref="AL45" si="538">AL44+AK49+AK51-AL46</f>
        <v>2098.4817506250006</v>
      </c>
      <c r="AM45" s="18">
        <f t="shared" ref="AM45" si="539">AM44+AL49+AL51-AM46</f>
        <v>1943.0860424479172</v>
      </c>
      <c r="AN45" s="18">
        <f t="shared" ref="AN45" si="540">AN44+AM49+AM51-AN46</f>
        <v>1739.1695009375005</v>
      </c>
      <c r="AO45" s="18">
        <f t="shared" ref="AO45" si="541">AO44+AN49+AN51-AO46</f>
        <v>2357.4233999531248</v>
      </c>
      <c r="AP45" s="18">
        <f t="shared" ref="AP45" si="542">AP44+AO49+AO51-AP46</f>
        <v>2249.5165915729162</v>
      </c>
      <c r="AQ45" s="18">
        <f t="shared" ref="AQ45" si="543">AQ44+AP49+AP51-AQ46</f>
        <v>2141.6097831927077</v>
      </c>
      <c r="AR45" s="18">
        <f t="shared" ref="AR45" si="544">AR44+AQ49+AQ51-AR46</f>
        <v>1997.3123498124992</v>
      </c>
      <c r="AS45" s="18">
        <f t="shared" ref="AS45" si="545">AS44+AR49+AR51-AS46</f>
        <v>1816.6242914322909</v>
      </c>
      <c r="AT45" s="18">
        <f t="shared" ref="AT45" si="546">AT44+AS49+AS51-AT46</f>
        <v>1587.4153997187491</v>
      </c>
      <c r="AU45" s="18">
        <f t="shared" ref="AU45" si="547">AU44+AT49+AT51-AU46</f>
        <v>2365.0111050140627</v>
      </c>
      <c r="AV45" s="18">
        <f t="shared" ref="AV45" si="548">AV44+AU49+AU51-AV46</f>
        <v>2264.6920016947915</v>
      </c>
      <c r="AW45" s="18">
        <f t="shared" ref="AW45" si="549">AW44+AV49+AV51-AW46</f>
        <v>2164.3728983755204</v>
      </c>
      <c r="AX45" s="18">
        <f t="shared" ref="AX45" si="550">AX44+AW49+AW51-AX46</f>
        <v>2122.1235867229161</v>
      </c>
      <c r="AY45" s="18">
        <f t="shared" ref="AY45" si="551">AY44+AX49+AX51-AY46</f>
        <v>2067.7440667369788</v>
      </c>
      <c r="AZ45" s="55">
        <f t="shared" ref="AZ45" si="552">AZ44+AY49+AY51-AZ46</f>
        <v>2013.3645467510412</v>
      </c>
      <c r="BA45" s="18">
        <f t="shared" ref="BA45" si="553">BA44+AZ49+AZ51-BA46</f>
        <v>1958.9850267651036</v>
      </c>
      <c r="BB45" s="18">
        <f t="shared" ref="BB45" si="554">BB44+BA49+BA51-BB46</f>
        <v>1904.605506779166</v>
      </c>
      <c r="BC45" s="18">
        <f t="shared" ref="BC45" si="555">BC44+BB49+BB51-BC46</f>
        <v>1850.2259867932285</v>
      </c>
      <c r="BD45" s="18">
        <f t="shared" ref="BD45" si="556">BD44+BC49+BC51-BD46</f>
        <v>1795.8464668072909</v>
      </c>
      <c r="BE45" s="18">
        <f t="shared" ref="BE45" si="557">BE44+BD49+BD51-BE46</f>
        <v>1647.0065301546867</v>
      </c>
      <c r="BF45" s="18">
        <f t="shared" ref="BF45" si="558">BF44+BE49+BE51-BF46</f>
        <v>1425.3853435020826</v>
      </c>
      <c r="BG45" s="18">
        <f t="shared" ref="BG45" si="559">BG44+BF49+BF51-BG46</f>
        <v>2373.1126078248958</v>
      </c>
      <c r="BH45" s="18">
        <f t="shared" ref="BH45" si="560">BH44+BG49+BG51-BH46</f>
        <v>2280.8950073164583</v>
      </c>
      <c r="BI45" s="18">
        <f t="shared" ref="BI45" si="561">BI44+BH49+BH51-BI46</f>
        <v>2188.6774068080208</v>
      </c>
      <c r="BJ45" s="18">
        <f t="shared" ref="BJ45" si="562">BJ44+BI49+BI51-BJ46</f>
        <v>2060.0691812995833</v>
      </c>
      <c r="BK45" s="18">
        <f t="shared" ref="BK45" si="563">BK44+BJ49+BJ51-BK46</f>
        <v>1895.070330791146</v>
      </c>
      <c r="BL45" s="18">
        <f t="shared" ref="BL45" si="564">BL44+BK49+BK51-BL46</f>
        <v>1681.5506469493753</v>
      </c>
      <c r="BM45" s="18">
        <f t="shared" ref="BM45" si="565">BM44+BL49+BL51-BM46</f>
        <v>2360.304342652531</v>
      </c>
      <c r="BN45" s="18">
        <f t="shared" ref="BN45" si="566">BN44+BM49+BM51-BN46</f>
        <v>2255.2784769717287</v>
      </c>
      <c r="BO45" s="18">
        <f t="shared" ref="BO45" si="567">BO44+BN49+BN51-BO46</f>
        <v>2150.2526112909263</v>
      </c>
      <c r="BP45" s="18">
        <f t="shared" ref="BP45" si="568">BP44+BO49+BO51-BP46</f>
        <v>2008.8361206101242</v>
      </c>
      <c r="BQ45" s="18">
        <f t="shared" ref="BQ45" si="569">BQ44+BP49+BP51-BQ46</f>
        <v>1831.0290049293224</v>
      </c>
      <c r="BR45" s="18">
        <f t="shared" ref="BR45" si="570">BR44+BQ49+BQ51-BR46</f>
        <v>1604.701055915187</v>
      </c>
      <c r="BS45" s="18">
        <f t="shared" ref="BS45" si="571">BS44+BR49+BR51-BS46</f>
        <v>2364.1468222042408</v>
      </c>
      <c r="BT45" s="18">
        <f t="shared" ref="BT45" si="572">BT44+BS49+BS51-BT46</f>
        <v>2262.9634360751479</v>
      </c>
      <c r="BU45" s="18">
        <f t="shared" ref="BU45" si="573">BU44+BT49+BT51-BU46</f>
        <v>2161.780049946055</v>
      </c>
      <c r="BV45" s="18">
        <f t="shared" ref="BV45" si="574">BV44+BU49+BU51-BV46</f>
        <v>2024.2060388169623</v>
      </c>
      <c r="BW45" s="18">
        <f t="shared" ref="BW45" si="575">BW44+BV49+BV51-BW46</f>
        <v>1944.7018193545364</v>
      </c>
      <c r="BX45" s="55">
        <f t="shared" ref="BX45" si="576">BX44+BW49+BW51-BX46</f>
        <v>1889.458016558777</v>
      </c>
      <c r="BY45" s="18">
        <f t="shared" ref="BY45" si="577">BY44+BX49+BX51-BY46</f>
        <v>1834.2142137630176</v>
      </c>
      <c r="BZ45" s="18">
        <f t="shared" ref="BZ45" si="578">BZ44+BY49+BY51-BZ46</f>
        <v>1778.9704109672582</v>
      </c>
      <c r="CA45" s="18">
        <f t="shared" ref="CA45" si="579">CA44+BZ49+BZ51-CA46</f>
        <v>1723.7266081714988</v>
      </c>
      <c r="CB45" s="18">
        <f t="shared" ref="CB45" si="580">CB44+CA49+CA51-CB46</f>
        <v>1668.4828053757394</v>
      </c>
      <c r="CC45" s="18">
        <f t="shared" ref="CC45" si="581">CC44+CB49+CB51-CC46</f>
        <v>1518.7785859133135</v>
      </c>
      <c r="CD45" s="18">
        <f t="shared" ref="CD45" si="582">CD44+CC49+CC51-CD46</f>
        <v>1296.2931164508875</v>
      </c>
      <c r="CE45" s="18">
        <f t="shared" ref="CE45" si="583">CE44+CD49+CD51-CE46</f>
        <v>2379.5672191774552</v>
      </c>
      <c r="CF45" s="18">
        <f t="shared" ref="CF45" si="584">CF44+CE49+CE51-CF46</f>
        <v>2293.8042300215775</v>
      </c>
      <c r="CG45" s="18">
        <f t="shared" ref="CG45" si="585">CG44+CF49+CF51-CG46</f>
        <v>2208.0412408656998</v>
      </c>
      <c r="CH45" s="18">
        <f t="shared" ref="CH45" si="586">CH44+CG49+CG51-CH46</f>
        <v>2085.8876267098221</v>
      </c>
      <c r="CI45" s="18">
        <f t="shared" ref="CI45" si="587">CI44+CH49+CH51-CI46</f>
        <v>1927.3433875539445</v>
      </c>
      <c r="CJ45" s="18">
        <f t="shared" ref="CJ45" si="588">CJ44+CI49+CI51-CJ46</f>
        <v>1720.2783150647333</v>
      </c>
      <c r="CK45" s="18">
        <f t="shared" ref="CK45" si="589">CK44+CJ49+CJ51-CK46</f>
        <v>2358.3679592467629</v>
      </c>
      <c r="CL45" s="18">
        <f t="shared" ref="CL45" si="590">CL44+CK49+CK51-CL46</f>
        <v>2251.4057101601929</v>
      </c>
      <c r="CM45" s="18">
        <f t="shared" ref="CM45" si="591">CM44+CL49+CL51-CM46</f>
        <v>2144.443461073623</v>
      </c>
      <c r="CN45" s="18">
        <f t="shared" ref="CN45" si="592">CN44+CM49+CM51-CN46</f>
        <v>2001.0905869870528</v>
      </c>
      <c r="CO45" s="18">
        <f t="shared" ref="CO45" si="593">CO44+CN49+CN51-CO46</f>
        <v>1821.3470879004828</v>
      </c>
      <c r="CP45" s="18">
        <f t="shared" ref="CP45" si="594">CP44+CO49+CO51-CP46</f>
        <v>1593.0827554805794</v>
      </c>
      <c r="CQ45" s="18">
        <f t="shared" ref="CQ45" si="595">CQ44+CP49+CP51-CQ46</f>
        <v>2364.7277372259709</v>
      </c>
      <c r="CR45" s="18">
        <f t="shared" ref="CR45" si="596">CR44+CQ49+CQ51-CR46</f>
        <v>2264.1252661186086</v>
      </c>
      <c r="CS45" s="18">
        <f t="shared" ref="CS45" si="597">CS44+CR49+CR51-CS46</f>
        <v>2163.5227950112462</v>
      </c>
      <c r="CT45" s="18">
        <f t="shared" ref="CT45" si="598">CT44+CS49+CS51-CT46</f>
        <v>2026.5296989038836</v>
      </c>
      <c r="CU45" s="18">
        <f t="shared" ref="CU45" si="599">CU44+CT49+CT51-CU46</f>
        <v>1947.6063944631881</v>
      </c>
      <c r="CV45" s="55">
        <f t="shared" ref="CV45" si="600">CV44+CU49+CU51-CV46</f>
        <v>1892.943506689159</v>
      </c>
      <c r="CW45" s="18">
        <f t="shared" ref="CW45" si="601">CW44+CV49+CV51-CW46</f>
        <v>1838.2806189151299</v>
      </c>
      <c r="CX45" s="18">
        <f t="shared" ref="CX45" si="602">CX44+CW49+CW51-CX46</f>
        <v>1783.6177311411009</v>
      </c>
      <c r="CY45" s="18">
        <f t="shared" ref="CY45" si="603">CY44+CX49+CX51-CY46</f>
        <v>1728.9548433670718</v>
      </c>
      <c r="CZ45" s="18">
        <f t="shared" ref="CZ45" si="604">CZ44+CY49+CY51-CZ46</f>
        <v>1674.2919555930428</v>
      </c>
      <c r="DA45" s="18">
        <f t="shared" ref="DA45" si="605">DA44+CZ49+CZ51-DA46</f>
        <v>1525.1686511523471</v>
      </c>
      <c r="DB45" s="18">
        <f t="shared" ref="DB45" si="606">DB44+DA49+DA51-DB46</f>
        <v>1303.2640967116515</v>
      </c>
      <c r="DC45" s="18">
        <f t="shared" ref="DC45" si="607">DC44+DB49+DB51-DC46</f>
        <v>2379.2186701644173</v>
      </c>
      <c r="DD45" s="18">
        <f t="shared" ref="DD45" si="608">DD44+DC49+DC51-DD46</f>
        <v>2293.1071319955013</v>
      </c>
      <c r="DE45" s="18">
        <f t="shared" ref="DE45" si="609">DE44+DD49+DD51-DE46</f>
        <v>2206.9955938265853</v>
      </c>
      <c r="DF45" s="18">
        <f t="shared" ref="DF45" si="610">DF44+DE49+DE51-DF46</f>
        <v>2084.4934306576693</v>
      </c>
      <c r="DG45" s="18">
        <f t="shared" ref="DG45" si="611">DG44+DF49+DF51-DG46</f>
        <v>1925.6006424887535</v>
      </c>
      <c r="DH45" s="18">
        <f t="shared" ref="DH45" si="612">DH44+DG49+DG51-DH46</f>
        <v>1718.1870209865042</v>
      </c>
      <c r="DI45" s="18">
        <f t="shared" ref="DI45" si="613">DI44+DH49+DH51-DI46</f>
        <v>2358.4725239506747</v>
      </c>
      <c r="DJ45" s="18">
        <f t="shared" ref="DJ45" si="614">DJ44+DI49+DI51-DJ46</f>
        <v>2251.6148395680161</v>
      </c>
      <c r="DK45" s="18">
        <f t="shared" ref="DK45" si="615">DK44+DJ49+DJ51-DK46</f>
        <v>2144.7571551853575</v>
      </c>
      <c r="DL45" s="18">
        <f t="shared" ref="DL45" si="616">DL44+DK49+DK51-DL46</f>
        <v>2001.5088458026987</v>
      </c>
      <c r="DM45" s="18">
        <f t="shared" ref="DM45" si="617">DM44+DL49+DL51-DM46</f>
        <v>1821.8699114200404</v>
      </c>
      <c r="DN45" s="18">
        <f t="shared" ref="DN45" si="618">DN44+DM49+DM51-DN46</f>
        <v>1593.7101437040485</v>
      </c>
      <c r="DO45" s="18">
        <f t="shared" ref="DO45" si="619">DO44+DN49+DN51-DO46</f>
        <v>2364.6963678147972</v>
      </c>
      <c r="DP45" s="18">
        <f t="shared" ref="DP45" si="620">DP44+DO49+DO51-DP46</f>
        <v>2264.0625272962611</v>
      </c>
      <c r="DQ45" s="18">
        <f t="shared" ref="DQ45" si="621">DQ44+DP49+DP51-DQ46</f>
        <v>2163.428686777725</v>
      </c>
      <c r="DR45" s="18">
        <f t="shared" ref="DR45" si="622">DR44+DQ49+DQ51-DR46</f>
        <v>2026.4042212591892</v>
      </c>
      <c r="DS45" s="18">
        <f t="shared" ref="DS45" si="623">DS44+DR49+DR51-DS46</f>
        <v>1947.4495474073201</v>
      </c>
      <c r="DT45" s="18">
        <f t="shared" ref="DT45" si="624">DT44+DS49+DS51-DT46</f>
        <v>1892.7552902221175</v>
      </c>
    </row>
    <row r="46" spans="2:124" s="2" customFormat="1" x14ac:dyDescent="0.25">
      <c r="B46" s="19" t="s">
        <v>35</v>
      </c>
      <c r="C46" s="81">
        <f>2329/24</f>
        <v>97.041666666666671</v>
      </c>
      <c r="D46" s="108">
        <f t="shared" ref="D46" si="625">IF(C41="T",$C$46*0.25,IF(D50="K",IF(A51&gt;0,$C$46*0.125,IF(C51&gt;0,$C$46*0.125,IF(B51&gt;0,$C$46*0.125,$C$46))),$C$46*0.5))</f>
        <v>24.260416666666668</v>
      </c>
      <c r="E46" s="26">
        <f t="shared" ref="E46" si="626">IF(D41="T",$C$46*0.25,IF(E50="K",IF(B51&gt;0,$C$46*0.125,IF(D51&gt;0,$C$46*0.125,IF(C51&gt;0,$C$46*0.125,$C$46))),$C$46*0.5))</f>
        <v>24.260416666666668</v>
      </c>
      <c r="F46" s="26">
        <f t="shared" ref="F46" si="627">IF(E41="T",$C$46*0.25,IF(F50="K",IF(C51&gt;0,$C$46*0.125,IF(E51&gt;0,$C$46*0.125,IF(D51&gt;0,$C$46*0.125,$C$46))),$C$46*0.5))</f>
        <v>24.260416666666668</v>
      </c>
      <c r="G46" s="26">
        <f t="shared" ref="G46" si="628">IF(F41="T",$C$46*0.25,IF(G50="K",IF(D51&gt;0,$C$46*0.125,IF(F51&gt;0,$C$46*0.125,IF(E51&gt;0,$C$46*0.125,$C$46))),$C$46*0.5))</f>
        <v>24.260416666666668</v>
      </c>
      <c r="H46" s="26">
        <f t="shared" ref="H46" si="629">IF(G41="T",$C$46*0.25,IF(H50="K",IF(E51&gt;0,$C$46*0.125,IF(G51&gt;0,$C$46*0.125,IF(F51&gt;0,$C$46*0.125,$C$46))),$C$46*0.5))</f>
        <v>24.260416666666668</v>
      </c>
      <c r="I46" s="26">
        <f t="shared" ref="I46" si="630">IF(H41="T",$C$46*0.25,IF(I50="K",IF(F51&gt;0,$C$46*0.125,IF(H51&gt;0,$C$46*0.125,IF(G51&gt;0,$C$46*0.125,$C$46))),$C$46*0.5))</f>
        <v>48.520833333333336</v>
      </c>
      <c r="J46" s="26">
        <f t="shared" ref="J46" si="631">IF(I41="T",$C$46*0.25,IF(J50="K",IF(G51&gt;0,$C$46*0.125,IF(I51&gt;0,$C$46*0.125,IF(H51&gt;0,$C$46*0.125,$C$46))),$C$46*0.5))</f>
        <v>97.041666666666671</v>
      </c>
      <c r="K46" s="26">
        <f t="shared" ref="K46" si="632">IF(J41="T",$C$46*0.25,IF(K50="K",IF(H51&gt;0,$C$46*0.125,IF(J51&gt;0,$C$46*0.125,IF(I51&gt;0,$C$46*0.125,$C$46))),$C$46*0.5))</f>
        <v>12.130208333333334</v>
      </c>
      <c r="L46" s="26">
        <f t="shared" ref="L46" si="633">IF(K41="T",$C$46*0.25,IF(L50="K",IF(I51&gt;0,$C$46*0.125,IF(K51&gt;0,$C$46*0.125,IF(J51&gt;0,$C$46*0.125,$C$46))),$C$46*0.5))</f>
        <v>12.130208333333334</v>
      </c>
      <c r="M46" s="26">
        <f t="shared" ref="M46" si="634">IF(L41="T",$C$46*0.25,IF(M50="K",IF(J51&gt;0,$C$46*0.125,IF(L51&gt;0,$C$46*0.125,IF(K51&gt;0,$C$46*0.125,$C$46))),$C$46*0.5))</f>
        <v>12.130208333333334</v>
      </c>
      <c r="N46" s="26">
        <f t="shared" ref="N46" si="635">IF(M41="T",$C$46*0.25,IF(N50="K",IF(K51&gt;0,$C$46*0.125,IF(M51&gt;0,$C$46*0.125,IF(L51&gt;0,$C$46*0.125,$C$46))),$C$46*0.5))</f>
        <v>48.520833333333336</v>
      </c>
      <c r="O46" s="26">
        <f t="shared" ref="O46" si="636">IF(N41="T",$C$46*0.25,IF(O50="K",IF(L51&gt;0,$C$46*0.125,IF(N51&gt;0,$C$46*0.125,IF(M51&gt;0,$C$46*0.125,$C$46))),$C$46*0.5))</f>
        <v>48.520833333333336</v>
      </c>
      <c r="P46" s="26">
        <f t="shared" ref="P46" si="637">IF(O41="T",$C$46*0.25,IF(P50="K",IF(M51&gt;0,$C$46*0.125,IF(O51&gt;0,$C$46*0.125,IF(N51&gt;0,$C$46*0.125,$C$46))),$C$46*0.5))</f>
        <v>97.041666666666671</v>
      </c>
      <c r="Q46" s="26">
        <f t="shared" ref="Q46" si="638">IF(P41="T",$C$46*0.25,IF(Q50="K",IF(N51&gt;0,$C$46*0.125,IF(P51&gt;0,$C$46*0.125,IF(O51&gt;0,$C$46*0.125,$C$46))),$C$46*0.5))</f>
        <v>97.041666666666671</v>
      </c>
      <c r="R46" s="26">
        <f t="shared" ref="R46" si="639">IF(Q41="T",$C$46*0.25,IF(R50="K",IF(O51&gt;0,$C$46*0.125,IF(Q51&gt;0,$C$46*0.125,IF(P51&gt;0,$C$46*0.125,$C$46))),$C$46*0.5))</f>
        <v>12.130208333333334</v>
      </c>
      <c r="S46" s="26">
        <f t="shared" ref="S46" si="640">IF(R41="T",$C$46*0.25,IF(S50="K",IF(P51&gt;0,$C$46*0.125,IF(R51&gt;0,$C$46*0.125,IF(Q51&gt;0,$C$46*0.125,$C$46))),$C$46*0.5))</f>
        <v>12.130208333333334</v>
      </c>
      <c r="T46" s="26">
        <f t="shared" ref="T46" si="641">IF(S41="T",$C$46*0.25,IF(T50="K",IF(Q51&gt;0,$C$46*0.125,IF(S51&gt;0,$C$46*0.125,IF(R51&gt;0,$C$46*0.125,$C$46))),$C$46*0.5))</f>
        <v>48.520833333333336</v>
      </c>
      <c r="U46" s="26">
        <f t="shared" ref="U46" si="642">IF(T41="T",$C$46*0.25,IF(U50="K",IF(R51&gt;0,$C$46*0.125,IF(T51&gt;0,$C$46*0.125,IF(S51&gt;0,$C$46*0.125,$C$46))),$C$46*0.5))</f>
        <v>48.520833333333336</v>
      </c>
      <c r="V46" s="26">
        <f t="shared" ref="V46" si="643">IF(U41="T",$C$46*0.25,IF(V50="K",IF(S51&gt;0,$C$46*0.125,IF(U51&gt;0,$C$46*0.125,IF(T51&gt;0,$C$46*0.125,$C$46))),$C$46*0.5))</f>
        <v>97.041666666666671</v>
      </c>
      <c r="W46" s="26">
        <f t="shared" ref="W46" si="644">IF(V41="T",$C$46*0.25,IF(W50="K",IF(T51&gt;0,$C$46*0.125,IF(V51&gt;0,$C$46*0.125,IF(U51&gt;0,$C$46*0.125,$C$46))),$C$46*0.5))</f>
        <v>12.130208333333334</v>
      </c>
      <c r="X46" s="26">
        <f t="shared" ref="X46" si="645">IF(W41="T",$C$46*0.25,IF(X50="K",IF(U51&gt;0,$C$46*0.125,IF(W51&gt;0,$C$46*0.125,IF(V51&gt;0,$C$46*0.125,$C$46))),$C$46*0.5))</f>
        <v>12.130208333333334</v>
      </c>
      <c r="Y46" s="26">
        <f t="shared" ref="Y46" si="646">IF(X41="T",$C$46*0.25,IF(Y50="K",IF(V51&gt;0,$C$46*0.125,IF(X51&gt;0,$C$46*0.125,IF(W51&gt;0,$C$46*0.125,$C$46))),$C$46*0.5))</f>
        <v>12.130208333333334</v>
      </c>
      <c r="Z46" s="26">
        <f t="shared" ref="Z46" si="647">IF(Y41="T",$C$46*0.25,IF(Z50="K",IF(W51&gt;0,$C$46*0.125,IF(Y51&gt;0,$C$46*0.125,IF(X51&gt;0,$C$46*0.125,$C$46))),$C$46*0.5))</f>
        <v>48.520833333333336</v>
      </c>
      <c r="AA46" s="26">
        <f t="shared" ref="AA46" si="648">IF(Z41="T",$C$46*0.25,IF(AA50="K",IF(X51&gt;0,$C$46*0.125,IF(Z51&gt;0,$C$46*0.125,IF(Y51&gt;0,$C$46*0.125,$C$46))),$C$46*0.5))</f>
        <v>24.260416666666668</v>
      </c>
      <c r="AB46" s="26">
        <f t="shared" ref="AB46" si="649">IF(AA41="T",$C$46*0.25,IF(AB50="K",IF(Y51&gt;0,$C$46*0.125,IF(AA51&gt;0,$C$46*0.125,IF(Z51&gt;0,$C$46*0.125,$C$46))),$C$46*0.5))</f>
        <v>24.260416666666668</v>
      </c>
      <c r="AC46" s="26">
        <f t="shared" ref="AC46" si="650">IF(AB41="T",$C$46*0.25,IF(AC50="K",IF(Z51&gt;0,$C$46*0.125,IF(AB51&gt;0,$C$46*0.125,IF(AA51&gt;0,$C$46*0.125,$C$46))),$C$46*0.5))</f>
        <v>24.260416666666668</v>
      </c>
      <c r="AD46" s="26">
        <f t="shared" ref="AD46" si="651">IF(AC41="T",$C$46*0.25,IF(AD50="K",IF(AA51&gt;0,$C$46*0.125,IF(AC51&gt;0,$C$46*0.125,IF(AB51&gt;0,$C$46*0.125,$C$46))),$C$46*0.5))</f>
        <v>24.260416666666668</v>
      </c>
      <c r="AE46" s="26">
        <f t="shared" ref="AE46" si="652">IF(AD41="T",$C$46*0.25,IF(AE50="K",IF(AB51&gt;0,$C$46*0.125,IF(AD51&gt;0,$C$46*0.125,IF(AC51&gt;0,$C$46*0.125,$C$46))),$C$46*0.5))</f>
        <v>24.260416666666668</v>
      </c>
      <c r="AF46" s="26">
        <f t="shared" ref="AF46" si="653">IF(AE41="T",$C$46*0.25,IF(AF50="K",IF(AC51&gt;0,$C$46*0.125,IF(AE51&gt;0,$C$46*0.125,IF(AD51&gt;0,$C$46*0.125,$C$46))),$C$46*0.5))</f>
        <v>24.260416666666668</v>
      </c>
      <c r="AG46" s="26">
        <f t="shared" ref="AG46" si="654">IF(AF41="T",$C$46*0.25,IF(AG50="K",IF(AD51&gt;0,$C$46*0.125,IF(AF51&gt;0,$C$46*0.125,IF(AE51&gt;0,$C$46*0.125,$C$46))),$C$46*0.5))</f>
        <v>48.520833333333336</v>
      </c>
      <c r="AH46" s="26">
        <f t="shared" ref="AH46" si="655">IF(AG41="T",$C$46*0.25,IF(AH50="K",IF(AE51&gt;0,$C$46*0.125,IF(AG51&gt;0,$C$46*0.125,IF(AF51&gt;0,$C$46*0.125,$C$46))),$C$46*0.5))</f>
        <v>97.041666666666671</v>
      </c>
      <c r="AI46" s="26">
        <f t="shared" ref="AI46" si="656">IF(AH41="T",$C$46*0.25,IF(AI50="K",IF(AF51&gt;0,$C$46*0.125,IF(AH51&gt;0,$C$46*0.125,IF(AG51&gt;0,$C$46*0.125,$C$46))),$C$46*0.5))</f>
        <v>12.130208333333334</v>
      </c>
      <c r="AJ46" s="26">
        <f t="shared" ref="AJ46" si="657">IF(AI41="T",$C$46*0.25,IF(AJ50="K",IF(AG51&gt;0,$C$46*0.125,IF(AI51&gt;0,$C$46*0.125,IF(AH51&gt;0,$C$46*0.125,$C$46))),$C$46*0.5))</f>
        <v>12.130208333333334</v>
      </c>
      <c r="AK46" s="26">
        <f t="shared" ref="AK46" si="658">IF(AJ41="T",$C$46*0.25,IF(AK50="K",IF(AH51&gt;0,$C$46*0.125,IF(AJ51&gt;0,$C$46*0.125,IF(AI51&gt;0,$C$46*0.125,$C$46))),$C$46*0.5))</f>
        <v>12.130208333333334</v>
      </c>
      <c r="AL46" s="26">
        <f t="shared" ref="AL46" si="659">IF(AK41="T",$C$46*0.25,IF(AL50="K",IF(AI51&gt;0,$C$46*0.125,IF(AK51&gt;0,$C$46*0.125,IF(AJ51&gt;0,$C$46*0.125,$C$46))),$C$46*0.5))</f>
        <v>48.520833333333336</v>
      </c>
      <c r="AM46" s="26">
        <f t="shared" ref="AM46" si="660">IF(AL41="T",$C$46*0.25,IF(AM50="K",IF(AJ51&gt;0,$C$46*0.125,IF(AL51&gt;0,$C$46*0.125,IF(AK51&gt;0,$C$46*0.125,$C$46))),$C$46*0.5))</f>
        <v>48.520833333333336</v>
      </c>
      <c r="AN46" s="26">
        <f t="shared" ref="AN46" si="661">IF(AM41="T",$C$46*0.25,IF(AN50="K",IF(AK51&gt;0,$C$46*0.125,IF(AM51&gt;0,$C$46*0.125,IF(AL51&gt;0,$C$46*0.125,$C$46))),$C$46*0.5))</f>
        <v>97.041666666666671</v>
      </c>
      <c r="AO46" s="26">
        <f t="shared" ref="AO46" si="662">IF(AN41="T",$C$46*0.25,IF(AO50="K",IF(AL51&gt;0,$C$46*0.125,IF(AN51&gt;0,$C$46*0.125,IF(AM51&gt;0,$C$46*0.125,$C$46))),$C$46*0.5))</f>
        <v>12.130208333333334</v>
      </c>
      <c r="AP46" s="26">
        <f t="shared" ref="AP46" si="663">IF(AO41="T",$C$46*0.25,IF(AP50="K",IF(AM51&gt;0,$C$46*0.125,IF(AO51&gt;0,$C$46*0.125,IF(AN51&gt;0,$C$46*0.125,$C$46))),$C$46*0.5))</f>
        <v>12.130208333333334</v>
      </c>
      <c r="AQ46" s="26">
        <f t="shared" ref="AQ46" si="664">IF(AP41="T",$C$46*0.25,IF(AQ50="K",IF(AN51&gt;0,$C$46*0.125,IF(AP51&gt;0,$C$46*0.125,IF(AO51&gt;0,$C$46*0.125,$C$46))),$C$46*0.5))</f>
        <v>12.130208333333334</v>
      </c>
      <c r="AR46" s="26">
        <f t="shared" ref="AR46" si="665">IF(AQ41="T",$C$46*0.25,IF(AR50="K",IF(AO51&gt;0,$C$46*0.125,IF(AQ51&gt;0,$C$46*0.125,IF(AP51&gt;0,$C$46*0.125,$C$46))),$C$46*0.5))</f>
        <v>48.520833333333336</v>
      </c>
      <c r="AS46" s="26">
        <f t="shared" ref="AS46" si="666">IF(AR41="T",$C$46*0.25,IF(AS50="K",IF(AP51&gt;0,$C$46*0.125,IF(AR51&gt;0,$C$46*0.125,IF(AQ51&gt;0,$C$46*0.125,$C$46))),$C$46*0.5))</f>
        <v>48.520833333333336</v>
      </c>
      <c r="AT46" s="26">
        <f t="shared" ref="AT46" si="667">IF(AS41="T",$C$46*0.25,IF(AT50="K",IF(AQ51&gt;0,$C$46*0.125,IF(AS51&gt;0,$C$46*0.125,IF(AR51&gt;0,$C$46*0.125,$C$46))),$C$46*0.5))</f>
        <v>97.041666666666671</v>
      </c>
      <c r="AU46" s="26">
        <f t="shared" ref="AU46" si="668">IF(AT41="T",$C$46*0.25,IF(AU50="K",IF(AR51&gt;0,$C$46*0.125,IF(AT51&gt;0,$C$46*0.125,IF(AS51&gt;0,$C$46*0.125,$C$46))),$C$46*0.5))</f>
        <v>12.130208333333334</v>
      </c>
      <c r="AV46" s="26">
        <f t="shared" ref="AV46" si="669">IF(AU41="T",$C$46*0.25,IF(AV50="K",IF(AS51&gt;0,$C$46*0.125,IF(AU51&gt;0,$C$46*0.125,IF(AT51&gt;0,$C$46*0.125,$C$46))),$C$46*0.5))</f>
        <v>12.130208333333334</v>
      </c>
      <c r="AW46" s="26">
        <f t="shared" ref="AW46" si="670">IF(AV41="T",$C$46*0.25,IF(AW50="K",IF(AT51&gt;0,$C$46*0.125,IF(AV51&gt;0,$C$46*0.125,IF(AU51&gt;0,$C$46*0.125,$C$46))),$C$46*0.5))</f>
        <v>12.130208333333334</v>
      </c>
      <c r="AX46" s="26">
        <f t="shared" ref="AX46" si="671">IF(AW41="T",$C$46*0.25,IF(AX50="K",IF(AU51&gt;0,$C$46*0.125,IF(AW51&gt;0,$C$46*0.125,IF(AV51&gt;0,$C$46*0.125,$C$46))),$C$46*0.5))</f>
        <v>24.260416666666668</v>
      </c>
      <c r="AY46" s="26">
        <f t="shared" ref="AY46" si="672">IF(AX41="T",$C$46*0.25,IF(AY50="K",IF(AV51&gt;0,$C$46*0.125,IF(AX51&gt;0,$C$46*0.125,IF(AW51&gt;0,$C$46*0.125,$C$46))),$C$46*0.5))</f>
        <v>24.260416666666668</v>
      </c>
      <c r="AZ46" s="26">
        <f t="shared" ref="AZ46" si="673">IF(AY41="T",$C$46*0.25,IF(AZ50="K",IF(AW51&gt;0,$C$46*0.125,IF(AY51&gt;0,$C$46*0.125,IF(AX51&gt;0,$C$46*0.125,$C$46))),$C$46*0.5))</f>
        <v>24.260416666666668</v>
      </c>
      <c r="BA46" s="26">
        <f t="shared" ref="BA46" si="674">IF(AZ41="T",$C$46*0.25,IF(BA50="K",IF(AX51&gt;0,$C$46*0.125,IF(AZ51&gt;0,$C$46*0.125,IF(AY51&gt;0,$C$46*0.125,$C$46))),$C$46*0.5))</f>
        <v>24.260416666666668</v>
      </c>
      <c r="BB46" s="26">
        <f t="shared" ref="BB46" si="675">IF(BA41="T",$C$46*0.25,IF(BB50="K",IF(AY51&gt;0,$C$46*0.125,IF(BA51&gt;0,$C$46*0.125,IF(AZ51&gt;0,$C$46*0.125,$C$46))),$C$46*0.5))</f>
        <v>24.260416666666668</v>
      </c>
      <c r="BC46" s="26">
        <f t="shared" ref="BC46" si="676">IF(BB41="T",$C$46*0.25,IF(BC50="K",IF(AZ51&gt;0,$C$46*0.125,IF(BB51&gt;0,$C$46*0.125,IF(BA51&gt;0,$C$46*0.125,$C$46))),$C$46*0.5))</f>
        <v>24.260416666666668</v>
      </c>
      <c r="BD46" s="26">
        <f t="shared" ref="BD46" si="677">IF(BC41="T",$C$46*0.25,IF(BD50="K",IF(BA51&gt;0,$C$46*0.125,IF(BC51&gt;0,$C$46*0.125,IF(BB51&gt;0,$C$46*0.125,$C$46))),$C$46*0.5))</f>
        <v>24.260416666666668</v>
      </c>
      <c r="BE46" s="26">
        <f t="shared" ref="BE46" si="678">IF(BD41="T",$C$46*0.25,IF(BE50="K",IF(BB51&gt;0,$C$46*0.125,IF(BD51&gt;0,$C$46*0.125,IF(BC51&gt;0,$C$46*0.125,$C$46))),$C$46*0.5))</f>
        <v>48.520833333333336</v>
      </c>
      <c r="BF46" s="26">
        <f t="shared" ref="BF46" si="679">IF(BE41="T",$C$46*0.25,IF(BF50="K",IF(BC51&gt;0,$C$46*0.125,IF(BE51&gt;0,$C$46*0.125,IF(BD51&gt;0,$C$46*0.125,$C$46))),$C$46*0.5))</f>
        <v>97.041666666666671</v>
      </c>
      <c r="BG46" s="26">
        <f t="shared" ref="BG46" si="680">IF(BF41="T",$C$46*0.25,IF(BG50="K",IF(BD51&gt;0,$C$46*0.125,IF(BF51&gt;0,$C$46*0.125,IF(BE51&gt;0,$C$46*0.125,$C$46))),$C$46*0.5))</f>
        <v>12.130208333333334</v>
      </c>
      <c r="BH46" s="26">
        <f t="shared" ref="BH46" si="681">IF(BG41="T",$C$46*0.25,IF(BH50="K",IF(BE51&gt;0,$C$46*0.125,IF(BG51&gt;0,$C$46*0.125,IF(BF51&gt;0,$C$46*0.125,$C$46))),$C$46*0.5))</f>
        <v>12.130208333333334</v>
      </c>
      <c r="BI46" s="26">
        <f t="shared" ref="BI46" si="682">IF(BH41="T",$C$46*0.25,IF(BI50="K",IF(BF51&gt;0,$C$46*0.125,IF(BH51&gt;0,$C$46*0.125,IF(BG51&gt;0,$C$46*0.125,$C$46))),$C$46*0.5))</f>
        <v>12.130208333333334</v>
      </c>
      <c r="BJ46" s="26">
        <f t="shared" ref="BJ46" si="683">IF(BI41="T",$C$46*0.25,IF(BJ50="K",IF(BG51&gt;0,$C$46*0.125,IF(BI51&gt;0,$C$46*0.125,IF(BH51&gt;0,$C$46*0.125,$C$46))),$C$46*0.5))</f>
        <v>48.520833333333336</v>
      </c>
      <c r="BK46" s="26">
        <f t="shared" ref="BK46" si="684">IF(BJ41="T",$C$46*0.25,IF(BK50="K",IF(BH51&gt;0,$C$46*0.125,IF(BJ51&gt;0,$C$46*0.125,IF(BI51&gt;0,$C$46*0.125,$C$46))),$C$46*0.5))</f>
        <v>48.520833333333336</v>
      </c>
      <c r="BL46" s="26">
        <f t="shared" ref="BL46" si="685">IF(BK41="T",$C$46*0.25,IF(BL50="K",IF(BI51&gt;0,$C$46*0.125,IF(BK51&gt;0,$C$46*0.125,IF(BJ51&gt;0,$C$46*0.125,$C$46))),$C$46*0.5))</f>
        <v>97.041666666666671</v>
      </c>
      <c r="BM46" s="26">
        <f t="shared" ref="BM46" si="686">IF(BL41="T",$C$46*0.25,IF(BM50="K",IF(BJ51&gt;0,$C$46*0.125,IF(BL51&gt;0,$C$46*0.125,IF(BK51&gt;0,$C$46*0.125,$C$46))),$C$46*0.5))</f>
        <v>12.130208333333334</v>
      </c>
      <c r="BN46" s="26">
        <f t="shared" ref="BN46" si="687">IF(BM41="T",$C$46*0.25,IF(BN50="K",IF(BK51&gt;0,$C$46*0.125,IF(BM51&gt;0,$C$46*0.125,IF(BL51&gt;0,$C$46*0.125,$C$46))),$C$46*0.5))</f>
        <v>12.130208333333334</v>
      </c>
      <c r="BO46" s="26">
        <f t="shared" ref="BO46" si="688">IF(BN41="T",$C$46*0.25,IF(BO50="K",IF(BL51&gt;0,$C$46*0.125,IF(BN51&gt;0,$C$46*0.125,IF(BM51&gt;0,$C$46*0.125,$C$46))),$C$46*0.5))</f>
        <v>12.130208333333334</v>
      </c>
      <c r="BP46" s="26">
        <f t="shared" ref="BP46" si="689">IF(BO41="T",$C$46*0.25,IF(BP50="K",IF(BM51&gt;0,$C$46*0.125,IF(BO51&gt;0,$C$46*0.125,IF(BN51&gt;0,$C$46*0.125,$C$46))),$C$46*0.5))</f>
        <v>48.520833333333336</v>
      </c>
      <c r="BQ46" s="26">
        <f t="shared" ref="BQ46" si="690">IF(BP41="T",$C$46*0.25,IF(BQ50="K",IF(BN51&gt;0,$C$46*0.125,IF(BP51&gt;0,$C$46*0.125,IF(BO51&gt;0,$C$46*0.125,$C$46))),$C$46*0.5))</f>
        <v>48.520833333333336</v>
      </c>
      <c r="BR46" s="26">
        <f t="shared" ref="BR46" si="691">IF(BQ41="T",$C$46*0.25,IF(BR50="K",IF(BO51&gt;0,$C$46*0.125,IF(BQ51&gt;0,$C$46*0.125,IF(BP51&gt;0,$C$46*0.125,$C$46))),$C$46*0.5))</f>
        <v>97.041666666666671</v>
      </c>
      <c r="BS46" s="26">
        <f t="shared" ref="BS46" si="692">IF(BR41="T",$C$46*0.25,IF(BS50="K",IF(BP51&gt;0,$C$46*0.125,IF(BR51&gt;0,$C$46*0.125,IF(BQ51&gt;0,$C$46*0.125,$C$46))),$C$46*0.5))</f>
        <v>12.130208333333334</v>
      </c>
      <c r="BT46" s="26">
        <f t="shared" ref="BT46" si="693">IF(BS41="T",$C$46*0.25,IF(BT50="K",IF(BQ51&gt;0,$C$46*0.125,IF(BS51&gt;0,$C$46*0.125,IF(BR51&gt;0,$C$46*0.125,$C$46))),$C$46*0.5))</f>
        <v>12.130208333333334</v>
      </c>
      <c r="BU46" s="26">
        <f t="shared" ref="BU46" si="694">IF(BT41="T",$C$46*0.25,IF(BU50="K",IF(BR51&gt;0,$C$46*0.125,IF(BT51&gt;0,$C$46*0.125,IF(BS51&gt;0,$C$46*0.125,$C$46))),$C$46*0.5))</f>
        <v>12.130208333333334</v>
      </c>
      <c r="BV46" s="26">
        <f t="shared" ref="BV46" si="695">IF(BU41="T",$C$46*0.25,IF(BV50="K",IF(BS51&gt;0,$C$46*0.125,IF(BU51&gt;0,$C$46*0.125,IF(BT51&gt;0,$C$46*0.125,$C$46))),$C$46*0.5))</f>
        <v>48.520833333333336</v>
      </c>
      <c r="BW46" s="26">
        <f t="shared" ref="BW46" si="696">IF(BV41="T",$C$46*0.25,IF(BW50="K",IF(BT51&gt;0,$C$46*0.125,IF(BV51&gt;0,$C$46*0.125,IF(BU51&gt;0,$C$46*0.125,$C$46))),$C$46*0.5))</f>
        <v>24.260416666666668</v>
      </c>
      <c r="BX46" s="26">
        <f t="shared" ref="BX46" si="697">IF(BW41="T",$C$46*0.25,IF(BX50="K",IF(BU51&gt;0,$C$46*0.125,IF(BW51&gt;0,$C$46*0.125,IF(BV51&gt;0,$C$46*0.125,$C$46))),$C$46*0.5))</f>
        <v>24.260416666666668</v>
      </c>
      <c r="BY46" s="26">
        <f t="shared" ref="BY46" si="698">IF(BX41="T",$C$46*0.25,IF(BY50="K",IF(BV51&gt;0,$C$46*0.125,IF(BX51&gt;0,$C$46*0.125,IF(BW51&gt;0,$C$46*0.125,$C$46))),$C$46*0.5))</f>
        <v>24.260416666666668</v>
      </c>
      <c r="BZ46" s="26">
        <f t="shared" ref="BZ46" si="699">IF(BY41="T",$C$46*0.25,IF(BZ50="K",IF(BW51&gt;0,$C$46*0.125,IF(BY51&gt;0,$C$46*0.125,IF(BX51&gt;0,$C$46*0.125,$C$46))),$C$46*0.5))</f>
        <v>24.260416666666668</v>
      </c>
      <c r="CA46" s="26">
        <f t="shared" ref="CA46" si="700">IF(BZ41="T",$C$46*0.25,IF(CA50="K",IF(BX51&gt;0,$C$46*0.125,IF(BZ51&gt;0,$C$46*0.125,IF(BY51&gt;0,$C$46*0.125,$C$46))),$C$46*0.5))</f>
        <v>24.260416666666668</v>
      </c>
      <c r="CB46" s="26">
        <f t="shared" ref="CB46" si="701">IF(CA41="T",$C$46*0.25,IF(CB50="K",IF(BY51&gt;0,$C$46*0.125,IF(CA51&gt;0,$C$46*0.125,IF(BZ51&gt;0,$C$46*0.125,$C$46))),$C$46*0.5))</f>
        <v>24.260416666666668</v>
      </c>
      <c r="CC46" s="26">
        <f t="shared" ref="CC46" si="702">IF(CB41="T",$C$46*0.25,IF(CC50="K",IF(BZ51&gt;0,$C$46*0.125,IF(CB51&gt;0,$C$46*0.125,IF(CA51&gt;0,$C$46*0.125,$C$46))),$C$46*0.5))</f>
        <v>48.520833333333336</v>
      </c>
      <c r="CD46" s="26">
        <f t="shared" ref="CD46" si="703">IF(CC41="T",$C$46*0.25,IF(CD50="K",IF(CA51&gt;0,$C$46*0.125,IF(CC51&gt;0,$C$46*0.125,IF(CB51&gt;0,$C$46*0.125,$C$46))),$C$46*0.5))</f>
        <v>97.041666666666671</v>
      </c>
      <c r="CE46" s="26">
        <f t="shared" ref="CE46" si="704">IF(CD41="T",$C$46*0.25,IF(CE50="K",IF(CB51&gt;0,$C$46*0.125,IF(CD51&gt;0,$C$46*0.125,IF(CC51&gt;0,$C$46*0.125,$C$46))),$C$46*0.5))</f>
        <v>12.130208333333334</v>
      </c>
      <c r="CF46" s="26">
        <f t="shared" ref="CF46" si="705">IF(CE41="T",$C$46*0.25,IF(CF50="K",IF(CC51&gt;0,$C$46*0.125,IF(CE51&gt;0,$C$46*0.125,IF(CD51&gt;0,$C$46*0.125,$C$46))),$C$46*0.5))</f>
        <v>12.130208333333334</v>
      </c>
      <c r="CG46" s="26">
        <f t="shared" ref="CG46" si="706">IF(CF41="T",$C$46*0.25,IF(CG50="K",IF(CD51&gt;0,$C$46*0.125,IF(CF51&gt;0,$C$46*0.125,IF(CE51&gt;0,$C$46*0.125,$C$46))),$C$46*0.5))</f>
        <v>12.130208333333334</v>
      </c>
      <c r="CH46" s="26">
        <f t="shared" ref="CH46" si="707">IF(CG41="T",$C$46*0.25,IF(CH50="K",IF(CE51&gt;0,$C$46*0.125,IF(CG51&gt;0,$C$46*0.125,IF(CF51&gt;0,$C$46*0.125,$C$46))),$C$46*0.5))</f>
        <v>48.520833333333336</v>
      </c>
      <c r="CI46" s="26">
        <f t="shared" ref="CI46" si="708">IF(CH41="T",$C$46*0.25,IF(CI50="K",IF(CF51&gt;0,$C$46*0.125,IF(CH51&gt;0,$C$46*0.125,IF(CG51&gt;0,$C$46*0.125,$C$46))),$C$46*0.5))</f>
        <v>48.520833333333336</v>
      </c>
      <c r="CJ46" s="26">
        <f t="shared" ref="CJ46" si="709">IF(CI41="T",$C$46*0.25,IF(CJ50="K",IF(CG51&gt;0,$C$46*0.125,IF(CI51&gt;0,$C$46*0.125,IF(CH51&gt;0,$C$46*0.125,$C$46))),$C$46*0.5))</f>
        <v>97.041666666666671</v>
      </c>
      <c r="CK46" s="26">
        <f t="shared" ref="CK46" si="710">IF(CJ41="T",$C$46*0.25,IF(CK50="K",IF(CH51&gt;0,$C$46*0.125,IF(CJ51&gt;0,$C$46*0.125,IF(CI51&gt;0,$C$46*0.125,$C$46))),$C$46*0.5))</f>
        <v>12.130208333333334</v>
      </c>
      <c r="CL46" s="26">
        <f t="shared" ref="CL46" si="711">IF(CK41="T",$C$46*0.25,IF(CL50="K",IF(CI51&gt;0,$C$46*0.125,IF(CK51&gt;0,$C$46*0.125,IF(CJ51&gt;0,$C$46*0.125,$C$46))),$C$46*0.5))</f>
        <v>12.130208333333334</v>
      </c>
      <c r="CM46" s="26">
        <f t="shared" ref="CM46" si="712">IF(CL41="T",$C$46*0.25,IF(CM50="K",IF(CJ51&gt;0,$C$46*0.125,IF(CL51&gt;0,$C$46*0.125,IF(CK51&gt;0,$C$46*0.125,$C$46))),$C$46*0.5))</f>
        <v>12.130208333333334</v>
      </c>
      <c r="CN46" s="26">
        <f t="shared" ref="CN46" si="713">IF(CM41="T",$C$46*0.25,IF(CN50="K",IF(CK51&gt;0,$C$46*0.125,IF(CM51&gt;0,$C$46*0.125,IF(CL51&gt;0,$C$46*0.125,$C$46))),$C$46*0.5))</f>
        <v>48.520833333333336</v>
      </c>
      <c r="CO46" s="26">
        <f t="shared" ref="CO46" si="714">IF(CN41="T",$C$46*0.25,IF(CO50="K",IF(CL51&gt;0,$C$46*0.125,IF(CN51&gt;0,$C$46*0.125,IF(CM51&gt;0,$C$46*0.125,$C$46))),$C$46*0.5))</f>
        <v>48.520833333333336</v>
      </c>
      <c r="CP46" s="26">
        <f t="shared" ref="CP46" si="715">IF(CO41="T",$C$46*0.25,IF(CP50="K",IF(CM51&gt;0,$C$46*0.125,IF(CO51&gt;0,$C$46*0.125,IF(CN51&gt;0,$C$46*0.125,$C$46))),$C$46*0.5))</f>
        <v>97.041666666666671</v>
      </c>
      <c r="CQ46" s="26">
        <f t="shared" ref="CQ46" si="716">IF(CP41="T",$C$46*0.25,IF(CQ50="K",IF(CN51&gt;0,$C$46*0.125,IF(CP51&gt;0,$C$46*0.125,IF(CO51&gt;0,$C$46*0.125,$C$46))),$C$46*0.5))</f>
        <v>12.130208333333334</v>
      </c>
      <c r="CR46" s="26">
        <f t="shared" ref="CR46" si="717">IF(CQ41="T",$C$46*0.25,IF(CR50="K",IF(CO51&gt;0,$C$46*0.125,IF(CQ51&gt;0,$C$46*0.125,IF(CP51&gt;0,$C$46*0.125,$C$46))),$C$46*0.5))</f>
        <v>12.130208333333334</v>
      </c>
      <c r="CS46" s="26">
        <f t="shared" ref="CS46" si="718">IF(CR41="T",$C$46*0.25,IF(CS50="K",IF(CP51&gt;0,$C$46*0.125,IF(CR51&gt;0,$C$46*0.125,IF(CQ51&gt;0,$C$46*0.125,$C$46))),$C$46*0.5))</f>
        <v>12.130208333333334</v>
      </c>
      <c r="CT46" s="26">
        <f t="shared" ref="CT46" si="719">IF(CS41="T",$C$46*0.25,IF(CT50="K",IF(CQ51&gt;0,$C$46*0.125,IF(CS51&gt;0,$C$46*0.125,IF(CR51&gt;0,$C$46*0.125,$C$46))),$C$46*0.5))</f>
        <v>48.520833333333336</v>
      </c>
      <c r="CU46" s="26">
        <f t="shared" ref="CU46" si="720">IF(CT41="T",$C$46*0.25,IF(CU50="K",IF(CR51&gt;0,$C$46*0.125,IF(CT51&gt;0,$C$46*0.125,IF(CS51&gt;0,$C$46*0.125,$C$46))),$C$46*0.5))</f>
        <v>24.260416666666668</v>
      </c>
      <c r="CV46" s="26">
        <f t="shared" ref="CV46" si="721">IF(CU41="T",$C$46*0.25,IF(CV50="K",IF(CS51&gt;0,$C$46*0.125,IF(CU51&gt;0,$C$46*0.125,IF(CT51&gt;0,$C$46*0.125,$C$46))),$C$46*0.5))</f>
        <v>24.260416666666668</v>
      </c>
      <c r="CW46" s="26">
        <f t="shared" ref="CW46" si="722">IF(CV41="T",$C$46*0.25,IF(CW50="K",IF(CT51&gt;0,$C$46*0.125,IF(CV51&gt;0,$C$46*0.125,IF(CU51&gt;0,$C$46*0.125,$C$46))),$C$46*0.5))</f>
        <v>24.260416666666668</v>
      </c>
      <c r="CX46" s="26">
        <f t="shared" ref="CX46" si="723">IF(CW41="T",$C$46*0.25,IF(CX50="K",IF(CU51&gt;0,$C$46*0.125,IF(CW51&gt;0,$C$46*0.125,IF(CV51&gt;0,$C$46*0.125,$C$46))),$C$46*0.5))</f>
        <v>24.260416666666668</v>
      </c>
      <c r="CY46" s="26">
        <f t="shared" ref="CY46" si="724">IF(CX41="T",$C$46*0.25,IF(CY50="K",IF(CV51&gt;0,$C$46*0.125,IF(CX51&gt;0,$C$46*0.125,IF(CW51&gt;0,$C$46*0.125,$C$46))),$C$46*0.5))</f>
        <v>24.260416666666668</v>
      </c>
      <c r="CZ46" s="26">
        <f t="shared" ref="CZ46" si="725">IF(CY41="T",$C$46*0.25,IF(CZ50="K",IF(CW51&gt;0,$C$46*0.125,IF(CY51&gt;0,$C$46*0.125,IF(CX51&gt;0,$C$46*0.125,$C$46))),$C$46*0.5))</f>
        <v>24.260416666666668</v>
      </c>
      <c r="DA46" s="26">
        <f t="shared" ref="DA46" si="726">IF(CZ41="T",$C$46*0.25,IF(DA50="K",IF(CX51&gt;0,$C$46*0.125,IF(CZ51&gt;0,$C$46*0.125,IF(CY51&gt;0,$C$46*0.125,$C$46))),$C$46*0.5))</f>
        <v>48.520833333333336</v>
      </c>
      <c r="DB46" s="26">
        <f t="shared" ref="DB46" si="727">IF(DA41="T",$C$46*0.25,IF(DB50="K",IF(CY51&gt;0,$C$46*0.125,IF(DA51&gt;0,$C$46*0.125,IF(CZ51&gt;0,$C$46*0.125,$C$46))),$C$46*0.5))</f>
        <v>97.041666666666671</v>
      </c>
      <c r="DC46" s="26">
        <f t="shared" ref="DC46" si="728">IF(DB41="T",$C$46*0.25,IF(DC50="K",IF(CZ51&gt;0,$C$46*0.125,IF(DB51&gt;0,$C$46*0.125,IF(DA51&gt;0,$C$46*0.125,$C$46))),$C$46*0.5))</f>
        <v>12.130208333333334</v>
      </c>
      <c r="DD46" s="26">
        <f t="shared" ref="DD46" si="729">IF(DC41="T",$C$46*0.25,IF(DD50="K",IF(DA51&gt;0,$C$46*0.125,IF(DC51&gt;0,$C$46*0.125,IF(DB51&gt;0,$C$46*0.125,$C$46))),$C$46*0.5))</f>
        <v>12.130208333333334</v>
      </c>
      <c r="DE46" s="26">
        <f t="shared" ref="DE46" si="730">IF(DD41="T",$C$46*0.25,IF(DE50="K",IF(DB51&gt;0,$C$46*0.125,IF(DD51&gt;0,$C$46*0.125,IF(DC51&gt;0,$C$46*0.125,$C$46))),$C$46*0.5))</f>
        <v>12.130208333333334</v>
      </c>
      <c r="DF46" s="26">
        <f t="shared" ref="DF46" si="731">IF(DE41="T",$C$46*0.25,IF(DF50="K",IF(DC51&gt;0,$C$46*0.125,IF(DE51&gt;0,$C$46*0.125,IF(DD51&gt;0,$C$46*0.125,$C$46))),$C$46*0.5))</f>
        <v>48.520833333333336</v>
      </c>
      <c r="DG46" s="26">
        <f t="shared" ref="DG46" si="732">IF(DF41="T",$C$46*0.25,IF(DG50="K",IF(DD51&gt;0,$C$46*0.125,IF(DF51&gt;0,$C$46*0.125,IF(DE51&gt;0,$C$46*0.125,$C$46))),$C$46*0.5))</f>
        <v>48.520833333333336</v>
      </c>
      <c r="DH46" s="26">
        <f t="shared" ref="DH46" si="733">IF(DG41="T",$C$46*0.25,IF(DH50="K",IF(DE51&gt;0,$C$46*0.125,IF(DG51&gt;0,$C$46*0.125,IF(DF51&gt;0,$C$46*0.125,$C$46))),$C$46*0.5))</f>
        <v>97.041666666666671</v>
      </c>
      <c r="DI46" s="26">
        <f t="shared" ref="DI46" si="734">IF(DH41="T",$C$46*0.25,IF(DI50="K",IF(DF51&gt;0,$C$46*0.125,IF(DH51&gt;0,$C$46*0.125,IF(DG51&gt;0,$C$46*0.125,$C$46))),$C$46*0.5))</f>
        <v>12.130208333333334</v>
      </c>
      <c r="DJ46" s="26">
        <f t="shared" ref="DJ46" si="735">IF(DI41="T",$C$46*0.25,IF(DJ50="K",IF(DG51&gt;0,$C$46*0.125,IF(DI51&gt;0,$C$46*0.125,IF(DH51&gt;0,$C$46*0.125,$C$46))),$C$46*0.5))</f>
        <v>12.130208333333334</v>
      </c>
      <c r="DK46" s="26">
        <f t="shared" ref="DK46" si="736">IF(DJ41="T",$C$46*0.25,IF(DK50="K",IF(DH51&gt;0,$C$46*0.125,IF(DJ51&gt;0,$C$46*0.125,IF(DI51&gt;0,$C$46*0.125,$C$46))),$C$46*0.5))</f>
        <v>12.130208333333334</v>
      </c>
      <c r="DL46" s="26">
        <f t="shared" ref="DL46" si="737">IF(DK41="T",$C$46*0.25,IF(DL50="K",IF(DI51&gt;0,$C$46*0.125,IF(DK51&gt;0,$C$46*0.125,IF(DJ51&gt;0,$C$46*0.125,$C$46))),$C$46*0.5))</f>
        <v>48.520833333333336</v>
      </c>
      <c r="DM46" s="26">
        <f t="shared" ref="DM46" si="738">IF(DL41="T",$C$46*0.25,IF(DM50="K",IF(DJ51&gt;0,$C$46*0.125,IF(DL51&gt;0,$C$46*0.125,IF(DK51&gt;0,$C$46*0.125,$C$46))),$C$46*0.5))</f>
        <v>48.520833333333336</v>
      </c>
      <c r="DN46" s="26">
        <f t="shared" ref="DN46" si="739">IF(DM41="T",$C$46*0.25,IF(DN50="K",IF(DK51&gt;0,$C$46*0.125,IF(DM51&gt;0,$C$46*0.125,IF(DL51&gt;0,$C$46*0.125,$C$46))),$C$46*0.5))</f>
        <v>97.041666666666671</v>
      </c>
      <c r="DO46" s="26">
        <f t="shared" ref="DO46" si="740">IF(DN41="T",$C$46*0.25,IF(DO50="K",IF(DL51&gt;0,$C$46*0.125,IF(DN51&gt;0,$C$46*0.125,IF(DM51&gt;0,$C$46*0.125,$C$46))),$C$46*0.5))</f>
        <v>12.130208333333334</v>
      </c>
      <c r="DP46" s="26">
        <f t="shared" ref="DP46" si="741">IF(DO41="T",$C$46*0.25,IF(DP50="K",IF(DM51&gt;0,$C$46*0.125,IF(DO51&gt;0,$C$46*0.125,IF(DN51&gt;0,$C$46*0.125,$C$46))),$C$46*0.5))</f>
        <v>12.130208333333334</v>
      </c>
      <c r="DQ46" s="26">
        <f t="shared" ref="DQ46" si="742">IF(DP41="T",$C$46*0.25,IF(DQ50="K",IF(DN51&gt;0,$C$46*0.125,IF(DP51&gt;0,$C$46*0.125,IF(DO51&gt;0,$C$46*0.125,$C$46))),$C$46*0.5))</f>
        <v>12.130208333333334</v>
      </c>
      <c r="DR46" s="26">
        <f t="shared" ref="DR46" si="743">IF(DQ41="T",$C$46*0.25,IF(DR50="K",IF(DO51&gt;0,$C$46*0.125,IF(DQ51&gt;0,$C$46*0.125,IF(DP51&gt;0,$C$46*0.125,$C$46))),$C$46*0.5))</f>
        <v>48.520833333333336</v>
      </c>
      <c r="DS46" s="26">
        <f t="shared" ref="DS46" si="744">IF(DR41="T",$C$46*0.25,IF(DS50="K",IF(DP51&gt;0,$C$46*0.125,IF(DR51&gt;0,$C$46*0.125,IF(DQ51&gt;0,$C$46*0.125,$C$46))),$C$46*0.5))</f>
        <v>24.260416666666668</v>
      </c>
      <c r="DT46" s="26">
        <f t="shared" ref="DT46" si="745">IF(DS41="T",$C$46*0.25,IF(DT50="K",IF(DQ51&gt;0,$C$46*0.125,IF(DS51&gt;0,$C$46*0.125,IF(DR51&gt;0,$C$46*0.125,$C$46))),$C$46*0.5))</f>
        <v>24.260416666666668</v>
      </c>
    </row>
    <row r="47" spans="2:124" s="11" customFormat="1" x14ac:dyDescent="0.25">
      <c r="B47" s="27" t="s">
        <v>13</v>
      </c>
      <c r="C47" s="73"/>
      <c r="D47" s="100">
        <f>IF(D41="T",54,54*2.3)</f>
        <v>54</v>
      </c>
      <c r="E47" s="28">
        <f t="shared" ref="E47:BP47" si="746">IF(E41="T",54,54*2.3)</f>
        <v>54</v>
      </c>
      <c r="F47" s="11">
        <f t="shared" si="746"/>
        <v>54</v>
      </c>
      <c r="G47" s="11">
        <f t="shared" si="746"/>
        <v>54</v>
      </c>
      <c r="H47" s="11">
        <f t="shared" si="746"/>
        <v>124.19999999999999</v>
      </c>
      <c r="I47" s="11">
        <f t="shared" si="746"/>
        <v>124.19999999999999</v>
      </c>
      <c r="J47" s="11">
        <f t="shared" si="746"/>
        <v>124.19999999999999</v>
      </c>
      <c r="K47" s="11">
        <f t="shared" si="746"/>
        <v>124.19999999999999</v>
      </c>
      <c r="L47" s="11">
        <f t="shared" si="746"/>
        <v>124.19999999999999</v>
      </c>
      <c r="M47" s="11">
        <f t="shared" si="746"/>
        <v>124.19999999999999</v>
      </c>
      <c r="N47" s="11">
        <f t="shared" si="746"/>
        <v>124.19999999999999</v>
      </c>
      <c r="O47" s="11">
        <f t="shared" si="746"/>
        <v>124.19999999999999</v>
      </c>
      <c r="P47" s="11">
        <f t="shared" si="746"/>
        <v>124.19999999999999</v>
      </c>
      <c r="Q47" s="11">
        <f t="shared" si="746"/>
        <v>124.19999999999999</v>
      </c>
      <c r="R47" s="11">
        <f t="shared" si="746"/>
        <v>124.19999999999999</v>
      </c>
      <c r="S47" s="11">
        <f t="shared" si="746"/>
        <v>124.19999999999999</v>
      </c>
      <c r="T47" s="11">
        <f t="shared" si="746"/>
        <v>124.19999999999999</v>
      </c>
      <c r="U47" s="11">
        <f t="shared" si="746"/>
        <v>124.19999999999999</v>
      </c>
      <c r="V47" s="11">
        <f t="shared" si="746"/>
        <v>124.19999999999999</v>
      </c>
      <c r="W47" s="11">
        <f t="shared" si="746"/>
        <v>124.19999999999999</v>
      </c>
      <c r="X47" s="11">
        <f t="shared" si="746"/>
        <v>124.19999999999999</v>
      </c>
      <c r="Y47" s="11">
        <f t="shared" si="746"/>
        <v>124.19999999999999</v>
      </c>
      <c r="Z47" s="11">
        <f t="shared" si="746"/>
        <v>54</v>
      </c>
      <c r="AA47" s="11">
        <f t="shared" si="746"/>
        <v>54</v>
      </c>
      <c r="AB47" s="59">
        <f t="shared" si="746"/>
        <v>54</v>
      </c>
      <c r="AC47" s="28">
        <f t="shared" si="746"/>
        <v>54</v>
      </c>
      <c r="AD47" s="11">
        <f t="shared" si="746"/>
        <v>54</v>
      </c>
      <c r="AE47" s="11">
        <f t="shared" si="746"/>
        <v>54</v>
      </c>
      <c r="AF47" s="11">
        <f t="shared" si="746"/>
        <v>124.19999999999999</v>
      </c>
      <c r="AG47" s="11">
        <f t="shared" si="746"/>
        <v>124.19999999999999</v>
      </c>
      <c r="AH47" s="11">
        <f t="shared" si="746"/>
        <v>124.19999999999999</v>
      </c>
      <c r="AI47" s="11">
        <f t="shared" si="746"/>
        <v>124.19999999999999</v>
      </c>
      <c r="AJ47" s="11">
        <f t="shared" si="746"/>
        <v>124.19999999999999</v>
      </c>
      <c r="AK47" s="11">
        <f t="shared" si="746"/>
        <v>124.19999999999999</v>
      </c>
      <c r="AL47" s="11">
        <f t="shared" si="746"/>
        <v>124.19999999999999</v>
      </c>
      <c r="AM47" s="11">
        <f t="shared" si="746"/>
        <v>124.19999999999999</v>
      </c>
      <c r="AN47" s="11">
        <f t="shared" si="746"/>
        <v>124.19999999999999</v>
      </c>
      <c r="AO47" s="11">
        <f t="shared" si="746"/>
        <v>124.19999999999999</v>
      </c>
      <c r="AP47" s="11">
        <f t="shared" si="746"/>
        <v>124.19999999999999</v>
      </c>
      <c r="AQ47" s="11">
        <f t="shared" si="746"/>
        <v>124.19999999999999</v>
      </c>
      <c r="AR47" s="11">
        <f t="shared" si="746"/>
        <v>124.19999999999999</v>
      </c>
      <c r="AS47" s="11">
        <f t="shared" si="746"/>
        <v>124.19999999999999</v>
      </c>
      <c r="AT47" s="11">
        <f t="shared" si="746"/>
        <v>124.19999999999999</v>
      </c>
      <c r="AU47" s="11">
        <f t="shared" si="746"/>
        <v>124.19999999999999</v>
      </c>
      <c r="AV47" s="11">
        <f t="shared" si="746"/>
        <v>124.19999999999999</v>
      </c>
      <c r="AW47" s="11">
        <f t="shared" si="746"/>
        <v>54</v>
      </c>
      <c r="AX47" s="11">
        <f t="shared" si="746"/>
        <v>54</v>
      </c>
      <c r="AY47" s="11">
        <f t="shared" si="746"/>
        <v>54</v>
      </c>
      <c r="AZ47" s="59">
        <f t="shared" si="746"/>
        <v>54</v>
      </c>
      <c r="BA47" s="28">
        <f t="shared" si="746"/>
        <v>54</v>
      </c>
      <c r="BB47" s="11">
        <f t="shared" si="746"/>
        <v>54</v>
      </c>
      <c r="BC47" s="11">
        <f t="shared" si="746"/>
        <v>54</v>
      </c>
      <c r="BD47" s="11">
        <f t="shared" si="746"/>
        <v>124.19999999999999</v>
      </c>
      <c r="BE47" s="11">
        <f t="shared" si="746"/>
        <v>124.19999999999999</v>
      </c>
      <c r="BF47" s="11">
        <f t="shared" si="746"/>
        <v>124.19999999999999</v>
      </c>
      <c r="BG47" s="11">
        <f t="shared" si="746"/>
        <v>124.19999999999999</v>
      </c>
      <c r="BH47" s="11">
        <f t="shared" si="746"/>
        <v>124.19999999999999</v>
      </c>
      <c r="BI47" s="11">
        <f t="shared" si="746"/>
        <v>124.19999999999999</v>
      </c>
      <c r="BJ47" s="11">
        <f t="shared" si="746"/>
        <v>124.19999999999999</v>
      </c>
      <c r="BK47" s="11">
        <f t="shared" si="746"/>
        <v>124.19999999999999</v>
      </c>
      <c r="BL47" s="11">
        <f t="shared" si="746"/>
        <v>124.19999999999999</v>
      </c>
      <c r="BM47" s="11">
        <f t="shared" si="746"/>
        <v>124.19999999999999</v>
      </c>
      <c r="BN47" s="11">
        <f t="shared" si="746"/>
        <v>124.19999999999999</v>
      </c>
      <c r="BO47" s="11">
        <f t="shared" si="746"/>
        <v>124.19999999999999</v>
      </c>
      <c r="BP47" s="11">
        <f t="shared" si="746"/>
        <v>124.19999999999999</v>
      </c>
      <c r="BQ47" s="11">
        <f t="shared" ref="BQ47:DT47" si="747">IF(BQ41="T",54,54*2.3)</f>
        <v>124.19999999999999</v>
      </c>
      <c r="BR47" s="11">
        <f t="shared" si="747"/>
        <v>124.19999999999999</v>
      </c>
      <c r="BS47" s="11">
        <f t="shared" si="747"/>
        <v>124.19999999999999</v>
      </c>
      <c r="BT47" s="11">
        <f t="shared" si="747"/>
        <v>124.19999999999999</v>
      </c>
      <c r="BU47" s="11">
        <f t="shared" si="747"/>
        <v>124.19999999999999</v>
      </c>
      <c r="BV47" s="11">
        <f t="shared" si="747"/>
        <v>54</v>
      </c>
      <c r="BW47" s="11">
        <f t="shared" si="747"/>
        <v>54</v>
      </c>
      <c r="BX47" s="59">
        <f t="shared" si="747"/>
        <v>54</v>
      </c>
      <c r="BY47" s="28">
        <f t="shared" si="747"/>
        <v>54</v>
      </c>
      <c r="BZ47" s="11">
        <f t="shared" si="747"/>
        <v>54</v>
      </c>
      <c r="CA47" s="11">
        <f t="shared" si="747"/>
        <v>54</v>
      </c>
      <c r="CB47" s="11">
        <f t="shared" si="747"/>
        <v>124.19999999999999</v>
      </c>
      <c r="CC47" s="11">
        <f t="shared" si="747"/>
        <v>124.19999999999999</v>
      </c>
      <c r="CD47" s="11">
        <f t="shared" si="747"/>
        <v>124.19999999999999</v>
      </c>
      <c r="CE47" s="11">
        <f t="shared" si="747"/>
        <v>124.19999999999999</v>
      </c>
      <c r="CF47" s="11">
        <f t="shared" si="747"/>
        <v>124.19999999999999</v>
      </c>
      <c r="CG47" s="11">
        <f t="shared" si="747"/>
        <v>124.19999999999999</v>
      </c>
      <c r="CH47" s="11">
        <f t="shared" si="747"/>
        <v>124.19999999999999</v>
      </c>
      <c r="CI47" s="11">
        <f t="shared" si="747"/>
        <v>124.19999999999999</v>
      </c>
      <c r="CJ47" s="11">
        <f t="shared" si="747"/>
        <v>124.19999999999999</v>
      </c>
      <c r="CK47" s="11">
        <f t="shared" si="747"/>
        <v>124.19999999999999</v>
      </c>
      <c r="CL47" s="11">
        <f t="shared" si="747"/>
        <v>124.19999999999999</v>
      </c>
      <c r="CM47" s="11">
        <f t="shared" si="747"/>
        <v>124.19999999999999</v>
      </c>
      <c r="CN47" s="11">
        <f t="shared" si="747"/>
        <v>124.19999999999999</v>
      </c>
      <c r="CO47" s="11">
        <f t="shared" si="747"/>
        <v>124.19999999999999</v>
      </c>
      <c r="CP47" s="11">
        <f t="shared" si="747"/>
        <v>124.19999999999999</v>
      </c>
      <c r="CQ47" s="11">
        <f t="shared" si="747"/>
        <v>124.19999999999999</v>
      </c>
      <c r="CR47" s="11">
        <f t="shared" si="747"/>
        <v>124.19999999999999</v>
      </c>
      <c r="CS47" s="11">
        <f t="shared" si="747"/>
        <v>124.19999999999999</v>
      </c>
      <c r="CT47" s="11">
        <f t="shared" si="747"/>
        <v>54</v>
      </c>
      <c r="CU47" s="11">
        <f t="shared" si="747"/>
        <v>54</v>
      </c>
      <c r="CV47" s="59">
        <f t="shared" si="747"/>
        <v>54</v>
      </c>
      <c r="CW47" s="28">
        <f t="shared" si="747"/>
        <v>54</v>
      </c>
      <c r="CX47" s="11">
        <f t="shared" si="747"/>
        <v>54</v>
      </c>
      <c r="CY47" s="11">
        <f t="shared" si="747"/>
        <v>54</v>
      </c>
      <c r="CZ47" s="11">
        <f t="shared" si="747"/>
        <v>124.19999999999999</v>
      </c>
      <c r="DA47" s="11">
        <f t="shared" si="747"/>
        <v>124.19999999999999</v>
      </c>
      <c r="DB47" s="11">
        <f t="shared" si="747"/>
        <v>124.19999999999999</v>
      </c>
      <c r="DC47" s="11">
        <f t="shared" si="747"/>
        <v>124.19999999999999</v>
      </c>
      <c r="DD47" s="11">
        <f t="shared" si="747"/>
        <v>124.19999999999999</v>
      </c>
      <c r="DE47" s="11">
        <f t="shared" si="747"/>
        <v>124.19999999999999</v>
      </c>
      <c r="DF47" s="11">
        <f t="shared" si="747"/>
        <v>124.19999999999999</v>
      </c>
      <c r="DG47" s="11">
        <f t="shared" si="747"/>
        <v>124.19999999999999</v>
      </c>
      <c r="DH47" s="11">
        <f t="shared" si="747"/>
        <v>124.19999999999999</v>
      </c>
      <c r="DI47" s="11">
        <f t="shared" si="747"/>
        <v>124.19999999999999</v>
      </c>
      <c r="DJ47" s="11">
        <f t="shared" si="747"/>
        <v>124.19999999999999</v>
      </c>
      <c r="DK47" s="11">
        <f t="shared" si="747"/>
        <v>124.19999999999999</v>
      </c>
      <c r="DL47" s="11">
        <f t="shared" si="747"/>
        <v>124.19999999999999</v>
      </c>
      <c r="DM47" s="11">
        <f t="shared" si="747"/>
        <v>124.19999999999999</v>
      </c>
      <c r="DN47" s="11">
        <f t="shared" si="747"/>
        <v>124.19999999999999</v>
      </c>
      <c r="DO47" s="11">
        <f t="shared" si="747"/>
        <v>124.19999999999999</v>
      </c>
      <c r="DP47" s="11">
        <f t="shared" si="747"/>
        <v>124.19999999999999</v>
      </c>
      <c r="DQ47" s="11">
        <f t="shared" si="747"/>
        <v>124.19999999999999</v>
      </c>
      <c r="DR47" s="11">
        <f t="shared" si="747"/>
        <v>54</v>
      </c>
      <c r="DS47" s="11">
        <f t="shared" si="747"/>
        <v>54</v>
      </c>
      <c r="DT47" s="11">
        <f t="shared" si="747"/>
        <v>54</v>
      </c>
    </row>
    <row r="48" spans="2:124" x14ac:dyDescent="0.25">
      <c r="B48" s="3" t="s">
        <v>14</v>
      </c>
      <c r="D48" s="100">
        <v>1</v>
      </c>
      <c r="E48" s="29">
        <v>1</v>
      </c>
      <c r="F48" s="30">
        <v>1</v>
      </c>
      <c r="G48" s="30">
        <v>1</v>
      </c>
      <c r="H48" s="30">
        <v>1</v>
      </c>
      <c r="I48" s="30">
        <v>1</v>
      </c>
      <c r="J48" s="30">
        <v>1</v>
      </c>
      <c r="K48" s="30">
        <v>1</v>
      </c>
      <c r="L48" s="30">
        <v>1</v>
      </c>
      <c r="M48" s="30">
        <v>1</v>
      </c>
      <c r="N48" s="30">
        <v>1</v>
      </c>
      <c r="O48" s="30">
        <v>1</v>
      </c>
      <c r="P48" s="30">
        <v>1</v>
      </c>
      <c r="Q48" s="30">
        <v>1</v>
      </c>
      <c r="R48" s="30">
        <v>1</v>
      </c>
      <c r="S48" s="30">
        <v>1</v>
      </c>
      <c r="T48" s="30">
        <v>1</v>
      </c>
      <c r="U48" s="30">
        <v>1</v>
      </c>
      <c r="V48" s="30">
        <v>1</v>
      </c>
      <c r="W48" s="30">
        <v>1</v>
      </c>
      <c r="X48" s="30">
        <v>1</v>
      </c>
      <c r="Y48" s="30">
        <v>1</v>
      </c>
      <c r="Z48" s="30">
        <v>1</v>
      </c>
      <c r="AA48" s="30">
        <v>1</v>
      </c>
      <c r="AB48" s="60">
        <v>1</v>
      </c>
      <c r="AC48" s="29">
        <v>1</v>
      </c>
      <c r="AD48" s="30">
        <v>1</v>
      </c>
      <c r="AE48" s="30">
        <v>1</v>
      </c>
      <c r="AF48" s="30">
        <v>1</v>
      </c>
      <c r="AG48" s="30">
        <v>1</v>
      </c>
      <c r="AH48" s="30">
        <v>1</v>
      </c>
      <c r="AI48" s="30">
        <v>1</v>
      </c>
      <c r="AJ48" s="30">
        <v>1</v>
      </c>
      <c r="AK48" s="30">
        <v>1</v>
      </c>
      <c r="AL48" s="30">
        <v>1</v>
      </c>
      <c r="AM48" s="30">
        <v>1</v>
      </c>
      <c r="AN48" s="30">
        <v>1</v>
      </c>
      <c r="AO48" s="30">
        <v>1</v>
      </c>
      <c r="AP48" s="30">
        <v>1</v>
      </c>
      <c r="AQ48" s="30">
        <v>1</v>
      </c>
      <c r="AR48" s="30">
        <v>1</v>
      </c>
      <c r="AS48" s="30">
        <v>1</v>
      </c>
      <c r="AT48" s="30">
        <v>1</v>
      </c>
      <c r="AU48" s="30">
        <v>1</v>
      </c>
      <c r="AV48" s="30">
        <v>1</v>
      </c>
      <c r="AW48" s="30">
        <v>1</v>
      </c>
      <c r="AX48" s="30">
        <v>1</v>
      </c>
      <c r="AY48" s="30">
        <v>1</v>
      </c>
      <c r="AZ48" s="60">
        <v>1</v>
      </c>
      <c r="BA48" s="29">
        <v>1</v>
      </c>
      <c r="BB48" s="30">
        <v>1</v>
      </c>
      <c r="BC48" s="30">
        <v>1</v>
      </c>
      <c r="BD48" s="30">
        <v>1</v>
      </c>
      <c r="BE48" s="30">
        <v>1</v>
      </c>
      <c r="BF48" s="30">
        <v>1</v>
      </c>
      <c r="BG48" s="30">
        <v>1</v>
      </c>
      <c r="BH48" s="30">
        <v>1</v>
      </c>
      <c r="BI48" s="30">
        <v>1</v>
      </c>
      <c r="BJ48" s="30">
        <v>1</v>
      </c>
      <c r="BK48" s="30">
        <v>1</v>
      </c>
      <c r="BL48" s="30">
        <v>1</v>
      </c>
      <c r="BM48" s="30">
        <v>1</v>
      </c>
      <c r="BN48" s="30">
        <v>1</v>
      </c>
      <c r="BO48" s="30">
        <v>1</v>
      </c>
      <c r="BP48" s="30">
        <v>1</v>
      </c>
      <c r="BQ48" s="30">
        <v>1</v>
      </c>
      <c r="BR48" s="30">
        <v>1</v>
      </c>
      <c r="BS48" s="30">
        <v>1</v>
      </c>
      <c r="BT48" s="30">
        <v>1</v>
      </c>
      <c r="BU48" s="30">
        <v>1</v>
      </c>
      <c r="BV48" s="30">
        <v>1</v>
      </c>
      <c r="BW48" s="30">
        <v>1</v>
      </c>
      <c r="BX48" s="60">
        <v>1</v>
      </c>
      <c r="BY48" s="29">
        <v>1</v>
      </c>
      <c r="BZ48" s="30">
        <v>1</v>
      </c>
      <c r="CA48" s="30">
        <v>1</v>
      </c>
      <c r="CB48" s="30">
        <v>1</v>
      </c>
      <c r="CC48" s="30">
        <v>1</v>
      </c>
      <c r="CD48" s="30">
        <v>1</v>
      </c>
      <c r="CE48" s="30">
        <v>1</v>
      </c>
      <c r="CF48" s="30">
        <v>1</v>
      </c>
      <c r="CG48" s="30">
        <v>1</v>
      </c>
      <c r="CH48" s="30">
        <v>1</v>
      </c>
      <c r="CI48" s="30">
        <v>1</v>
      </c>
      <c r="CJ48" s="30">
        <v>1</v>
      </c>
      <c r="CK48" s="30">
        <v>1</v>
      </c>
      <c r="CL48" s="30">
        <v>1</v>
      </c>
      <c r="CM48" s="30">
        <v>1</v>
      </c>
      <c r="CN48" s="30">
        <v>1</v>
      </c>
      <c r="CO48" s="30">
        <v>1</v>
      </c>
      <c r="CP48" s="30">
        <v>1</v>
      </c>
      <c r="CQ48" s="30">
        <v>1</v>
      </c>
      <c r="CR48" s="30">
        <v>1</v>
      </c>
      <c r="CS48" s="30">
        <v>1</v>
      </c>
      <c r="CT48" s="30">
        <v>1</v>
      </c>
      <c r="CU48" s="30">
        <v>1</v>
      </c>
      <c r="CV48" s="60">
        <v>1</v>
      </c>
      <c r="CW48" s="29">
        <v>1</v>
      </c>
      <c r="CX48" s="30">
        <v>1</v>
      </c>
      <c r="CY48" s="30">
        <v>1</v>
      </c>
      <c r="CZ48" s="30">
        <v>1</v>
      </c>
      <c r="DA48" s="30">
        <v>1</v>
      </c>
      <c r="DB48" s="30">
        <v>1</v>
      </c>
      <c r="DC48" s="30">
        <v>1</v>
      </c>
      <c r="DD48" s="30">
        <v>1</v>
      </c>
      <c r="DE48" s="30">
        <v>1</v>
      </c>
      <c r="DF48" s="30">
        <v>1</v>
      </c>
      <c r="DG48" s="30">
        <v>1</v>
      </c>
      <c r="DH48" s="30">
        <v>1</v>
      </c>
      <c r="DI48" s="30">
        <v>1</v>
      </c>
      <c r="DJ48" s="30">
        <v>1</v>
      </c>
      <c r="DK48" s="30">
        <v>1</v>
      </c>
      <c r="DL48" s="30">
        <v>1</v>
      </c>
      <c r="DM48" s="30">
        <v>1</v>
      </c>
      <c r="DN48" s="30">
        <v>1</v>
      </c>
      <c r="DO48" s="30">
        <v>1</v>
      </c>
      <c r="DP48" s="30">
        <v>1</v>
      </c>
      <c r="DQ48" s="30">
        <v>1</v>
      </c>
      <c r="DR48" s="30">
        <v>1</v>
      </c>
      <c r="DS48" s="30">
        <v>1</v>
      </c>
      <c r="DT48" s="30">
        <v>1</v>
      </c>
    </row>
    <row r="49" spans="2:124" x14ac:dyDescent="0.25">
      <c r="B49" s="3" t="s">
        <v>145</v>
      </c>
      <c r="D49" s="100">
        <f t="shared" ref="D49:AI49" si="748">D45-(D46*D48)-D47</f>
        <v>1474.4095833333333</v>
      </c>
      <c r="E49" s="18">
        <f t="shared" si="748"/>
        <v>1371.8887499999998</v>
      </c>
      <c r="F49" s="24">
        <f t="shared" si="748"/>
        <v>1269.3679166666664</v>
      </c>
      <c r="G49" s="24">
        <f t="shared" si="748"/>
        <v>1166.8470833333329</v>
      </c>
      <c r="H49" s="24">
        <f t="shared" si="748"/>
        <v>994.12624999999935</v>
      </c>
      <c r="I49" s="24">
        <f t="shared" si="748"/>
        <v>772.88458333333256</v>
      </c>
      <c r="J49" s="24">
        <f t="shared" si="748"/>
        <v>454.60124999999931</v>
      </c>
      <c r="K49" s="24">
        <f t="shared" si="748"/>
        <v>2274.2595208333332</v>
      </c>
      <c r="L49" s="24">
        <f t="shared" si="748"/>
        <v>2219.5190416666665</v>
      </c>
      <c r="M49" s="24">
        <f t="shared" si="748"/>
        <v>2164.7785624999997</v>
      </c>
      <c r="N49" s="24">
        <f t="shared" si="748"/>
        <v>2037.2568333333327</v>
      </c>
      <c r="O49" s="24">
        <f t="shared" si="748"/>
        <v>1909.7351041666661</v>
      </c>
      <c r="P49" s="24">
        <f t="shared" si="748"/>
        <v>1685.1717083333326</v>
      </c>
      <c r="Q49" s="24">
        <f t="shared" si="748"/>
        <v>1460.6083124999991</v>
      </c>
      <c r="R49" s="24">
        <f t="shared" si="748"/>
        <v>2223.9591677083336</v>
      </c>
      <c r="S49" s="24">
        <f t="shared" si="748"/>
        <v>2118.9183354166667</v>
      </c>
      <c r="T49" s="24">
        <f t="shared" si="748"/>
        <v>1941.0962531249995</v>
      </c>
      <c r="U49" s="24">
        <f t="shared" si="748"/>
        <v>1763.2741708333331</v>
      </c>
      <c r="V49" s="24">
        <f t="shared" si="748"/>
        <v>1488.4104218749997</v>
      </c>
      <c r="W49" s="24">
        <f t="shared" si="748"/>
        <v>2222.5690622395832</v>
      </c>
      <c r="X49" s="24">
        <f t="shared" si="748"/>
        <v>2116.1381244791664</v>
      </c>
      <c r="Y49" s="24">
        <f t="shared" si="748"/>
        <v>2009.7071867187494</v>
      </c>
      <c r="Z49" s="24">
        <f t="shared" si="748"/>
        <v>1900.6949989583331</v>
      </c>
      <c r="AA49" s="24">
        <f t="shared" si="748"/>
        <v>1840.2036445312497</v>
      </c>
      <c r="AB49" s="55">
        <f t="shared" si="748"/>
        <v>1779.7122901041662</v>
      </c>
      <c r="AC49" s="18">
        <f t="shared" si="748"/>
        <v>1719.2209356770827</v>
      </c>
      <c r="AD49" s="24">
        <f t="shared" si="748"/>
        <v>1658.7295812499992</v>
      </c>
      <c r="AE49" s="24">
        <f t="shared" si="748"/>
        <v>1598.2382268229157</v>
      </c>
      <c r="AF49" s="24">
        <f t="shared" si="748"/>
        <v>1467.5468723958322</v>
      </c>
      <c r="AG49" s="24">
        <f t="shared" si="748"/>
        <v>1288.3346846354157</v>
      </c>
      <c r="AH49" s="24">
        <f t="shared" si="748"/>
        <v>1012.0808302083321</v>
      </c>
      <c r="AI49" s="24">
        <f t="shared" si="748"/>
        <v>2246.3855418229168</v>
      </c>
      <c r="AJ49" s="24">
        <f t="shared" ref="AJ49:BO49" si="749">AJ45-(AJ46*AJ48)-AJ47</f>
        <v>2163.7710836458336</v>
      </c>
      <c r="AK49" s="24">
        <f t="shared" si="749"/>
        <v>2081.1566254687505</v>
      </c>
      <c r="AL49" s="24">
        <f t="shared" si="749"/>
        <v>1925.7609172916671</v>
      </c>
      <c r="AM49" s="24">
        <f t="shared" si="749"/>
        <v>1770.3652091145839</v>
      </c>
      <c r="AN49" s="24">
        <f t="shared" si="749"/>
        <v>1517.9278342708337</v>
      </c>
      <c r="AO49" s="24">
        <f t="shared" si="749"/>
        <v>2221.0931916197915</v>
      </c>
      <c r="AP49" s="24">
        <f t="shared" si="749"/>
        <v>2113.1863832395829</v>
      </c>
      <c r="AQ49" s="24">
        <f t="shared" si="749"/>
        <v>2005.2795748593742</v>
      </c>
      <c r="AR49" s="24">
        <f t="shared" si="749"/>
        <v>1824.5915164791659</v>
      </c>
      <c r="AS49" s="24">
        <f t="shared" si="749"/>
        <v>1643.9034580989576</v>
      </c>
      <c r="AT49" s="24">
        <f t="shared" si="749"/>
        <v>1366.1737330520823</v>
      </c>
      <c r="AU49" s="24">
        <f t="shared" si="749"/>
        <v>2228.6808966807293</v>
      </c>
      <c r="AV49" s="24">
        <f t="shared" si="749"/>
        <v>2128.3617933614582</v>
      </c>
      <c r="AW49" s="24">
        <f t="shared" si="749"/>
        <v>2098.242690042187</v>
      </c>
      <c r="AX49" s="24">
        <f t="shared" si="749"/>
        <v>2043.8631700562496</v>
      </c>
      <c r="AY49" s="24">
        <f t="shared" si="749"/>
        <v>1989.483650070312</v>
      </c>
      <c r="AZ49" s="55">
        <f t="shared" si="749"/>
        <v>1935.1041300843744</v>
      </c>
      <c r="BA49" s="18">
        <f t="shared" si="749"/>
        <v>1880.7246100984369</v>
      </c>
      <c r="BB49" s="24">
        <f t="shared" si="749"/>
        <v>1826.3450901124993</v>
      </c>
      <c r="BC49" s="24">
        <f t="shared" si="749"/>
        <v>1771.9655701265617</v>
      </c>
      <c r="BD49" s="24">
        <f t="shared" si="749"/>
        <v>1647.3860501406241</v>
      </c>
      <c r="BE49" s="24">
        <f t="shared" si="749"/>
        <v>1474.2856968213534</v>
      </c>
      <c r="BF49" s="24">
        <f t="shared" si="749"/>
        <v>1204.1436768354158</v>
      </c>
      <c r="BG49" s="24">
        <f t="shared" si="749"/>
        <v>2236.7823994915625</v>
      </c>
      <c r="BH49" s="24">
        <f t="shared" si="749"/>
        <v>2144.564798983125</v>
      </c>
      <c r="BI49" s="24">
        <f t="shared" si="749"/>
        <v>2052.3471984746875</v>
      </c>
      <c r="BJ49" s="24">
        <f t="shared" si="749"/>
        <v>1887.34834796625</v>
      </c>
      <c r="BK49" s="24">
        <f t="shared" si="749"/>
        <v>1722.3494974578127</v>
      </c>
      <c r="BL49" s="24">
        <f t="shared" si="749"/>
        <v>1460.3089802827085</v>
      </c>
      <c r="BM49" s="24">
        <f t="shared" si="749"/>
        <v>2223.9741343191977</v>
      </c>
      <c r="BN49" s="24">
        <f t="shared" si="749"/>
        <v>2118.9482686383953</v>
      </c>
      <c r="BO49" s="24">
        <f t="shared" si="749"/>
        <v>2013.9224029575928</v>
      </c>
      <c r="BP49" s="24">
        <f t="shared" ref="BP49:CU49" si="750">BP45-(BP46*BP48)-BP47</f>
        <v>1836.1152872767909</v>
      </c>
      <c r="BQ49" s="24">
        <f t="shared" si="750"/>
        <v>1658.3081715959891</v>
      </c>
      <c r="BR49" s="24">
        <f t="shared" si="750"/>
        <v>1383.4593892485202</v>
      </c>
      <c r="BS49" s="24">
        <f t="shared" si="750"/>
        <v>2227.8166138709075</v>
      </c>
      <c r="BT49" s="24">
        <f t="shared" si="750"/>
        <v>2126.6332277418146</v>
      </c>
      <c r="BU49" s="24">
        <f t="shared" si="750"/>
        <v>2025.4498416127215</v>
      </c>
      <c r="BV49" s="24">
        <f t="shared" si="750"/>
        <v>1921.685205483629</v>
      </c>
      <c r="BW49" s="24">
        <f t="shared" si="750"/>
        <v>1866.4414026878696</v>
      </c>
      <c r="BX49" s="55">
        <f t="shared" si="750"/>
        <v>1811.1975998921102</v>
      </c>
      <c r="BY49" s="18">
        <f t="shared" si="750"/>
        <v>1755.9537970963509</v>
      </c>
      <c r="BZ49" s="24">
        <f t="shared" si="750"/>
        <v>1700.7099943005915</v>
      </c>
      <c r="CA49" s="24">
        <f t="shared" si="750"/>
        <v>1645.4661915048321</v>
      </c>
      <c r="CB49" s="24">
        <f t="shared" si="750"/>
        <v>1520.0223887090726</v>
      </c>
      <c r="CC49" s="24">
        <f t="shared" si="750"/>
        <v>1346.0577525799802</v>
      </c>
      <c r="CD49" s="24">
        <f t="shared" si="750"/>
        <v>1075.0514497842207</v>
      </c>
      <c r="CE49" s="24">
        <f t="shared" si="750"/>
        <v>2243.2370108441219</v>
      </c>
      <c r="CF49" s="24">
        <f t="shared" si="750"/>
        <v>2157.4740216882442</v>
      </c>
      <c r="CG49" s="24">
        <f t="shared" si="750"/>
        <v>2071.7110325323665</v>
      </c>
      <c r="CH49" s="24">
        <f t="shared" si="750"/>
        <v>1913.1667933764888</v>
      </c>
      <c r="CI49" s="24">
        <f t="shared" si="750"/>
        <v>1754.6225542206112</v>
      </c>
      <c r="CJ49" s="24">
        <f t="shared" si="750"/>
        <v>1499.0366483980665</v>
      </c>
      <c r="CK49" s="24">
        <f t="shared" si="750"/>
        <v>2222.0377509134296</v>
      </c>
      <c r="CL49" s="24">
        <f t="shared" si="750"/>
        <v>2115.0755018268596</v>
      </c>
      <c r="CM49" s="24">
        <f t="shared" si="750"/>
        <v>2008.1132527402895</v>
      </c>
      <c r="CN49" s="24">
        <f t="shared" si="750"/>
        <v>1828.3697536537195</v>
      </c>
      <c r="CO49" s="24">
        <f t="shared" si="750"/>
        <v>1648.6262545671495</v>
      </c>
      <c r="CP49" s="24">
        <f t="shared" si="750"/>
        <v>1371.8410888139126</v>
      </c>
      <c r="CQ49" s="24">
        <f t="shared" si="750"/>
        <v>2228.3975288926376</v>
      </c>
      <c r="CR49" s="24">
        <f t="shared" si="750"/>
        <v>2127.7950577852753</v>
      </c>
      <c r="CS49" s="24">
        <f t="shared" si="750"/>
        <v>2027.1925866779127</v>
      </c>
      <c r="CT49" s="24">
        <f t="shared" si="750"/>
        <v>1924.0088655705504</v>
      </c>
      <c r="CU49" s="24">
        <f t="shared" si="750"/>
        <v>1869.3459777965213</v>
      </c>
      <c r="CV49" s="55">
        <f t="shared" ref="CV49:DT49" si="751">CV45-(CV46*CV48)-CV47</f>
        <v>1814.6830900224923</v>
      </c>
      <c r="CW49" s="18">
        <f t="shared" si="751"/>
        <v>1760.0202022484632</v>
      </c>
      <c r="CX49" s="24">
        <f t="shared" si="751"/>
        <v>1705.3573144744341</v>
      </c>
      <c r="CY49" s="24">
        <f t="shared" si="751"/>
        <v>1650.6944267004051</v>
      </c>
      <c r="CZ49" s="24">
        <f t="shared" si="751"/>
        <v>1525.831538926376</v>
      </c>
      <c r="DA49" s="24">
        <f t="shared" si="751"/>
        <v>1352.4478178190138</v>
      </c>
      <c r="DB49" s="24">
        <f t="shared" si="751"/>
        <v>1082.0224300449847</v>
      </c>
      <c r="DC49" s="24">
        <f t="shared" si="751"/>
        <v>2242.888461831084</v>
      </c>
      <c r="DD49" s="24">
        <f t="shared" si="751"/>
        <v>2156.776923662168</v>
      </c>
      <c r="DE49" s="24">
        <f t="shared" si="751"/>
        <v>2070.665385493252</v>
      </c>
      <c r="DF49" s="24">
        <f t="shared" si="751"/>
        <v>1911.7725973243359</v>
      </c>
      <c r="DG49" s="24">
        <f t="shared" si="751"/>
        <v>1752.8798091554202</v>
      </c>
      <c r="DH49" s="24">
        <f t="shared" si="751"/>
        <v>1496.9453543198374</v>
      </c>
      <c r="DI49" s="24">
        <f t="shared" si="751"/>
        <v>2222.1423156173414</v>
      </c>
      <c r="DJ49" s="24">
        <f t="shared" si="751"/>
        <v>2115.2846312346828</v>
      </c>
      <c r="DK49" s="24">
        <f t="shared" si="751"/>
        <v>2008.426946852024</v>
      </c>
      <c r="DL49" s="24">
        <f t="shared" si="751"/>
        <v>1828.7880124693654</v>
      </c>
      <c r="DM49" s="24">
        <f t="shared" si="751"/>
        <v>1649.149078086707</v>
      </c>
      <c r="DN49" s="24">
        <f t="shared" si="751"/>
        <v>1372.4684770373817</v>
      </c>
      <c r="DO49" s="24">
        <f t="shared" si="751"/>
        <v>2228.3661594814639</v>
      </c>
      <c r="DP49" s="24">
        <f t="shared" si="751"/>
        <v>2127.7323189629278</v>
      </c>
      <c r="DQ49" s="24">
        <f t="shared" si="751"/>
        <v>2027.0984784443915</v>
      </c>
      <c r="DR49" s="24">
        <f t="shared" si="751"/>
        <v>1923.8833879258559</v>
      </c>
      <c r="DS49" s="24">
        <f t="shared" si="751"/>
        <v>1869.1891307406534</v>
      </c>
      <c r="DT49" s="24">
        <f t="shared" si="751"/>
        <v>1814.4948735554508</v>
      </c>
    </row>
    <row r="50" spans="2:124" x14ac:dyDescent="0.25">
      <c r="B50" s="3" t="s">
        <v>0</v>
      </c>
      <c r="D50" s="100"/>
      <c r="E50" s="18"/>
      <c r="F50" s="24"/>
      <c r="G50" s="24"/>
      <c r="H50" s="24"/>
      <c r="I50" s="24"/>
      <c r="J50" s="49" t="s">
        <v>36</v>
      </c>
      <c r="K50" s="49" t="s">
        <v>36</v>
      </c>
      <c r="L50" s="49" t="s">
        <v>36</v>
      </c>
      <c r="M50" s="49" t="s">
        <v>36</v>
      </c>
      <c r="N50" s="24"/>
      <c r="O50" s="24"/>
      <c r="P50" s="49" t="s">
        <v>36</v>
      </c>
      <c r="Q50" s="49" t="s">
        <v>36</v>
      </c>
      <c r="R50" s="49" t="s">
        <v>36</v>
      </c>
      <c r="S50" s="49" t="s">
        <v>36</v>
      </c>
      <c r="T50" s="24"/>
      <c r="U50" s="24"/>
      <c r="V50" s="49" t="s">
        <v>36</v>
      </c>
      <c r="W50" s="49" t="s">
        <v>36</v>
      </c>
      <c r="X50" s="49" t="s">
        <v>36</v>
      </c>
      <c r="Y50" s="49" t="s">
        <v>36</v>
      </c>
      <c r="Z50" s="24"/>
      <c r="AA50" s="24"/>
      <c r="AB50" s="55"/>
      <c r="AC50" s="18"/>
      <c r="AD50" s="24"/>
      <c r="AE50" s="24"/>
      <c r="AF50" s="24"/>
      <c r="AG50" s="24"/>
      <c r="AH50" s="49" t="s">
        <v>36</v>
      </c>
      <c r="AI50" s="49" t="s">
        <v>36</v>
      </c>
      <c r="AJ50" s="49" t="s">
        <v>36</v>
      </c>
      <c r="AK50" s="49" t="s">
        <v>36</v>
      </c>
      <c r="AL50" s="24"/>
      <c r="AM50" s="24"/>
      <c r="AN50" s="49" t="s">
        <v>36</v>
      </c>
      <c r="AO50" s="49" t="s">
        <v>36</v>
      </c>
      <c r="AP50" s="49" t="s">
        <v>36</v>
      </c>
      <c r="AQ50" s="49" t="s">
        <v>36</v>
      </c>
      <c r="AR50" s="24"/>
      <c r="AS50" s="24"/>
      <c r="AT50" s="49" t="s">
        <v>36</v>
      </c>
      <c r="AU50" s="49" t="s">
        <v>36</v>
      </c>
      <c r="AV50" s="49" t="s">
        <v>36</v>
      </c>
      <c r="AW50" s="49" t="s">
        <v>36</v>
      </c>
      <c r="AX50" s="24"/>
      <c r="AY50" s="24"/>
      <c r="AZ50" s="55"/>
      <c r="BA50" s="18"/>
      <c r="BB50" s="24"/>
      <c r="BC50" s="24"/>
      <c r="BD50" s="24"/>
      <c r="BE50" s="24"/>
      <c r="BF50" s="49" t="s">
        <v>36</v>
      </c>
      <c r="BG50" s="49" t="s">
        <v>36</v>
      </c>
      <c r="BH50" s="49" t="s">
        <v>36</v>
      </c>
      <c r="BI50" s="49" t="s">
        <v>36</v>
      </c>
      <c r="BJ50" s="24"/>
      <c r="BK50" s="24"/>
      <c r="BL50" s="49" t="s">
        <v>36</v>
      </c>
      <c r="BM50" s="49" t="s">
        <v>36</v>
      </c>
      <c r="BN50" s="49" t="s">
        <v>36</v>
      </c>
      <c r="BO50" s="49" t="s">
        <v>36</v>
      </c>
      <c r="BP50" s="24"/>
      <c r="BQ50" s="24"/>
      <c r="BR50" s="49" t="s">
        <v>36</v>
      </c>
      <c r="BS50" s="49" t="s">
        <v>36</v>
      </c>
      <c r="BT50" s="49" t="s">
        <v>36</v>
      </c>
      <c r="BU50" s="49" t="s">
        <v>36</v>
      </c>
      <c r="BV50" s="24"/>
      <c r="BW50" s="24"/>
      <c r="BX50" s="55"/>
      <c r="BY50" s="18"/>
      <c r="BZ50" s="24"/>
      <c r="CA50" s="24"/>
      <c r="CB50" s="24"/>
      <c r="CC50" s="24"/>
      <c r="CD50" s="49" t="s">
        <v>36</v>
      </c>
      <c r="CE50" s="49" t="s">
        <v>36</v>
      </c>
      <c r="CF50" s="49" t="s">
        <v>36</v>
      </c>
      <c r="CG50" s="49" t="s">
        <v>36</v>
      </c>
      <c r="CH50" s="24"/>
      <c r="CI50" s="24"/>
      <c r="CJ50" s="49" t="s">
        <v>36</v>
      </c>
      <c r="CK50" s="49" t="s">
        <v>36</v>
      </c>
      <c r="CL50" s="49" t="s">
        <v>36</v>
      </c>
      <c r="CM50" s="49" t="s">
        <v>36</v>
      </c>
      <c r="CN50" s="24"/>
      <c r="CO50" s="24"/>
      <c r="CP50" s="49" t="s">
        <v>36</v>
      </c>
      <c r="CQ50" s="49" t="s">
        <v>36</v>
      </c>
      <c r="CR50" s="49" t="s">
        <v>36</v>
      </c>
      <c r="CS50" s="49" t="s">
        <v>36</v>
      </c>
      <c r="CT50" s="24"/>
      <c r="CU50" s="24"/>
      <c r="CV50" s="55"/>
      <c r="CW50" s="18"/>
      <c r="CX50" s="24"/>
      <c r="CY50" s="24"/>
      <c r="CZ50" s="24"/>
      <c r="DA50" s="24"/>
      <c r="DB50" s="49" t="s">
        <v>36</v>
      </c>
      <c r="DC50" s="49" t="s">
        <v>36</v>
      </c>
      <c r="DD50" s="49" t="s">
        <v>36</v>
      </c>
      <c r="DE50" s="49" t="s">
        <v>36</v>
      </c>
      <c r="DF50" s="24"/>
      <c r="DG50" s="24"/>
      <c r="DH50" s="49" t="s">
        <v>36</v>
      </c>
      <c r="DI50" s="49" t="s">
        <v>36</v>
      </c>
      <c r="DJ50" s="49" t="s">
        <v>36</v>
      </c>
      <c r="DK50" s="49" t="s">
        <v>36</v>
      </c>
      <c r="DL50" s="24"/>
      <c r="DM50" s="24"/>
      <c r="DN50" s="49" t="s">
        <v>36</v>
      </c>
      <c r="DO50" s="49" t="s">
        <v>36</v>
      </c>
      <c r="DP50" s="49" t="s">
        <v>36</v>
      </c>
      <c r="DQ50" s="49" t="s">
        <v>36</v>
      </c>
      <c r="DR50" s="24"/>
      <c r="DS50" s="24"/>
      <c r="DT50" s="55"/>
    </row>
    <row r="51" spans="2:124" s="13" customFormat="1" x14ac:dyDescent="0.25">
      <c r="B51" s="40" t="s">
        <v>146</v>
      </c>
      <c r="C51" s="80"/>
      <c r="D51" s="107"/>
      <c r="E51" s="13">
        <f>IF(D41="B",IF(E50="K",IF(D51=0,IF(C51=0,IF(E49&lt;=776.33,2329-E49,IF(E49&lt;=1552.67,2329-E49,0)),0),0),0),0)</f>
        <v>0</v>
      </c>
      <c r="F51" s="13">
        <f t="shared" ref="F51:BQ51" si="752">IF(E41="B",IF(F50="K",IF(E51=0,IF(D51=0,IF(F49&lt;=776.33,2329-F49,IF(F49&lt;=1552.67,2329-F49,0)),0),0),0),0)</f>
        <v>0</v>
      </c>
      <c r="G51" s="13">
        <f t="shared" si="752"/>
        <v>0</v>
      </c>
      <c r="H51" s="13">
        <f>IF(G41="B",IF(H50="K",IF(G51=0,IF(F51=0,IF(H49&lt;=776.33,2329-H49,IF(H49&lt;=1552.67,2329-H49,0)),0),0),0),0)</f>
        <v>0</v>
      </c>
      <c r="I51" s="13">
        <f t="shared" si="752"/>
        <v>0</v>
      </c>
      <c r="J51" s="52">
        <f t="shared" si="752"/>
        <v>1874.3987500000007</v>
      </c>
      <c r="K51" s="52">
        <f t="shared" si="752"/>
        <v>0</v>
      </c>
      <c r="L51" s="52">
        <f t="shared" si="752"/>
        <v>0</v>
      </c>
      <c r="M51" s="52">
        <f t="shared" si="752"/>
        <v>0</v>
      </c>
      <c r="N51" s="18">
        <f t="shared" si="752"/>
        <v>0</v>
      </c>
      <c r="O51" s="18">
        <f t="shared" si="752"/>
        <v>0</v>
      </c>
      <c r="P51" s="52">
        <f t="shared" si="752"/>
        <v>0</v>
      </c>
      <c r="Q51" s="52">
        <f t="shared" si="752"/>
        <v>868.3916875000009</v>
      </c>
      <c r="R51" s="52">
        <f t="shared" si="752"/>
        <v>0</v>
      </c>
      <c r="S51" s="52">
        <f t="shared" si="752"/>
        <v>0</v>
      </c>
      <c r="T51" s="18">
        <f t="shared" si="752"/>
        <v>0</v>
      </c>
      <c r="U51" s="18">
        <f t="shared" si="752"/>
        <v>0</v>
      </c>
      <c r="V51" s="52">
        <f t="shared" si="752"/>
        <v>840.58957812500034</v>
      </c>
      <c r="W51" s="52">
        <f t="shared" si="752"/>
        <v>0</v>
      </c>
      <c r="X51" s="52">
        <f t="shared" si="752"/>
        <v>0</v>
      </c>
      <c r="Y51" s="52">
        <f t="shared" si="752"/>
        <v>0</v>
      </c>
      <c r="Z51" s="18">
        <f t="shared" si="752"/>
        <v>0</v>
      </c>
      <c r="AA51" s="18">
        <f t="shared" si="752"/>
        <v>0</v>
      </c>
      <c r="AB51" s="18">
        <f t="shared" si="752"/>
        <v>0</v>
      </c>
      <c r="AC51" s="13">
        <f t="shared" si="752"/>
        <v>0</v>
      </c>
      <c r="AD51" s="13">
        <f t="shared" si="752"/>
        <v>0</v>
      </c>
      <c r="AE51" s="13">
        <f t="shared" si="752"/>
        <v>0</v>
      </c>
      <c r="AF51" s="13">
        <f t="shared" si="752"/>
        <v>0</v>
      </c>
      <c r="AG51" s="13">
        <f t="shared" si="752"/>
        <v>0</v>
      </c>
      <c r="AH51" s="52">
        <f t="shared" si="752"/>
        <v>1316.9191697916679</v>
      </c>
      <c r="AI51" s="52">
        <f t="shared" si="752"/>
        <v>0</v>
      </c>
      <c r="AJ51" s="52">
        <f t="shared" si="752"/>
        <v>0</v>
      </c>
      <c r="AK51" s="52">
        <f t="shared" si="752"/>
        <v>0</v>
      </c>
      <c r="AL51" s="18">
        <f t="shared" si="752"/>
        <v>0</v>
      </c>
      <c r="AM51" s="18">
        <f t="shared" si="752"/>
        <v>0</v>
      </c>
      <c r="AN51" s="52">
        <f t="shared" si="752"/>
        <v>811.07216572916627</v>
      </c>
      <c r="AO51" s="52">
        <f t="shared" si="752"/>
        <v>0</v>
      </c>
      <c r="AP51" s="52">
        <f t="shared" si="752"/>
        <v>0</v>
      </c>
      <c r="AQ51" s="52">
        <f t="shared" si="752"/>
        <v>0</v>
      </c>
      <c r="AR51" s="18">
        <f t="shared" si="752"/>
        <v>0</v>
      </c>
      <c r="AS51" s="18">
        <f t="shared" si="752"/>
        <v>0</v>
      </c>
      <c r="AT51" s="52">
        <f t="shared" si="752"/>
        <v>962.8262669479177</v>
      </c>
      <c r="AU51" s="52">
        <f t="shared" si="752"/>
        <v>0</v>
      </c>
      <c r="AV51" s="52">
        <f t="shared" si="752"/>
        <v>0</v>
      </c>
      <c r="AW51" s="52">
        <f t="shared" si="752"/>
        <v>0</v>
      </c>
      <c r="AX51" s="18">
        <f t="shared" si="752"/>
        <v>0</v>
      </c>
      <c r="AY51" s="18">
        <f t="shared" si="752"/>
        <v>0</v>
      </c>
      <c r="AZ51" s="18">
        <f t="shared" si="752"/>
        <v>0</v>
      </c>
      <c r="BA51" s="13">
        <f t="shared" si="752"/>
        <v>0</v>
      </c>
      <c r="BB51" s="13">
        <f t="shared" si="752"/>
        <v>0</v>
      </c>
      <c r="BC51" s="13">
        <f t="shared" si="752"/>
        <v>0</v>
      </c>
      <c r="BD51" s="13">
        <f t="shared" si="752"/>
        <v>0</v>
      </c>
      <c r="BE51" s="13">
        <f t="shared" si="752"/>
        <v>0</v>
      </c>
      <c r="BF51" s="52">
        <f t="shared" si="752"/>
        <v>1124.8563231645842</v>
      </c>
      <c r="BG51" s="52">
        <f t="shared" si="752"/>
        <v>0</v>
      </c>
      <c r="BH51" s="52">
        <f t="shared" si="752"/>
        <v>0</v>
      </c>
      <c r="BI51" s="52">
        <f t="shared" si="752"/>
        <v>0</v>
      </c>
      <c r="BJ51" s="18">
        <f t="shared" si="752"/>
        <v>0</v>
      </c>
      <c r="BK51" s="18">
        <f t="shared" si="752"/>
        <v>0</v>
      </c>
      <c r="BL51" s="52">
        <f t="shared" si="752"/>
        <v>868.69101971729151</v>
      </c>
      <c r="BM51" s="52">
        <f t="shared" si="752"/>
        <v>0</v>
      </c>
      <c r="BN51" s="52">
        <f t="shared" si="752"/>
        <v>0</v>
      </c>
      <c r="BO51" s="52">
        <f t="shared" si="752"/>
        <v>0</v>
      </c>
      <c r="BP51" s="18">
        <f t="shared" si="752"/>
        <v>0</v>
      </c>
      <c r="BQ51" s="18">
        <f t="shared" si="752"/>
        <v>0</v>
      </c>
      <c r="BR51" s="52">
        <f t="shared" ref="BR51:DT51" si="753">IF(BQ41="B",IF(BR50="K",IF(BQ51=0,IF(BP51=0,IF(BR49&lt;=776.33,2329-BR49,IF(BR49&lt;=1552.67,2329-BR49,0)),0),0),0),0)</f>
        <v>945.54061075147979</v>
      </c>
      <c r="BS51" s="52">
        <f t="shared" si="753"/>
        <v>0</v>
      </c>
      <c r="BT51" s="52">
        <f t="shared" si="753"/>
        <v>0</v>
      </c>
      <c r="BU51" s="52">
        <f t="shared" si="753"/>
        <v>0</v>
      </c>
      <c r="BV51" s="18">
        <f t="shared" si="753"/>
        <v>0</v>
      </c>
      <c r="BW51" s="18">
        <f t="shared" si="753"/>
        <v>0</v>
      </c>
      <c r="BX51" s="18">
        <f t="shared" si="753"/>
        <v>0</v>
      </c>
      <c r="BY51" s="13">
        <f t="shared" si="753"/>
        <v>0</v>
      </c>
      <c r="BZ51" s="13">
        <f t="shared" si="753"/>
        <v>0</v>
      </c>
      <c r="CA51" s="13">
        <f t="shared" si="753"/>
        <v>0</v>
      </c>
      <c r="CB51" s="13">
        <f t="shared" si="753"/>
        <v>0</v>
      </c>
      <c r="CC51" s="13">
        <f t="shared" si="753"/>
        <v>0</v>
      </c>
      <c r="CD51" s="52">
        <f t="shared" si="753"/>
        <v>1253.9485502157793</v>
      </c>
      <c r="CE51" s="52">
        <f t="shared" si="753"/>
        <v>0</v>
      </c>
      <c r="CF51" s="52">
        <f t="shared" si="753"/>
        <v>0</v>
      </c>
      <c r="CG51" s="52">
        <f t="shared" si="753"/>
        <v>0</v>
      </c>
      <c r="CH51" s="18">
        <f t="shared" si="753"/>
        <v>0</v>
      </c>
      <c r="CI51" s="18">
        <f t="shared" si="753"/>
        <v>0</v>
      </c>
      <c r="CJ51" s="52">
        <f t="shared" si="753"/>
        <v>829.96335160193348</v>
      </c>
      <c r="CK51" s="52">
        <f t="shared" si="753"/>
        <v>0</v>
      </c>
      <c r="CL51" s="52">
        <f t="shared" si="753"/>
        <v>0</v>
      </c>
      <c r="CM51" s="52">
        <f t="shared" si="753"/>
        <v>0</v>
      </c>
      <c r="CN51" s="18">
        <f t="shared" si="753"/>
        <v>0</v>
      </c>
      <c r="CO51" s="18">
        <f t="shared" si="753"/>
        <v>0</v>
      </c>
      <c r="CP51" s="52">
        <f t="shared" si="753"/>
        <v>957.15891118608738</v>
      </c>
      <c r="CQ51" s="52">
        <f t="shared" si="753"/>
        <v>0</v>
      </c>
      <c r="CR51" s="52">
        <f t="shared" si="753"/>
        <v>0</v>
      </c>
      <c r="CS51" s="52">
        <f t="shared" si="753"/>
        <v>0</v>
      </c>
      <c r="CT51" s="18">
        <f t="shared" si="753"/>
        <v>0</v>
      </c>
      <c r="CU51" s="18">
        <f t="shared" si="753"/>
        <v>0</v>
      </c>
      <c r="CV51" s="18">
        <f t="shared" si="753"/>
        <v>0</v>
      </c>
      <c r="CW51" s="13">
        <f t="shared" si="753"/>
        <v>0</v>
      </c>
      <c r="CX51" s="13">
        <f t="shared" si="753"/>
        <v>0</v>
      </c>
      <c r="CY51" s="13">
        <f t="shared" si="753"/>
        <v>0</v>
      </c>
      <c r="CZ51" s="13">
        <f t="shared" si="753"/>
        <v>0</v>
      </c>
      <c r="DA51" s="13">
        <f t="shared" si="753"/>
        <v>0</v>
      </c>
      <c r="DB51" s="52">
        <f t="shared" si="753"/>
        <v>1246.9775699550153</v>
      </c>
      <c r="DC51" s="52">
        <f t="shared" si="753"/>
        <v>0</v>
      </c>
      <c r="DD51" s="52">
        <f t="shared" si="753"/>
        <v>0</v>
      </c>
      <c r="DE51" s="52">
        <f t="shared" si="753"/>
        <v>0</v>
      </c>
      <c r="DF51" s="18">
        <f t="shared" si="753"/>
        <v>0</v>
      </c>
      <c r="DG51" s="18">
        <f t="shared" si="753"/>
        <v>0</v>
      </c>
      <c r="DH51" s="52">
        <f t="shared" si="753"/>
        <v>832.05464568016259</v>
      </c>
      <c r="DI51" s="52">
        <f t="shared" si="753"/>
        <v>0</v>
      </c>
      <c r="DJ51" s="52">
        <f t="shared" si="753"/>
        <v>0</v>
      </c>
      <c r="DK51" s="52">
        <f t="shared" si="753"/>
        <v>0</v>
      </c>
      <c r="DL51" s="18">
        <f t="shared" si="753"/>
        <v>0</v>
      </c>
      <c r="DM51" s="18">
        <f t="shared" si="753"/>
        <v>0</v>
      </c>
      <c r="DN51" s="52">
        <f t="shared" si="753"/>
        <v>956.53152296261828</v>
      </c>
      <c r="DO51" s="52">
        <f t="shared" si="753"/>
        <v>0</v>
      </c>
      <c r="DP51" s="52">
        <f t="shared" si="753"/>
        <v>0</v>
      </c>
      <c r="DQ51" s="52">
        <f t="shared" si="753"/>
        <v>0</v>
      </c>
      <c r="DR51" s="18">
        <f t="shared" si="753"/>
        <v>0</v>
      </c>
      <c r="DS51" s="18">
        <f t="shared" si="753"/>
        <v>0</v>
      </c>
      <c r="DT51" s="18">
        <f t="shared" si="753"/>
        <v>0</v>
      </c>
    </row>
    <row r="52" spans="2:124" s="43" customFormat="1" x14ac:dyDescent="0.25">
      <c r="B52" s="41" t="s">
        <v>18</v>
      </c>
      <c r="C52" s="82"/>
      <c r="D52" s="109">
        <f>D51/2329*10</f>
        <v>0</v>
      </c>
      <c r="E52" s="42">
        <f t="shared" ref="E52" si="754">E51/2329*10</f>
        <v>0</v>
      </c>
      <c r="F52" s="42">
        <f t="shared" ref="F52" si="755">F51/2329*10</f>
        <v>0</v>
      </c>
      <c r="G52" s="42">
        <f t="shared" ref="G52" si="756">G51/2329*10</f>
        <v>0</v>
      </c>
      <c r="H52" s="42">
        <f t="shared" ref="H52" si="757">H51/2329*10</f>
        <v>0</v>
      </c>
      <c r="I52" s="42">
        <f t="shared" ref="I52" si="758">I51/2329*10</f>
        <v>0</v>
      </c>
      <c r="J52" s="42">
        <f t="shared" ref="J52" si="759">J51/2329*10</f>
        <v>8.0480839416058423</v>
      </c>
      <c r="K52" s="42">
        <f t="shared" ref="K52" si="760">K51/2329*10</f>
        <v>0</v>
      </c>
      <c r="L52" s="42">
        <f t="shared" ref="L52" si="761">L51/2329*10</f>
        <v>0</v>
      </c>
      <c r="M52" s="42">
        <f t="shared" ref="M52" si="762">M51/2329*10</f>
        <v>0</v>
      </c>
      <c r="N52" s="42">
        <f t="shared" ref="N52" si="763">N51/2329*10</f>
        <v>0</v>
      </c>
      <c r="O52" s="42">
        <f t="shared" ref="O52" si="764">O51/2329*10</f>
        <v>0</v>
      </c>
      <c r="P52" s="42">
        <f t="shared" ref="P52" si="765">P51/2329*10</f>
        <v>0</v>
      </c>
      <c r="Q52" s="42">
        <f t="shared" ref="Q52" si="766">Q51/2329*10</f>
        <v>3.7286032095319923</v>
      </c>
      <c r="R52" s="42">
        <f t="shared" ref="R52" si="767">R51/2329*10</f>
        <v>0</v>
      </c>
      <c r="S52" s="42">
        <f t="shared" ref="S52" si="768">S51/2329*10</f>
        <v>0</v>
      </c>
      <c r="T52" s="42">
        <f t="shared" ref="T52" si="769">T51/2329*10</f>
        <v>0</v>
      </c>
      <c r="U52" s="42">
        <f t="shared" ref="U52" si="770">U51/2329*10</f>
        <v>0</v>
      </c>
      <c r="V52" s="42">
        <f t="shared" ref="V52" si="771">V51/2329*10</f>
        <v>3.6092296183984556</v>
      </c>
      <c r="W52" s="42">
        <f t="shared" ref="W52" si="772">W51/2329*10</f>
        <v>0</v>
      </c>
      <c r="X52" s="42">
        <f t="shared" ref="X52" si="773">X51/2329*10</f>
        <v>0</v>
      </c>
      <c r="Y52" s="42">
        <f t="shared" ref="Y52" si="774">Y51/2329*10</f>
        <v>0</v>
      </c>
      <c r="Z52" s="42">
        <f t="shared" ref="Z52" si="775">Z51/2329*10</f>
        <v>0</v>
      </c>
      <c r="AA52" s="42">
        <f t="shared" ref="AA52" si="776">AA51/2329*10</f>
        <v>0</v>
      </c>
      <c r="AB52" s="66">
        <f t="shared" ref="AB52" si="777">AB51/2329*10</f>
        <v>0</v>
      </c>
      <c r="AC52" s="42">
        <f t="shared" ref="AC52" si="778">AC51/2329*10</f>
        <v>0</v>
      </c>
      <c r="AD52" s="42">
        <f t="shared" ref="AD52" si="779">AD51/2329*10</f>
        <v>0</v>
      </c>
      <c r="AE52" s="42">
        <f t="shared" ref="AE52" si="780">AE51/2329*10</f>
        <v>0</v>
      </c>
      <c r="AF52" s="42">
        <f t="shared" ref="AF52" si="781">AF51/2329*10</f>
        <v>0</v>
      </c>
      <c r="AG52" s="42">
        <f t="shared" ref="AG52" si="782">AG51/2329*10</f>
        <v>0</v>
      </c>
      <c r="AH52" s="42">
        <f t="shared" ref="AH52" si="783">AH51/2329*10</f>
        <v>5.6544404027121855</v>
      </c>
      <c r="AI52" s="42">
        <f t="shared" ref="AI52" si="784">AI51/2329*10</f>
        <v>0</v>
      </c>
      <c r="AJ52" s="42">
        <f t="shared" ref="AJ52" si="785">AJ51/2329*10</f>
        <v>0</v>
      </c>
      <c r="AK52" s="42">
        <f t="shared" ref="AK52" si="786">AK51/2329*10</f>
        <v>0</v>
      </c>
      <c r="AL52" s="42">
        <f t="shared" ref="AL52" si="787">AL51/2329*10</f>
        <v>0</v>
      </c>
      <c r="AM52" s="42">
        <f t="shared" ref="AM52" si="788">AM51/2329*10</f>
        <v>0</v>
      </c>
      <c r="AN52" s="42">
        <f t="shared" ref="AN52" si="789">AN51/2329*10</f>
        <v>3.4824910507907525</v>
      </c>
      <c r="AO52" s="42">
        <f t="shared" ref="AO52" si="790">AO51/2329*10</f>
        <v>0</v>
      </c>
      <c r="AP52" s="42">
        <f t="shared" ref="AP52" si="791">AP51/2329*10</f>
        <v>0</v>
      </c>
      <c r="AQ52" s="42">
        <f t="shared" ref="AQ52" si="792">AQ51/2329*10</f>
        <v>0</v>
      </c>
      <c r="AR52" s="42">
        <f t="shared" ref="AR52" si="793">AR51/2329*10</f>
        <v>0</v>
      </c>
      <c r="AS52" s="42">
        <f t="shared" ref="AS52" si="794">AS51/2329*10</f>
        <v>0</v>
      </c>
      <c r="AT52" s="42">
        <f t="shared" ref="AT52" si="795">AT51/2329*10</f>
        <v>4.1340758563671862</v>
      </c>
      <c r="AU52" s="42">
        <f t="shared" ref="AU52" si="796">AU51/2329*10</f>
        <v>0</v>
      </c>
      <c r="AV52" s="42">
        <f t="shared" ref="AV52" si="797">AV51/2329*10</f>
        <v>0</v>
      </c>
      <c r="AW52" s="42">
        <f t="shared" ref="AW52" si="798">AW51/2329*10</f>
        <v>0</v>
      </c>
      <c r="AX52" s="42">
        <f t="shared" ref="AX52" si="799">AX51/2329*10</f>
        <v>0</v>
      </c>
      <c r="AY52" s="42">
        <f t="shared" ref="AY52" si="800">AY51/2329*10</f>
        <v>0</v>
      </c>
      <c r="AZ52" s="66">
        <f t="shared" ref="AZ52" si="801">AZ51/2329*10</f>
        <v>0</v>
      </c>
      <c r="BA52" s="42">
        <f t="shared" ref="BA52" si="802">BA51/2329*10</f>
        <v>0</v>
      </c>
      <c r="BB52" s="42">
        <f t="shared" ref="BB52" si="803">BB51/2329*10</f>
        <v>0</v>
      </c>
      <c r="BC52" s="42">
        <f t="shared" ref="BC52" si="804">BC51/2329*10</f>
        <v>0</v>
      </c>
      <c r="BD52" s="42">
        <f t="shared" ref="BD52" si="805">BD51/2329*10</f>
        <v>0</v>
      </c>
      <c r="BE52" s="42">
        <f t="shared" ref="BE52" si="806">BE51/2329*10</f>
        <v>0</v>
      </c>
      <c r="BF52" s="42">
        <f t="shared" ref="BF52" si="807">BF51/2329*10</f>
        <v>4.8297824094657971</v>
      </c>
      <c r="BG52" s="42">
        <f t="shared" ref="BG52" si="808">BG51/2329*10</f>
        <v>0</v>
      </c>
      <c r="BH52" s="42">
        <f t="shared" ref="BH52" si="809">BH51/2329*10</f>
        <v>0</v>
      </c>
      <c r="BI52" s="42">
        <f t="shared" ref="BI52" si="810">BI51/2329*10</f>
        <v>0</v>
      </c>
      <c r="BJ52" s="42">
        <f t="shared" ref="BJ52" si="811">BJ51/2329*10</f>
        <v>0</v>
      </c>
      <c r="BK52" s="42">
        <f t="shared" ref="BK52" si="812">BK51/2329*10</f>
        <v>0</v>
      </c>
      <c r="BL52" s="42">
        <f t="shared" ref="BL52" si="813">BL51/2329*10</f>
        <v>3.7298884487646693</v>
      </c>
      <c r="BM52" s="42">
        <f t="shared" ref="BM52" si="814">BM51/2329*10</f>
        <v>0</v>
      </c>
      <c r="BN52" s="42">
        <f t="shared" ref="BN52" si="815">BN51/2329*10</f>
        <v>0</v>
      </c>
      <c r="BO52" s="42">
        <f t="shared" ref="BO52" si="816">BO51/2329*10</f>
        <v>0</v>
      </c>
      <c r="BP52" s="42">
        <f t="shared" ref="BP52" si="817">BP51/2329*10</f>
        <v>0</v>
      </c>
      <c r="BQ52" s="42">
        <f t="shared" ref="BQ52" si="818">BQ51/2329*10</f>
        <v>0</v>
      </c>
      <c r="BR52" s="42">
        <f t="shared" ref="BR52" si="819">BR51/2329*10</f>
        <v>4.0598566369750095</v>
      </c>
      <c r="BS52" s="42">
        <f t="shared" ref="BS52" si="820">BS51/2329*10</f>
        <v>0</v>
      </c>
      <c r="BT52" s="42">
        <f t="shared" ref="BT52" si="821">BT51/2329*10</f>
        <v>0</v>
      </c>
      <c r="BU52" s="42">
        <f t="shared" ref="BU52" si="822">BU51/2329*10</f>
        <v>0</v>
      </c>
      <c r="BV52" s="42">
        <f t="shared" ref="BV52" si="823">BV51/2329*10</f>
        <v>0</v>
      </c>
      <c r="BW52" s="42">
        <f t="shared" ref="BW52" si="824">BW51/2329*10</f>
        <v>0</v>
      </c>
      <c r="BX52" s="66">
        <f t="shared" ref="BX52" si="825">BX51/2329*10</f>
        <v>0</v>
      </c>
      <c r="BY52" s="42">
        <f t="shared" ref="BY52" si="826">BY51/2329*10</f>
        <v>0</v>
      </c>
      <c r="BZ52" s="42">
        <f t="shared" ref="BZ52" si="827">BZ51/2329*10</f>
        <v>0</v>
      </c>
      <c r="CA52" s="42">
        <f t="shared" ref="CA52" si="828">CA51/2329*10</f>
        <v>0</v>
      </c>
      <c r="CB52" s="42">
        <f t="shared" ref="CB52" si="829">CB51/2329*10</f>
        <v>0</v>
      </c>
      <c r="CC52" s="42">
        <f t="shared" ref="CC52" si="830">CC51/2329*10</f>
        <v>0</v>
      </c>
      <c r="CD52" s="42">
        <f t="shared" ref="CD52" si="831">CD51/2329*10</f>
        <v>5.3840641915662495</v>
      </c>
      <c r="CE52" s="42">
        <f t="shared" ref="CE52" si="832">CE51/2329*10</f>
        <v>0</v>
      </c>
      <c r="CF52" s="42">
        <f t="shared" ref="CF52" si="833">CF51/2329*10</f>
        <v>0</v>
      </c>
      <c r="CG52" s="42">
        <f t="shared" ref="CG52" si="834">CG51/2329*10</f>
        <v>0</v>
      </c>
      <c r="CH52" s="42">
        <f t="shared" ref="CH52" si="835">CH51/2329*10</f>
        <v>0</v>
      </c>
      <c r="CI52" s="42">
        <f t="shared" ref="CI52" si="836">CI51/2329*10</f>
        <v>0</v>
      </c>
      <c r="CJ52" s="42">
        <f t="shared" ref="CJ52" si="837">CJ51/2329*10</f>
        <v>3.5636039141345361</v>
      </c>
      <c r="CK52" s="42">
        <f t="shared" ref="CK52" si="838">CK51/2329*10</f>
        <v>0</v>
      </c>
      <c r="CL52" s="42">
        <f t="shared" ref="CL52" si="839">CL51/2329*10</f>
        <v>0</v>
      </c>
      <c r="CM52" s="42">
        <f t="shared" ref="CM52" si="840">CM51/2329*10</f>
        <v>0</v>
      </c>
      <c r="CN52" s="42">
        <f t="shared" ref="CN52" si="841">CN51/2329*10</f>
        <v>0</v>
      </c>
      <c r="CO52" s="42">
        <f t="shared" ref="CO52" si="842">CO51/2329*10</f>
        <v>0</v>
      </c>
      <c r="CP52" s="42">
        <f t="shared" ref="CP52" si="843">CP51/2329*10</f>
        <v>4.1097419973640505</v>
      </c>
      <c r="CQ52" s="42">
        <f t="shared" ref="CQ52" si="844">CQ51/2329*10</f>
        <v>0</v>
      </c>
      <c r="CR52" s="42">
        <f t="shared" ref="CR52" si="845">CR51/2329*10</f>
        <v>0</v>
      </c>
      <c r="CS52" s="42">
        <f t="shared" ref="CS52" si="846">CS51/2329*10</f>
        <v>0</v>
      </c>
      <c r="CT52" s="42">
        <f t="shared" ref="CT52" si="847">CT51/2329*10</f>
        <v>0</v>
      </c>
      <c r="CU52" s="42">
        <f t="shared" ref="CU52" si="848">CU51/2329*10</f>
        <v>0</v>
      </c>
      <c r="CV52" s="66">
        <f t="shared" ref="CV52" si="849">CV51/2329*10</f>
        <v>0</v>
      </c>
      <c r="CW52" s="42">
        <f t="shared" ref="CW52" si="850">CW51/2329*10</f>
        <v>0</v>
      </c>
      <c r="CX52" s="42">
        <f t="shared" ref="CX52" si="851">CX51/2329*10</f>
        <v>0</v>
      </c>
      <c r="CY52" s="42">
        <f t="shared" ref="CY52" si="852">CY51/2329*10</f>
        <v>0</v>
      </c>
      <c r="CZ52" s="42">
        <f t="shared" ref="CZ52" si="853">CZ51/2329*10</f>
        <v>0</v>
      </c>
      <c r="DA52" s="42">
        <f t="shared" ref="DA52" si="854">DA51/2329*10</f>
        <v>0</v>
      </c>
      <c r="DB52" s="42">
        <f t="shared" ref="DB52" si="855">DB51/2329*10</f>
        <v>5.3541329753328259</v>
      </c>
      <c r="DC52" s="42">
        <f t="shared" ref="DC52" si="856">DC51/2329*10</f>
        <v>0</v>
      </c>
      <c r="DD52" s="42">
        <f t="shared" ref="DD52" si="857">DD51/2329*10</f>
        <v>0</v>
      </c>
      <c r="DE52" s="42">
        <f t="shared" ref="DE52" si="858">DE51/2329*10</f>
        <v>0</v>
      </c>
      <c r="DF52" s="42">
        <f t="shared" ref="DF52" si="859">DF51/2329*10</f>
        <v>0</v>
      </c>
      <c r="DG52" s="42">
        <f t="shared" ref="DG52" si="860">DG51/2329*10</f>
        <v>0</v>
      </c>
      <c r="DH52" s="42">
        <f t="shared" ref="DH52" si="861">DH51/2329*10</f>
        <v>3.5725832790045624</v>
      </c>
      <c r="DI52" s="42">
        <f t="shared" ref="DI52" si="862">DI51/2329*10</f>
        <v>0</v>
      </c>
      <c r="DJ52" s="42">
        <f t="shared" ref="DJ52" si="863">DJ51/2329*10</f>
        <v>0</v>
      </c>
      <c r="DK52" s="42">
        <f t="shared" ref="DK52" si="864">DK51/2329*10</f>
        <v>0</v>
      </c>
      <c r="DL52" s="42">
        <f t="shared" ref="DL52" si="865">DL51/2329*10</f>
        <v>0</v>
      </c>
      <c r="DM52" s="42">
        <f t="shared" ref="DM52" si="866">DM51/2329*10</f>
        <v>0</v>
      </c>
      <c r="DN52" s="42">
        <f t="shared" ref="DN52" si="867">DN51/2329*10</f>
        <v>4.1070481879030414</v>
      </c>
      <c r="DO52" s="42">
        <f t="shared" ref="DO52" si="868">DO51/2329*10</f>
        <v>0</v>
      </c>
      <c r="DP52" s="42">
        <f t="shared" ref="DP52" si="869">DP51/2329*10</f>
        <v>0</v>
      </c>
      <c r="DQ52" s="42">
        <f t="shared" ref="DQ52" si="870">DQ51/2329*10</f>
        <v>0</v>
      </c>
      <c r="DR52" s="42">
        <f t="shared" ref="DR52" si="871">DR51/2329*10</f>
        <v>0</v>
      </c>
      <c r="DS52" s="42">
        <f t="shared" ref="DS52" si="872">DS51/2329*10</f>
        <v>0</v>
      </c>
      <c r="DT52" s="42">
        <f t="shared" ref="DT52" si="873">DT51/2329*10</f>
        <v>0</v>
      </c>
    </row>
    <row r="53" spans="2:124" s="16" customFormat="1" ht="15.75" thickBot="1" x14ac:dyDescent="0.3">
      <c r="B53" s="20" t="s">
        <v>147</v>
      </c>
      <c r="C53" s="74"/>
      <c r="D53" s="101">
        <f>D51*0.12959782</f>
        <v>0</v>
      </c>
      <c r="E53" s="21">
        <f t="shared" ref="E53:BP53" si="874">E51*0.12959782</f>
        <v>0</v>
      </c>
      <c r="F53" s="21">
        <f t="shared" si="874"/>
        <v>0</v>
      </c>
      <c r="G53" s="21">
        <f t="shared" si="874"/>
        <v>0</v>
      </c>
      <c r="H53" s="21">
        <f t="shared" si="874"/>
        <v>0</v>
      </c>
      <c r="I53" s="21">
        <f t="shared" si="874"/>
        <v>0</v>
      </c>
      <c r="J53" s="21">
        <f>J51*0.12959782</f>
        <v>242.91799181072511</v>
      </c>
      <c r="K53" s="21">
        <f t="shared" si="874"/>
        <v>0</v>
      </c>
      <c r="L53" s="21">
        <f t="shared" si="874"/>
        <v>0</v>
      </c>
      <c r="M53" s="21">
        <f t="shared" si="874"/>
        <v>0</v>
      </c>
      <c r="N53" s="21">
        <f t="shared" si="874"/>
        <v>0</v>
      </c>
      <c r="O53" s="21">
        <f t="shared" si="874"/>
        <v>0</v>
      </c>
      <c r="P53" s="21">
        <f t="shared" si="874"/>
        <v>0</v>
      </c>
      <c r="Q53" s="21">
        <f t="shared" si="874"/>
        <v>112.54166960612137</v>
      </c>
      <c r="R53" s="21">
        <f t="shared" si="874"/>
        <v>0</v>
      </c>
      <c r="S53" s="21">
        <f t="shared" si="874"/>
        <v>0</v>
      </c>
      <c r="T53" s="21">
        <f t="shared" si="874"/>
        <v>0</v>
      </c>
      <c r="U53" s="21">
        <f t="shared" si="874"/>
        <v>0</v>
      </c>
      <c r="V53" s="21">
        <f t="shared" si="874"/>
        <v>108.93857683971973</v>
      </c>
      <c r="W53" s="21">
        <f t="shared" si="874"/>
        <v>0</v>
      </c>
      <c r="X53" s="21">
        <f t="shared" si="874"/>
        <v>0</v>
      </c>
      <c r="Y53" s="21">
        <f t="shared" si="874"/>
        <v>0</v>
      </c>
      <c r="Z53" s="21">
        <f t="shared" si="874"/>
        <v>0</v>
      </c>
      <c r="AA53" s="21">
        <f t="shared" si="874"/>
        <v>0</v>
      </c>
      <c r="AB53" s="56">
        <f t="shared" si="874"/>
        <v>0</v>
      </c>
      <c r="AC53" s="21">
        <f t="shared" si="874"/>
        <v>0</v>
      </c>
      <c r="AD53" s="21">
        <f t="shared" si="874"/>
        <v>0</v>
      </c>
      <c r="AE53" s="21">
        <f t="shared" si="874"/>
        <v>0</v>
      </c>
      <c r="AF53" s="21">
        <f t="shared" si="874"/>
        <v>0</v>
      </c>
      <c r="AG53" s="21">
        <f t="shared" si="874"/>
        <v>0</v>
      </c>
      <c r="AH53" s="21">
        <f t="shared" si="874"/>
        <v>170.66985352121</v>
      </c>
      <c r="AI53" s="21">
        <f t="shared" si="874"/>
        <v>0</v>
      </c>
      <c r="AJ53" s="21">
        <f t="shared" si="874"/>
        <v>0</v>
      </c>
      <c r="AK53" s="21">
        <f t="shared" si="874"/>
        <v>0</v>
      </c>
      <c r="AL53" s="21">
        <f t="shared" si="874"/>
        <v>0</v>
      </c>
      <c r="AM53" s="21">
        <f t="shared" si="874"/>
        <v>0</v>
      </c>
      <c r="AN53" s="21">
        <f t="shared" si="874"/>
        <v>105.11318454117865</v>
      </c>
      <c r="AO53" s="21">
        <f t="shared" si="874"/>
        <v>0</v>
      </c>
      <c r="AP53" s="21">
        <f t="shared" si="874"/>
        <v>0</v>
      </c>
      <c r="AQ53" s="21">
        <f t="shared" si="874"/>
        <v>0</v>
      </c>
      <c r="AR53" s="21">
        <f t="shared" si="874"/>
        <v>0</v>
      </c>
      <c r="AS53" s="21">
        <f t="shared" si="874"/>
        <v>0</v>
      </c>
      <c r="AT53" s="21">
        <f t="shared" si="874"/>
        <v>124.78018523518818</v>
      </c>
      <c r="AU53" s="21">
        <f t="shared" si="874"/>
        <v>0</v>
      </c>
      <c r="AV53" s="21">
        <f t="shared" si="874"/>
        <v>0</v>
      </c>
      <c r="AW53" s="21">
        <f t="shared" si="874"/>
        <v>0</v>
      </c>
      <c r="AX53" s="21">
        <f t="shared" si="874"/>
        <v>0</v>
      </c>
      <c r="AY53" s="21">
        <f t="shared" si="874"/>
        <v>0</v>
      </c>
      <c r="AZ53" s="56">
        <f t="shared" si="874"/>
        <v>0</v>
      </c>
      <c r="BA53" s="21">
        <f t="shared" si="874"/>
        <v>0</v>
      </c>
      <c r="BB53" s="21">
        <f t="shared" si="874"/>
        <v>0</v>
      </c>
      <c r="BC53" s="21">
        <f t="shared" si="874"/>
        <v>0</v>
      </c>
      <c r="BD53" s="21">
        <f t="shared" si="874"/>
        <v>0</v>
      </c>
      <c r="BE53" s="21">
        <f t="shared" si="874"/>
        <v>0</v>
      </c>
      <c r="BF53" s="21">
        <f t="shared" si="874"/>
        <v>145.77892729534562</v>
      </c>
      <c r="BG53" s="21">
        <f t="shared" si="874"/>
        <v>0</v>
      </c>
      <c r="BH53" s="21">
        <f t="shared" si="874"/>
        <v>0</v>
      </c>
      <c r="BI53" s="21">
        <f t="shared" si="874"/>
        <v>0</v>
      </c>
      <c r="BJ53" s="21">
        <f t="shared" si="874"/>
        <v>0</v>
      </c>
      <c r="BK53" s="21">
        <f t="shared" si="874"/>
        <v>0</v>
      </c>
      <c r="BL53" s="21">
        <f t="shared" si="874"/>
        <v>112.580462408938</v>
      </c>
      <c r="BM53" s="21">
        <f t="shared" si="874"/>
        <v>0</v>
      </c>
      <c r="BN53" s="21">
        <f t="shared" si="874"/>
        <v>0</v>
      </c>
      <c r="BO53" s="21">
        <f t="shared" si="874"/>
        <v>0</v>
      </c>
      <c r="BP53" s="21">
        <f t="shared" si="874"/>
        <v>0</v>
      </c>
      <c r="BQ53" s="21">
        <f t="shared" ref="BQ53:DT53" si="875">BQ51*0.12959782</f>
        <v>0</v>
      </c>
      <c r="BR53" s="21">
        <f t="shared" si="875"/>
        <v>122.54000187486035</v>
      </c>
      <c r="BS53" s="21">
        <f t="shared" si="875"/>
        <v>0</v>
      </c>
      <c r="BT53" s="21">
        <f t="shared" si="875"/>
        <v>0</v>
      </c>
      <c r="BU53" s="21">
        <f t="shared" si="875"/>
        <v>0</v>
      </c>
      <c r="BV53" s="21">
        <f t="shared" si="875"/>
        <v>0</v>
      </c>
      <c r="BW53" s="21">
        <f t="shared" si="875"/>
        <v>0</v>
      </c>
      <c r="BX53" s="56">
        <f t="shared" si="875"/>
        <v>0</v>
      </c>
      <c r="BY53" s="21">
        <f t="shared" si="875"/>
        <v>0</v>
      </c>
      <c r="BZ53" s="21">
        <f t="shared" si="875"/>
        <v>0</v>
      </c>
      <c r="CA53" s="21">
        <f t="shared" si="875"/>
        <v>0</v>
      </c>
      <c r="CB53" s="21">
        <f t="shared" si="875"/>
        <v>0</v>
      </c>
      <c r="CC53" s="21">
        <f t="shared" si="875"/>
        <v>0</v>
      </c>
      <c r="CD53" s="21">
        <f t="shared" si="875"/>
        <v>162.50899850012553</v>
      </c>
      <c r="CE53" s="21">
        <f t="shared" si="875"/>
        <v>0</v>
      </c>
      <c r="CF53" s="21">
        <f t="shared" si="875"/>
        <v>0</v>
      </c>
      <c r="CG53" s="21">
        <f t="shared" si="875"/>
        <v>0</v>
      </c>
      <c r="CH53" s="21">
        <f t="shared" si="875"/>
        <v>0</v>
      </c>
      <c r="CI53" s="21">
        <f t="shared" si="875"/>
        <v>0</v>
      </c>
      <c r="CJ53" s="21">
        <f t="shared" si="875"/>
        <v>107.56144104750409</v>
      </c>
      <c r="CK53" s="21">
        <f t="shared" si="875"/>
        <v>0</v>
      </c>
      <c r="CL53" s="21">
        <f t="shared" si="875"/>
        <v>0</v>
      </c>
      <c r="CM53" s="21">
        <f t="shared" si="875"/>
        <v>0</v>
      </c>
      <c r="CN53" s="21">
        <f t="shared" si="875"/>
        <v>0</v>
      </c>
      <c r="CO53" s="21">
        <f t="shared" si="875"/>
        <v>0</v>
      </c>
      <c r="CP53" s="21">
        <f t="shared" si="875"/>
        <v>124.04570828329054</v>
      </c>
      <c r="CQ53" s="21">
        <f t="shared" si="875"/>
        <v>0</v>
      </c>
      <c r="CR53" s="21">
        <f t="shared" si="875"/>
        <v>0</v>
      </c>
      <c r="CS53" s="21">
        <f t="shared" si="875"/>
        <v>0</v>
      </c>
      <c r="CT53" s="21">
        <f t="shared" si="875"/>
        <v>0</v>
      </c>
      <c r="CU53" s="21">
        <f t="shared" si="875"/>
        <v>0</v>
      </c>
      <c r="CV53" s="56">
        <f t="shared" si="875"/>
        <v>0</v>
      </c>
      <c r="CW53" s="21">
        <f t="shared" si="875"/>
        <v>0</v>
      </c>
      <c r="CX53" s="21">
        <f t="shared" si="875"/>
        <v>0</v>
      </c>
      <c r="CY53" s="21">
        <f t="shared" si="875"/>
        <v>0</v>
      </c>
      <c r="CZ53" s="21">
        <f t="shared" si="875"/>
        <v>0</v>
      </c>
      <c r="DA53" s="21">
        <f t="shared" si="875"/>
        <v>0</v>
      </c>
      <c r="DB53" s="21">
        <f t="shared" si="875"/>
        <v>161.60557465506747</v>
      </c>
      <c r="DC53" s="21">
        <f t="shared" si="875"/>
        <v>0</v>
      </c>
      <c r="DD53" s="21">
        <f t="shared" si="875"/>
        <v>0</v>
      </c>
      <c r="DE53" s="21">
        <f t="shared" si="875"/>
        <v>0</v>
      </c>
      <c r="DF53" s="21">
        <f t="shared" si="875"/>
        <v>0</v>
      </c>
      <c r="DG53" s="21">
        <f t="shared" si="875"/>
        <v>0</v>
      </c>
      <c r="DH53" s="21">
        <f t="shared" si="875"/>
        <v>107.83246820102148</v>
      </c>
      <c r="DI53" s="21">
        <f t="shared" si="875"/>
        <v>0</v>
      </c>
      <c r="DJ53" s="21">
        <f t="shared" si="875"/>
        <v>0</v>
      </c>
      <c r="DK53" s="21">
        <f t="shared" si="875"/>
        <v>0</v>
      </c>
      <c r="DL53" s="21">
        <f t="shared" si="875"/>
        <v>0</v>
      </c>
      <c r="DM53" s="21">
        <f t="shared" si="875"/>
        <v>0</v>
      </c>
      <c r="DN53" s="21">
        <f t="shared" si="875"/>
        <v>123.96440013723527</v>
      </c>
      <c r="DO53" s="21">
        <f t="shared" si="875"/>
        <v>0</v>
      </c>
      <c r="DP53" s="21">
        <f t="shared" si="875"/>
        <v>0</v>
      </c>
      <c r="DQ53" s="21">
        <f t="shared" si="875"/>
        <v>0</v>
      </c>
      <c r="DR53" s="21">
        <f t="shared" si="875"/>
        <v>0</v>
      </c>
      <c r="DS53" s="21">
        <f t="shared" si="875"/>
        <v>0</v>
      </c>
      <c r="DT53" s="21">
        <f t="shared" si="875"/>
        <v>0</v>
      </c>
    </row>
    <row r="54" spans="2:124" x14ac:dyDescent="0.25">
      <c r="D54" s="100"/>
      <c r="E54" s="122" t="s">
        <v>69</v>
      </c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4"/>
      <c r="AC54" s="125" t="s">
        <v>70</v>
      </c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7"/>
      <c r="BA54" s="122" t="s">
        <v>71</v>
      </c>
      <c r="BB54" s="123"/>
      <c r="BC54" s="123"/>
      <c r="BD54" s="123"/>
      <c r="BE54" s="123"/>
      <c r="BF54" s="123"/>
      <c r="BG54" s="123"/>
      <c r="BH54" s="123"/>
      <c r="BI54" s="123"/>
      <c r="BJ54" s="123"/>
      <c r="BK54" s="123"/>
      <c r="BL54" s="123"/>
      <c r="BM54" s="123"/>
      <c r="BN54" s="123"/>
      <c r="BO54" s="123"/>
      <c r="BP54" s="123"/>
      <c r="BQ54" s="123"/>
      <c r="BR54" s="123"/>
      <c r="BS54" s="123"/>
      <c r="BT54" s="123"/>
      <c r="BU54" s="123"/>
      <c r="BV54" s="123"/>
      <c r="BW54" s="123"/>
      <c r="BX54" s="124"/>
      <c r="BY54" s="125" t="s">
        <v>72</v>
      </c>
      <c r="BZ54" s="126"/>
      <c r="CA54" s="126"/>
      <c r="CB54" s="126"/>
      <c r="CC54" s="126"/>
      <c r="CD54" s="126"/>
      <c r="CE54" s="126"/>
      <c r="CF54" s="126"/>
      <c r="CG54" s="126"/>
      <c r="CH54" s="126"/>
      <c r="CI54" s="126"/>
      <c r="CJ54" s="126"/>
      <c r="CK54" s="126"/>
      <c r="CL54" s="126"/>
      <c r="CM54" s="126"/>
      <c r="CN54" s="126"/>
      <c r="CO54" s="126"/>
      <c r="CP54" s="126"/>
      <c r="CQ54" s="126"/>
      <c r="CR54" s="126"/>
      <c r="CS54" s="126"/>
      <c r="CT54" s="126"/>
      <c r="CU54" s="126"/>
      <c r="CV54" s="127"/>
      <c r="CW54" s="122" t="s">
        <v>73</v>
      </c>
      <c r="CX54" s="123"/>
      <c r="CY54" s="123"/>
      <c r="CZ54" s="123"/>
      <c r="DA54" s="123"/>
      <c r="DB54" s="123"/>
      <c r="DC54" s="123"/>
      <c r="DD54" s="123"/>
      <c r="DE54" s="123"/>
      <c r="DF54" s="123"/>
      <c r="DG54" s="123"/>
      <c r="DH54" s="123"/>
      <c r="DI54" s="123"/>
      <c r="DJ54" s="123"/>
      <c r="DK54" s="123"/>
      <c r="DL54" s="123"/>
      <c r="DM54" s="123"/>
      <c r="DN54" s="123"/>
      <c r="DO54" s="123"/>
      <c r="DP54" s="123"/>
      <c r="DQ54" s="123"/>
      <c r="DR54" s="123"/>
      <c r="DS54" s="123"/>
      <c r="DT54" s="124"/>
    </row>
    <row r="55" spans="2:124" x14ac:dyDescent="0.25">
      <c r="B55" s="4" t="s">
        <v>37</v>
      </c>
      <c r="D55" s="100"/>
      <c r="E55" s="22">
        <v>4.1666666666666664E-2</v>
      </c>
      <c r="F55" s="23">
        <v>8.3333333333333301E-2</v>
      </c>
      <c r="G55" s="23">
        <v>0.125</v>
      </c>
      <c r="H55" s="23">
        <v>0.16666666666666699</v>
      </c>
      <c r="I55" s="23">
        <v>0.20833333333333301</v>
      </c>
      <c r="J55" s="23">
        <v>0.25</v>
      </c>
      <c r="K55" s="23">
        <v>0.29166666666666702</v>
      </c>
      <c r="L55" s="23">
        <v>0.33333333333333298</v>
      </c>
      <c r="M55" s="23">
        <v>0.375</v>
      </c>
      <c r="N55" s="23">
        <v>0.41666666666666702</v>
      </c>
      <c r="O55" s="23">
        <v>0.45833333333333298</v>
      </c>
      <c r="P55" s="23">
        <v>0.5</v>
      </c>
      <c r="Q55" s="23">
        <v>0.54166666666666696</v>
      </c>
      <c r="R55" s="23">
        <v>0.58333333333333304</v>
      </c>
      <c r="S55" s="23">
        <v>0.625</v>
      </c>
      <c r="T55" s="23">
        <v>0.66666666666666696</v>
      </c>
      <c r="U55" s="23">
        <v>0.70833333333333304</v>
      </c>
      <c r="V55" s="23">
        <v>0.75</v>
      </c>
      <c r="W55" s="23">
        <v>0.79166666666666696</v>
      </c>
      <c r="X55" s="23">
        <v>0.83333333333333304</v>
      </c>
      <c r="Y55" s="23">
        <v>0.875</v>
      </c>
      <c r="Z55" s="23">
        <v>0.91666666666666696</v>
      </c>
      <c r="AA55" s="23">
        <v>0.95833333333333404</v>
      </c>
      <c r="AB55" s="57">
        <v>1</v>
      </c>
      <c r="AC55" s="22">
        <v>1.0416666666666701</v>
      </c>
      <c r="AD55" s="23">
        <v>1.0833333333333299</v>
      </c>
      <c r="AE55" s="23">
        <v>0.125</v>
      </c>
      <c r="AF55" s="23">
        <v>0.16666666666666699</v>
      </c>
      <c r="AG55" s="23">
        <v>0.20833333333333301</v>
      </c>
      <c r="AH55" s="23">
        <v>0.25</v>
      </c>
      <c r="AI55" s="23">
        <v>0.29166666666666702</v>
      </c>
      <c r="AJ55" s="23">
        <v>0.33333333333333298</v>
      </c>
      <c r="AK55" s="23">
        <v>0.375</v>
      </c>
      <c r="AL55" s="23">
        <v>0.41666666666666702</v>
      </c>
      <c r="AM55" s="23">
        <v>0.45833333333333298</v>
      </c>
      <c r="AN55" s="23">
        <v>0.5</v>
      </c>
      <c r="AO55" s="23">
        <v>0.54166666666666696</v>
      </c>
      <c r="AP55" s="23">
        <v>0.58333333333333304</v>
      </c>
      <c r="AQ55" s="23">
        <v>0.625</v>
      </c>
      <c r="AR55" s="23">
        <v>0.66666666666666696</v>
      </c>
      <c r="AS55" s="23">
        <v>0.70833333333333304</v>
      </c>
      <c r="AT55" s="23">
        <v>0.75</v>
      </c>
      <c r="AU55" s="23">
        <v>0.79166666666666696</v>
      </c>
      <c r="AV55" s="23">
        <v>0.83333333333333304</v>
      </c>
      <c r="AW55" s="23">
        <v>0.875</v>
      </c>
      <c r="AX55" s="23">
        <v>0.91666666666666696</v>
      </c>
      <c r="AY55" s="23">
        <v>0.95833333333333404</v>
      </c>
      <c r="AZ55" s="57">
        <v>1</v>
      </c>
      <c r="BA55" s="22">
        <v>1.0416666666666701</v>
      </c>
      <c r="BB55" s="23">
        <v>1.0833333333333299</v>
      </c>
      <c r="BC55" s="23">
        <v>0.125</v>
      </c>
      <c r="BD55" s="23">
        <v>0.16666666666666699</v>
      </c>
      <c r="BE55" s="23">
        <v>0.20833333333333301</v>
      </c>
      <c r="BF55" s="23">
        <v>0.25</v>
      </c>
      <c r="BG55" s="23">
        <v>0.29166666666666702</v>
      </c>
      <c r="BH55" s="23">
        <v>0.33333333333333298</v>
      </c>
      <c r="BI55" s="23">
        <v>0.375</v>
      </c>
      <c r="BJ55" s="23">
        <v>0.41666666666666702</v>
      </c>
      <c r="BK55" s="23">
        <v>0.45833333333333298</v>
      </c>
      <c r="BL55" s="23">
        <v>0.5</v>
      </c>
      <c r="BM55" s="23">
        <v>0.54166666666666696</v>
      </c>
      <c r="BN55" s="23">
        <v>0.58333333333333304</v>
      </c>
      <c r="BO55" s="23">
        <v>0.625</v>
      </c>
      <c r="BP55" s="23">
        <v>0.66666666666666696</v>
      </c>
      <c r="BQ55" s="23">
        <v>0.70833333333333304</v>
      </c>
      <c r="BR55" s="23">
        <v>0.75</v>
      </c>
      <c r="BS55" s="23">
        <v>0.79166666666666696</v>
      </c>
      <c r="BT55" s="23">
        <v>0.83333333333333304</v>
      </c>
      <c r="BU55" s="23">
        <v>0.875</v>
      </c>
      <c r="BV55" s="23">
        <v>0.91666666666666696</v>
      </c>
      <c r="BW55" s="23">
        <v>0.95833333333333404</v>
      </c>
      <c r="BX55" s="57">
        <v>1</v>
      </c>
      <c r="BY55" s="22">
        <v>1.0416666666666701</v>
      </c>
      <c r="BZ55" s="23">
        <v>1.0833333333333299</v>
      </c>
      <c r="CA55" s="23">
        <v>0.125</v>
      </c>
      <c r="CB55" s="23">
        <v>0.16666666666666699</v>
      </c>
      <c r="CC55" s="23">
        <v>0.20833333333333301</v>
      </c>
      <c r="CD55" s="23">
        <v>0.25</v>
      </c>
      <c r="CE55" s="23">
        <v>0.29166666666666702</v>
      </c>
      <c r="CF55" s="23">
        <v>0.33333333333333298</v>
      </c>
      <c r="CG55" s="23">
        <v>0.375</v>
      </c>
      <c r="CH55" s="23">
        <v>0.41666666666666702</v>
      </c>
      <c r="CI55" s="23">
        <v>0.45833333333333298</v>
      </c>
      <c r="CJ55" s="23">
        <v>0.5</v>
      </c>
      <c r="CK55" s="23">
        <v>0.54166666666666696</v>
      </c>
      <c r="CL55" s="23">
        <v>0.58333333333333304</v>
      </c>
      <c r="CM55" s="23">
        <v>0.625</v>
      </c>
      <c r="CN55" s="23">
        <v>0.66666666666666696</v>
      </c>
      <c r="CO55" s="23">
        <v>0.70833333333333304</v>
      </c>
      <c r="CP55" s="23">
        <v>0.75</v>
      </c>
      <c r="CQ55" s="23">
        <v>0.79166666666666696</v>
      </c>
      <c r="CR55" s="23">
        <v>0.83333333333333304</v>
      </c>
      <c r="CS55" s="23">
        <v>0.875</v>
      </c>
      <c r="CT55" s="23">
        <v>0.91666666666666696</v>
      </c>
      <c r="CU55" s="23">
        <v>0.95833333333333404</v>
      </c>
      <c r="CV55" s="57">
        <v>1</v>
      </c>
      <c r="CW55" s="22">
        <v>1.0416666666666701</v>
      </c>
      <c r="CX55" s="23">
        <v>1.0833333333333299</v>
      </c>
      <c r="CY55" s="23">
        <v>0.125</v>
      </c>
      <c r="CZ55" s="23">
        <v>0.16666666666666699</v>
      </c>
      <c r="DA55" s="23">
        <v>0.20833333333333301</v>
      </c>
      <c r="DB55" s="23">
        <v>0.25</v>
      </c>
      <c r="DC55" s="23">
        <v>0.29166666666666702</v>
      </c>
      <c r="DD55" s="23">
        <v>0.33333333333333298</v>
      </c>
      <c r="DE55" s="23">
        <v>0.375</v>
      </c>
      <c r="DF55" s="23">
        <v>0.41666666666666702</v>
      </c>
      <c r="DG55" s="23">
        <v>0.45833333333333298</v>
      </c>
      <c r="DH55" s="23">
        <v>0.5</v>
      </c>
      <c r="DI55" s="23">
        <v>0.54166666666666696</v>
      </c>
      <c r="DJ55" s="23">
        <v>0.58333333333333304</v>
      </c>
      <c r="DK55" s="23">
        <v>0.625</v>
      </c>
      <c r="DL55" s="23">
        <v>0.66666666666666696</v>
      </c>
      <c r="DM55" s="23">
        <v>0.70833333333333304</v>
      </c>
      <c r="DN55" s="23">
        <v>0.75</v>
      </c>
      <c r="DO55" s="23">
        <v>0.79166666666666696</v>
      </c>
      <c r="DP55" s="23">
        <v>0.83333333333333304</v>
      </c>
      <c r="DQ55" s="23">
        <v>0.875</v>
      </c>
      <c r="DR55" s="23">
        <v>0.91666666666666696</v>
      </c>
      <c r="DS55" s="23">
        <v>0.95833333333333404</v>
      </c>
      <c r="DT55" s="57">
        <v>1</v>
      </c>
    </row>
    <row r="56" spans="2:124" x14ac:dyDescent="0.25">
      <c r="B56" s="3" t="s">
        <v>38</v>
      </c>
      <c r="D56" s="102">
        <v>2</v>
      </c>
      <c r="E56" s="24">
        <f>D60-D62+E57</f>
        <v>4.0625</v>
      </c>
      <c r="F56" s="24">
        <f>E60-E62+F57</f>
        <v>5.1875</v>
      </c>
      <c r="G56" s="24">
        <f t="shared" ref="G56:BR56" si="876">F60-F62+G57</f>
        <v>6.3125</v>
      </c>
      <c r="H56" s="24">
        <f t="shared" si="876"/>
        <v>7.4375</v>
      </c>
      <c r="I56" s="24">
        <f t="shared" si="876"/>
        <v>9.5</v>
      </c>
      <c r="J56" s="24">
        <f t="shared" si="876"/>
        <v>2.5</v>
      </c>
      <c r="K56" s="24">
        <f t="shared" si="876"/>
        <v>5.5</v>
      </c>
      <c r="L56" s="24">
        <f t="shared" si="876"/>
        <v>8.5</v>
      </c>
      <c r="M56" s="24">
        <f t="shared" si="876"/>
        <v>1.5</v>
      </c>
      <c r="N56" s="24">
        <f t="shared" si="876"/>
        <v>5.3</v>
      </c>
      <c r="O56" s="24">
        <f t="shared" si="876"/>
        <v>9.1</v>
      </c>
      <c r="P56" s="24">
        <f t="shared" si="876"/>
        <v>2.9000000000000004</v>
      </c>
      <c r="Q56" s="24">
        <f t="shared" si="876"/>
        <v>6.7</v>
      </c>
      <c r="R56" s="24">
        <f t="shared" si="876"/>
        <v>10.5</v>
      </c>
      <c r="S56" s="24">
        <f t="shared" si="876"/>
        <v>4.3000000000000007</v>
      </c>
      <c r="T56" s="24">
        <f t="shared" si="876"/>
        <v>8.1000000000000014</v>
      </c>
      <c r="U56" s="24">
        <f t="shared" si="876"/>
        <v>1.9000000000000021</v>
      </c>
      <c r="V56" s="24">
        <f t="shared" si="876"/>
        <v>5.700000000000002</v>
      </c>
      <c r="W56" s="24">
        <f t="shared" si="876"/>
        <v>9.5000000000000018</v>
      </c>
      <c r="X56" s="24">
        <f t="shared" si="876"/>
        <v>2.5000000000000018</v>
      </c>
      <c r="Y56" s="24">
        <f t="shared" si="876"/>
        <v>5.5000000000000018</v>
      </c>
      <c r="Z56" s="24">
        <f t="shared" si="876"/>
        <v>8.5000000000000018</v>
      </c>
      <c r="AA56" s="24">
        <f t="shared" si="876"/>
        <v>0.56250000000000178</v>
      </c>
      <c r="AB56" s="55">
        <f t="shared" si="876"/>
        <v>1.6875000000000018</v>
      </c>
      <c r="AC56" s="18">
        <f t="shared" si="876"/>
        <v>2.8125000000000018</v>
      </c>
      <c r="AD56" s="24">
        <f t="shared" si="876"/>
        <v>3.9375000000000018</v>
      </c>
      <c r="AE56" s="24">
        <f t="shared" si="876"/>
        <v>5.0625000000000018</v>
      </c>
      <c r="AF56" s="24">
        <f t="shared" si="876"/>
        <v>6.1875000000000018</v>
      </c>
      <c r="AG56" s="24">
        <f t="shared" si="876"/>
        <v>8.2500000000000018</v>
      </c>
      <c r="AH56" s="24">
        <f t="shared" si="876"/>
        <v>1.2500000000000018</v>
      </c>
      <c r="AI56" s="24">
        <f t="shared" si="876"/>
        <v>4.2500000000000018</v>
      </c>
      <c r="AJ56" s="24">
        <f t="shared" si="876"/>
        <v>7.2500000000000018</v>
      </c>
      <c r="AK56" s="24">
        <f t="shared" si="876"/>
        <v>10.250000000000002</v>
      </c>
      <c r="AL56" s="24">
        <f t="shared" si="876"/>
        <v>4.0500000000000025</v>
      </c>
      <c r="AM56" s="24">
        <f t="shared" si="876"/>
        <v>7.8500000000000023</v>
      </c>
      <c r="AN56" s="24">
        <f t="shared" si="876"/>
        <v>1.6500000000000021</v>
      </c>
      <c r="AO56" s="24">
        <f t="shared" si="876"/>
        <v>5.450000000000002</v>
      </c>
      <c r="AP56" s="24">
        <f t="shared" si="876"/>
        <v>9.2500000000000018</v>
      </c>
      <c r="AQ56" s="24">
        <f t="shared" si="876"/>
        <v>3.0500000000000025</v>
      </c>
      <c r="AR56" s="24">
        <f t="shared" si="876"/>
        <v>6.8500000000000023</v>
      </c>
      <c r="AS56" s="24">
        <f t="shared" si="876"/>
        <v>10.650000000000002</v>
      </c>
      <c r="AT56" s="24">
        <f t="shared" si="876"/>
        <v>4.4500000000000028</v>
      </c>
      <c r="AU56" s="24">
        <f t="shared" si="876"/>
        <v>8.2500000000000036</v>
      </c>
      <c r="AV56" s="24">
        <f t="shared" si="876"/>
        <v>1.2500000000000036</v>
      </c>
      <c r="AW56" s="24">
        <f t="shared" si="876"/>
        <v>4.2500000000000036</v>
      </c>
      <c r="AX56" s="24">
        <f t="shared" si="876"/>
        <v>6.3125000000000036</v>
      </c>
      <c r="AY56" s="24">
        <f t="shared" si="876"/>
        <v>7.4375000000000036</v>
      </c>
      <c r="AZ56" s="55">
        <f t="shared" si="876"/>
        <v>8.5625000000000036</v>
      </c>
      <c r="BA56" s="18">
        <f t="shared" si="876"/>
        <v>9.6875000000000036</v>
      </c>
      <c r="BB56" s="24">
        <f t="shared" si="876"/>
        <v>10.812500000000004</v>
      </c>
      <c r="BC56" s="24">
        <f t="shared" si="876"/>
        <v>11.937500000000004</v>
      </c>
      <c r="BD56" s="24">
        <f t="shared" si="876"/>
        <v>13.062500000000004</v>
      </c>
      <c r="BE56" s="24">
        <f t="shared" si="876"/>
        <v>15.125000000000004</v>
      </c>
      <c r="BF56" s="24">
        <f t="shared" si="876"/>
        <v>8.1250000000000036</v>
      </c>
      <c r="BG56" s="24">
        <f t="shared" si="876"/>
        <v>11.125000000000004</v>
      </c>
      <c r="BH56" s="24">
        <f t="shared" si="876"/>
        <v>4.1250000000000036</v>
      </c>
      <c r="BI56" s="24">
        <f t="shared" si="876"/>
        <v>7.1250000000000036</v>
      </c>
      <c r="BJ56" s="24">
        <f t="shared" si="876"/>
        <v>10.925000000000004</v>
      </c>
      <c r="BK56" s="24">
        <f t="shared" si="876"/>
        <v>4.725000000000005</v>
      </c>
      <c r="BL56" s="24">
        <f t="shared" si="876"/>
        <v>8.5250000000000057</v>
      </c>
      <c r="BM56" s="24">
        <f t="shared" si="876"/>
        <v>2.3250000000000064</v>
      </c>
      <c r="BN56" s="24">
        <f t="shared" si="876"/>
        <v>6.1250000000000062</v>
      </c>
      <c r="BO56" s="24">
        <f t="shared" si="876"/>
        <v>9.925000000000006</v>
      </c>
      <c r="BP56" s="24">
        <f t="shared" si="876"/>
        <v>3.7250000000000068</v>
      </c>
      <c r="BQ56" s="24">
        <f t="shared" si="876"/>
        <v>7.5250000000000066</v>
      </c>
      <c r="BR56" s="24">
        <f t="shared" si="876"/>
        <v>1.3250000000000064</v>
      </c>
      <c r="BS56" s="24">
        <f t="shared" ref="BS56:BX56" si="877">BR60-BR62+BS57</f>
        <v>5.1250000000000062</v>
      </c>
      <c r="BT56" s="24">
        <f t="shared" si="877"/>
        <v>8.1250000000000071</v>
      </c>
      <c r="BU56" s="24">
        <f t="shared" si="877"/>
        <v>11.125000000000007</v>
      </c>
      <c r="BV56" s="24">
        <f t="shared" si="877"/>
        <v>4.1250000000000071</v>
      </c>
      <c r="BW56" s="24">
        <f t="shared" si="877"/>
        <v>6.1875000000000071</v>
      </c>
      <c r="BX56" s="55">
        <f t="shared" si="877"/>
        <v>7.3125000000000071</v>
      </c>
      <c r="BY56" s="18">
        <f t="shared" ref="BY56" si="878">BX60-BX62+BY57</f>
        <v>8.4375000000000071</v>
      </c>
      <c r="BZ56" s="24">
        <f t="shared" ref="BZ56" si="879">BY60-BY62+BZ57</f>
        <v>9.5625000000000071</v>
      </c>
      <c r="CA56" s="24">
        <f t="shared" ref="CA56" si="880">BZ60-BZ62+CA57</f>
        <v>10.687500000000007</v>
      </c>
      <c r="CB56" s="24">
        <f t="shared" ref="CB56" si="881">CA60-CA62+CB57</f>
        <v>11.812500000000007</v>
      </c>
      <c r="CC56" s="24">
        <f t="shared" ref="CC56" si="882">CB60-CB62+CC57</f>
        <v>13.875000000000007</v>
      </c>
      <c r="CD56" s="24">
        <f t="shared" ref="CD56" si="883">CC60-CC62+CD57</f>
        <v>6.8750000000000071</v>
      </c>
      <c r="CE56" s="24">
        <f t="shared" ref="CE56" si="884">CD60-CD62+CE57</f>
        <v>9.8750000000000071</v>
      </c>
      <c r="CF56" s="24">
        <f t="shared" ref="CF56" si="885">CE60-CE62+CF57</f>
        <v>2.8750000000000071</v>
      </c>
      <c r="CG56" s="24">
        <f t="shared" ref="CG56" si="886">CF60-CF62+CG57</f>
        <v>5.8750000000000071</v>
      </c>
      <c r="CH56" s="24">
        <f t="shared" ref="CH56" si="887">CG60-CG62+CH57</f>
        <v>9.6750000000000078</v>
      </c>
      <c r="CI56" s="24">
        <f t="shared" ref="CI56" si="888">CH60-CH62+CI57</f>
        <v>3.4750000000000085</v>
      </c>
      <c r="CJ56" s="24">
        <f t="shared" ref="CJ56" si="889">CI60-CI62+CJ57</f>
        <v>7.2750000000000083</v>
      </c>
      <c r="CK56" s="24">
        <f t="shared" ref="CK56" si="890">CJ60-CJ62+CK57</f>
        <v>11.07500000000001</v>
      </c>
      <c r="CL56" s="24">
        <f t="shared" ref="CL56" si="891">CK60-CK62+CL57</f>
        <v>4.8750000000000107</v>
      </c>
      <c r="CM56" s="24">
        <f t="shared" ref="CM56" si="892">CL60-CL62+CM57</f>
        <v>8.6750000000000114</v>
      </c>
      <c r="CN56" s="24">
        <f t="shared" ref="CN56" si="893">CM60-CM62+CN57</f>
        <v>2.4750000000000121</v>
      </c>
      <c r="CO56" s="24">
        <f t="shared" ref="CO56" si="894">CN60-CN62+CO57</f>
        <v>6.2750000000000119</v>
      </c>
      <c r="CP56" s="24">
        <f t="shared" ref="CP56" si="895">CO60-CO62+CP57</f>
        <v>10.075000000000012</v>
      </c>
      <c r="CQ56" s="24">
        <f t="shared" ref="CQ56" si="896">CP60-CP62+CQ57</f>
        <v>3.8750000000000124</v>
      </c>
      <c r="CR56" s="24">
        <f t="shared" ref="CR56" si="897">CQ60-CQ62+CR57</f>
        <v>6.8750000000000124</v>
      </c>
      <c r="CS56" s="24">
        <f t="shared" ref="CS56" si="898">CR60-CR62+CS57</f>
        <v>9.8750000000000124</v>
      </c>
      <c r="CT56" s="24">
        <f t="shared" ref="CT56" si="899">CS60-CS62+CT57</f>
        <v>2.8750000000000124</v>
      </c>
      <c r="CU56" s="24">
        <f t="shared" ref="CU56" si="900">CT60-CT62+CU57</f>
        <v>4.9375000000000124</v>
      </c>
      <c r="CV56" s="55">
        <f t="shared" ref="CV56" si="901">CU60-CU62+CV57</f>
        <v>6.0625000000000124</v>
      </c>
      <c r="CW56" s="18">
        <f t="shared" ref="CW56" si="902">CV60-CV62+CW57</f>
        <v>7.1875000000000124</v>
      </c>
      <c r="CX56" s="24">
        <f t="shared" ref="CX56" si="903">CW60-CW62+CX57</f>
        <v>8.3125000000000124</v>
      </c>
      <c r="CY56" s="24">
        <f t="shared" ref="CY56" si="904">CX60-CX62+CY57</f>
        <v>9.4375000000000124</v>
      </c>
      <c r="CZ56" s="24">
        <f t="shared" ref="CZ56" si="905">CY60-CY62+CZ57</f>
        <v>10.562500000000012</v>
      </c>
      <c r="DA56" s="24">
        <f t="shared" ref="DA56" si="906">CZ60-CZ62+DA57</f>
        <v>12.625000000000012</v>
      </c>
      <c r="DB56" s="24">
        <f t="shared" ref="DB56" si="907">DA60-DA62+DB57</f>
        <v>5.6250000000000124</v>
      </c>
      <c r="DC56" s="24">
        <f t="shared" ref="DC56" si="908">DB60-DB62+DC57</f>
        <v>8.6250000000000124</v>
      </c>
      <c r="DD56" s="24">
        <f t="shared" ref="DD56" si="909">DC60-DC62+DD57</f>
        <v>1.6250000000000124</v>
      </c>
      <c r="DE56" s="24">
        <f t="shared" ref="DE56" si="910">DD60-DD62+DE57</f>
        <v>4.6250000000000124</v>
      </c>
      <c r="DF56" s="24">
        <f t="shared" ref="DF56" si="911">DE60-DE62+DF57</f>
        <v>8.4250000000000114</v>
      </c>
      <c r="DG56" s="24">
        <f t="shared" ref="DG56" si="912">DF60-DF62+DG57</f>
        <v>2.2250000000000121</v>
      </c>
      <c r="DH56" s="24">
        <f t="shared" ref="DH56" si="913">DG60-DG62+DH57</f>
        <v>6.0250000000000119</v>
      </c>
      <c r="DI56" s="24">
        <f t="shared" ref="DI56" si="914">DH60-DH62+DI57</f>
        <v>9.8250000000000117</v>
      </c>
      <c r="DJ56" s="24">
        <f t="shared" ref="DJ56" si="915">DI60-DI62+DJ57</f>
        <v>3.6250000000000124</v>
      </c>
      <c r="DK56" s="24">
        <f t="shared" ref="DK56" si="916">DJ60-DJ62+DK57</f>
        <v>7.4250000000000123</v>
      </c>
      <c r="DL56" s="24">
        <f t="shared" ref="DL56" si="917">DK60-DK62+DL57</f>
        <v>11.225000000000012</v>
      </c>
      <c r="DM56" s="24">
        <f t="shared" ref="DM56" si="918">DL60-DL62+DM57</f>
        <v>5.0250000000000128</v>
      </c>
      <c r="DN56" s="24">
        <f t="shared" ref="DN56" si="919">DM60-DM62+DN57</f>
        <v>8.8250000000000135</v>
      </c>
      <c r="DO56" s="24">
        <f t="shared" ref="DO56" si="920">DN60-DN62+DO57</f>
        <v>2.6250000000000142</v>
      </c>
      <c r="DP56" s="24">
        <f t="shared" ref="DP56" si="921">DO60-DO62+DP57</f>
        <v>5.6250000000000142</v>
      </c>
      <c r="DQ56" s="24">
        <f t="shared" ref="DQ56" si="922">DP60-DP62+DQ57</f>
        <v>8.6250000000000142</v>
      </c>
      <c r="DR56" s="24">
        <f t="shared" ref="DR56" si="923">DQ60-DQ62+DR57</f>
        <v>1.6250000000000142</v>
      </c>
      <c r="DS56" s="24">
        <f t="shared" ref="DS56" si="924">DR60-DR62+DS57</f>
        <v>3.6875000000000142</v>
      </c>
      <c r="DT56" s="55">
        <f t="shared" ref="DT56" si="925">DS60-DS62+DT57</f>
        <v>4.8125000000000142</v>
      </c>
    </row>
    <row r="57" spans="2:124" s="2" customFormat="1" x14ac:dyDescent="0.25">
      <c r="B57" s="19" t="s">
        <v>39</v>
      </c>
      <c r="C57" s="73"/>
      <c r="D57" s="100">
        <f>10/8</f>
        <v>1.25</v>
      </c>
      <c r="E57" s="25">
        <f t="shared" ref="E57:AJ57" si="926">IF(D41="T",$D$57*0.25,$D$57)</f>
        <v>0.3125</v>
      </c>
      <c r="F57" s="26">
        <f t="shared" si="926"/>
        <v>0.3125</v>
      </c>
      <c r="G57" s="26">
        <f t="shared" si="926"/>
        <v>0.3125</v>
      </c>
      <c r="H57" s="26">
        <f t="shared" si="926"/>
        <v>0.3125</v>
      </c>
      <c r="I57" s="26">
        <f t="shared" si="926"/>
        <v>1.25</v>
      </c>
      <c r="J57" s="26">
        <f t="shared" si="926"/>
        <v>1.25</v>
      </c>
      <c r="K57" s="26">
        <f t="shared" si="926"/>
        <v>1.25</v>
      </c>
      <c r="L57" s="26">
        <f t="shared" si="926"/>
        <v>1.25</v>
      </c>
      <c r="M57" s="26">
        <f t="shared" si="926"/>
        <v>1.25</v>
      </c>
      <c r="N57" s="26">
        <f t="shared" si="926"/>
        <v>1.25</v>
      </c>
      <c r="O57" s="26">
        <f t="shared" si="926"/>
        <v>1.25</v>
      </c>
      <c r="P57" s="26">
        <f t="shared" si="926"/>
        <v>1.25</v>
      </c>
      <c r="Q57" s="26">
        <f t="shared" si="926"/>
        <v>1.25</v>
      </c>
      <c r="R57" s="26">
        <f t="shared" si="926"/>
        <v>1.25</v>
      </c>
      <c r="S57" s="26">
        <f t="shared" si="926"/>
        <v>1.25</v>
      </c>
      <c r="T57" s="26">
        <f t="shared" si="926"/>
        <v>1.25</v>
      </c>
      <c r="U57" s="26">
        <f t="shared" si="926"/>
        <v>1.25</v>
      </c>
      <c r="V57" s="26">
        <f t="shared" si="926"/>
        <v>1.25</v>
      </c>
      <c r="W57" s="26">
        <f t="shared" si="926"/>
        <v>1.25</v>
      </c>
      <c r="X57" s="26">
        <f t="shared" si="926"/>
        <v>1.25</v>
      </c>
      <c r="Y57" s="26">
        <f t="shared" si="926"/>
        <v>1.25</v>
      </c>
      <c r="Z57" s="26">
        <f t="shared" si="926"/>
        <v>1.25</v>
      </c>
      <c r="AA57" s="26">
        <f t="shared" si="926"/>
        <v>0.3125</v>
      </c>
      <c r="AB57" s="58">
        <f t="shared" si="926"/>
        <v>0.3125</v>
      </c>
      <c r="AC57" s="25">
        <f t="shared" si="926"/>
        <v>0.3125</v>
      </c>
      <c r="AD57" s="26">
        <f t="shared" si="926"/>
        <v>0.3125</v>
      </c>
      <c r="AE57" s="26">
        <f t="shared" si="926"/>
        <v>0.3125</v>
      </c>
      <c r="AF57" s="26">
        <f t="shared" si="926"/>
        <v>0.3125</v>
      </c>
      <c r="AG57" s="26">
        <f t="shared" si="926"/>
        <v>1.25</v>
      </c>
      <c r="AH57" s="26">
        <f t="shared" si="926"/>
        <v>1.25</v>
      </c>
      <c r="AI57" s="26">
        <f t="shared" si="926"/>
        <v>1.25</v>
      </c>
      <c r="AJ57" s="26">
        <f t="shared" si="926"/>
        <v>1.25</v>
      </c>
      <c r="AK57" s="26">
        <f t="shared" ref="AK57:BP57" si="927">IF(AJ41="T",$D$57*0.25,$D$57)</f>
        <v>1.25</v>
      </c>
      <c r="AL57" s="26">
        <f t="shared" si="927"/>
        <v>1.25</v>
      </c>
      <c r="AM57" s="26">
        <f t="shared" si="927"/>
        <v>1.25</v>
      </c>
      <c r="AN57" s="26">
        <f t="shared" si="927"/>
        <v>1.25</v>
      </c>
      <c r="AO57" s="26">
        <f t="shared" si="927"/>
        <v>1.25</v>
      </c>
      <c r="AP57" s="26">
        <f t="shared" si="927"/>
        <v>1.25</v>
      </c>
      <c r="AQ57" s="26">
        <f t="shared" si="927"/>
        <v>1.25</v>
      </c>
      <c r="AR57" s="26">
        <f t="shared" si="927"/>
        <v>1.25</v>
      </c>
      <c r="AS57" s="26">
        <f t="shared" si="927"/>
        <v>1.25</v>
      </c>
      <c r="AT57" s="26">
        <f t="shared" si="927"/>
        <v>1.25</v>
      </c>
      <c r="AU57" s="26">
        <f t="shared" si="927"/>
        <v>1.25</v>
      </c>
      <c r="AV57" s="26">
        <f t="shared" si="927"/>
        <v>1.25</v>
      </c>
      <c r="AW57" s="26">
        <f t="shared" si="927"/>
        <v>1.25</v>
      </c>
      <c r="AX57" s="26">
        <f t="shared" si="927"/>
        <v>0.3125</v>
      </c>
      <c r="AY57" s="26">
        <f t="shared" si="927"/>
        <v>0.3125</v>
      </c>
      <c r="AZ57" s="58">
        <f t="shared" si="927"/>
        <v>0.3125</v>
      </c>
      <c r="BA57" s="25">
        <f t="shared" si="927"/>
        <v>0.3125</v>
      </c>
      <c r="BB57" s="26">
        <f t="shared" si="927"/>
        <v>0.3125</v>
      </c>
      <c r="BC57" s="26">
        <f t="shared" si="927"/>
        <v>0.3125</v>
      </c>
      <c r="BD57" s="26">
        <f t="shared" si="927"/>
        <v>0.3125</v>
      </c>
      <c r="BE57" s="26">
        <f t="shared" si="927"/>
        <v>1.25</v>
      </c>
      <c r="BF57" s="26">
        <f t="shared" si="927"/>
        <v>1.25</v>
      </c>
      <c r="BG57" s="26">
        <f t="shared" si="927"/>
        <v>1.25</v>
      </c>
      <c r="BH57" s="26">
        <f t="shared" si="927"/>
        <v>1.25</v>
      </c>
      <c r="BI57" s="26">
        <f t="shared" si="927"/>
        <v>1.25</v>
      </c>
      <c r="BJ57" s="26">
        <f t="shared" si="927"/>
        <v>1.25</v>
      </c>
      <c r="BK57" s="26">
        <f t="shared" si="927"/>
        <v>1.25</v>
      </c>
      <c r="BL57" s="26">
        <f t="shared" si="927"/>
        <v>1.25</v>
      </c>
      <c r="BM57" s="26">
        <f t="shared" si="927"/>
        <v>1.25</v>
      </c>
      <c r="BN57" s="26">
        <f t="shared" si="927"/>
        <v>1.25</v>
      </c>
      <c r="BO57" s="26">
        <f t="shared" si="927"/>
        <v>1.25</v>
      </c>
      <c r="BP57" s="26">
        <f t="shared" si="927"/>
        <v>1.25</v>
      </c>
      <c r="BQ57" s="26">
        <f t="shared" ref="BQ57:CV57" si="928">IF(BP41="T",$D$57*0.25,$D$57)</f>
        <v>1.25</v>
      </c>
      <c r="BR57" s="26">
        <f t="shared" si="928"/>
        <v>1.25</v>
      </c>
      <c r="BS57" s="26">
        <f t="shared" si="928"/>
        <v>1.25</v>
      </c>
      <c r="BT57" s="26">
        <f t="shared" si="928"/>
        <v>1.25</v>
      </c>
      <c r="BU57" s="26">
        <f t="shared" si="928"/>
        <v>1.25</v>
      </c>
      <c r="BV57" s="26">
        <f t="shared" si="928"/>
        <v>1.25</v>
      </c>
      <c r="BW57" s="26">
        <f t="shared" si="928"/>
        <v>0.3125</v>
      </c>
      <c r="BX57" s="58">
        <f t="shared" si="928"/>
        <v>0.3125</v>
      </c>
      <c r="BY57" s="25">
        <f t="shared" si="928"/>
        <v>0.3125</v>
      </c>
      <c r="BZ57" s="26">
        <f t="shared" si="928"/>
        <v>0.3125</v>
      </c>
      <c r="CA57" s="26">
        <f t="shared" si="928"/>
        <v>0.3125</v>
      </c>
      <c r="CB57" s="26">
        <f t="shared" si="928"/>
        <v>0.3125</v>
      </c>
      <c r="CC57" s="26">
        <f t="shared" si="928"/>
        <v>1.25</v>
      </c>
      <c r="CD57" s="26">
        <f t="shared" si="928"/>
        <v>1.25</v>
      </c>
      <c r="CE57" s="26">
        <f t="shared" si="928"/>
        <v>1.25</v>
      </c>
      <c r="CF57" s="26">
        <f t="shared" si="928"/>
        <v>1.25</v>
      </c>
      <c r="CG57" s="26">
        <f t="shared" si="928"/>
        <v>1.25</v>
      </c>
      <c r="CH57" s="26">
        <f t="shared" si="928"/>
        <v>1.25</v>
      </c>
      <c r="CI57" s="26">
        <f t="shared" si="928"/>
        <v>1.25</v>
      </c>
      <c r="CJ57" s="26">
        <f t="shared" si="928"/>
        <v>1.25</v>
      </c>
      <c r="CK57" s="26">
        <f t="shared" si="928"/>
        <v>1.25</v>
      </c>
      <c r="CL57" s="26">
        <f t="shared" si="928"/>
        <v>1.25</v>
      </c>
      <c r="CM57" s="26">
        <f t="shared" si="928"/>
        <v>1.25</v>
      </c>
      <c r="CN57" s="26">
        <f t="shared" si="928"/>
        <v>1.25</v>
      </c>
      <c r="CO57" s="26">
        <f t="shared" si="928"/>
        <v>1.25</v>
      </c>
      <c r="CP57" s="26">
        <f t="shared" si="928"/>
        <v>1.25</v>
      </c>
      <c r="CQ57" s="26">
        <f t="shared" si="928"/>
        <v>1.25</v>
      </c>
      <c r="CR57" s="26">
        <f t="shared" si="928"/>
        <v>1.25</v>
      </c>
      <c r="CS57" s="26">
        <f t="shared" si="928"/>
        <v>1.25</v>
      </c>
      <c r="CT57" s="26">
        <f t="shared" si="928"/>
        <v>1.25</v>
      </c>
      <c r="CU57" s="26">
        <f t="shared" si="928"/>
        <v>0.3125</v>
      </c>
      <c r="CV57" s="58">
        <f t="shared" si="928"/>
        <v>0.3125</v>
      </c>
      <c r="CW57" s="25">
        <f t="shared" ref="CW57:DT57" si="929">IF(CV41="T",$D$57*0.25,$D$57)</f>
        <v>0.3125</v>
      </c>
      <c r="CX57" s="26">
        <f t="shared" si="929"/>
        <v>0.3125</v>
      </c>
      <c r="CY57" s="26">
        <f t="shared" si="929"/>
        <v>0.3125</v>
      </c>
      <c r="CZ57" s="26">
        <f t="shared" si="929"/>
        <v>0.3125</v>
      </c>
      <c r="DA57" s="26">
        <f t="shared" si="929"/>
        <v>1.25</v>
      </c>
      <c r="DB57" s="26">
        <f t="shared" si="929"/>
        <v>1.25</v>
      </c>
      <c r="DC57" s="26">
        <f t="shared" si="929"/>
        <v>1.25</v>
      </c>
      <c r="DD57" s="26">
        <f t="shared" si="929"/>
        <v>1.25</v>
      </c>
      <c r="DE57" s="26">
        <f t="shared" si="929"/>
        <v>1.25</v>
      </c>
      <c r="DF57" s="26">
        <f t="shared" si="929"/>
        <v>1.25</v>
      </c>
      <c r="DG57" s="26">
        <f t="shared" si="929"/>
        <v>1.25</v>
      </c>
      <c r="DH57" s="26">
        <f t="shared" si="929"/>
        <v>1.25</v>
      </c>
      <c r="DI57" s="26">
        <f t="shared" si="929"/>
        <v>1.25</v>
      </c>
      <c r="DJ57" s="26">
        <f t="shared" si="929"/>
        <v>1.25</v>
      </c>
      <c r="DK57" s="26">
        <f t="shared" si="929"/>
        <v>1.25</v>
      </c>
      <c r="DL57" s="26">
        <f t="shared" si="929"/>
        <v>1.25</v>
      </c>
      <c r="DM57" s="26">
        <f t="shared" si="929"/>
        <v>1.25</v>
      </c>
      <c r="DN57" s="26">
        <f t="shared" si="929"/>
        <v>1.25</v>
      </c>
      <c r="DO57" s="26">
        <f t="shared" si="929"/>
        <v>1.25</v>
      </c>
      <c r="DP57" s="26">
        <f t="shared" si="929"/>
        <v>1.25</v>
      </c>
      <c r="DQ57" s="26">
        <f t="shared" si="929"/>
        <v>1.25</v>
      </c>
      <c r="DR57" s="26">
        <f t="shared" si="929"/>
        <v>1.25</v>
      </c>
      <c r="DS57" s="26">
        <f t="shared" si="929"/>
        <v>0.3125</v>
      </c>
      <c r="DT57" s="58">
        <f t="shared" si="929"/>
        <v>0.3125</v>
      </c>
    </row>
    <row r="58" spans="2:124" s="11" customFormat="1" x14ac:dyDescent="0.25">
      <c r="B58" s="27" t="s">
        <v>13</v>
      </c>
      <c r="C58" s="73"/>
      <c r="D58" s="100">
        <v>0.5</v>
      </c>
      <c r="E58" s="28">
        <v>0.5</v>
      </c>
      <c r="F58" s="11">
        <v>0.5</v>
      </c>
      <c r="G58" s="11">
        <v>0.5</v>
      </c>
      <c r="H58" s="11">
        <v>0.5</v>
      </c>
      <c r="I58" s="11">
        <v>0.5</v>
      </c>
      <c r="J58" s="11">
        <v>0.5</v>
      </c>
      <c r="K58" s="11">
        <v>0.5</v>
      </c>
      <c r="L58" s="11">
        <v>0.5</v>
      </c>
      <c r="M58" s="11">
        <v>1.3</v>
      </c>
      <c r="N58" s="11">
        <v>1.3</v>
      </c>
      <c r="O58" s="11">
        <v>1.3</v>
      </c>
      <c r="P58" s="11">
        <v>1.3</v>
      </c>
      <c r="Q58" s="11">
        <v>1.3</v>
      </c>
      <c r="R58" s="11">
        <v>1.3</v>
      </c>
      <c r="S58" s="11">
        <v>1.3</v>
      </c>
      <c r="T58" s="11">
        <v>1.3</v>
      </c>
      <c r="U58" s="11">
        <v>1.3</v>
      </c>
      <c r="V58" s="11">
        <v>1.3</v>
      </c>
      <c r="W58" s="11">
        <v>0.5</v>
      </c>
      <c r="X58" s="11">
        <v>0.5</v>
      </c>
      <c r="Y58" s="11">
        <v>0.5</v>
      </c>
      <c r="Z58" s="11">
        <v>0.5</v>
      </c>
      <c r="AA58" s="11">
        <v>0.5</v>
      </c>
      <c r="AB58" s="59">
        <v>0.5</v>
      </c>
      <c r="AC58" s="28">
        <v>0.5</v>
      </c>
      <c r="AD58" s="11">
        <v>0.5</v>
      </c>
      <c r="AE58" s="11">
        <v>0.5</v>
      </c>
      <c r="AF58" s="11">
        <v>0.5</v>
      </c>
      <c r="AG58" s="11">
        <v>0.5</v>
      </c>
      <c r="AH58" s="11">
        <v>0.5</v>
      </c>
      <c r="AI58" s="11">
        <v>0.5</v>
      </c>
      <c r="AJ58" s="11">
        <v>0.5</v>
      </c>
      <c r="AK58" s="11">
        <v>1.3</v>
      </c>
      <c r="AL58" s="11">
        <v>1.3</v>
      </c>
      <c r="AM58" s="11">
        <v>1.3</v>
      </c>
      <c r="AN58" s="11">
        <v>1.3</v>
      </c>
      <c r="AO58" s="11">
        <v>1.3</v>
      </c>
      <c r="AP58" s="11">
        <v>1.3</v>
      </c>
      <c r="AQ58" s="11">
        <v>1.3</v>
      </c>
      <c r="AR58" s="11">
        <v>1.3</v>
      </c>
      <c r="AS58" s="11">
        <v>1.3</v>
      </c>
      <c r="AT58" s="11">
        <v>1.3</v>
      </c>
      <c r="AU58" s="11">
        <v>0.5</v>
      </c>
      <c r="AV58" s="11">
        <v>0.5</v>
      </c>
      <c r="AW58" s="11">
        <v>0.5</v>
      </c>
      <c r="AX58" s="11">
        <v>0.5</v>
      </c>
      <c r="AY58" s="11">
        <v>0.5</v>
      </c>
      <c r="AZ58" s="59">
        <v>0.5</v>
      </c>
      <c r="BA58" s="28">
        <v>0.5</v>
      </c>
      <c r="BB58" s="11">
        <v>0.5</v>
      </c>
      <c r="BC58" s="11">
        <v>0.5</v>
      </c>
      <c r="BD58" s="11">
        <v>0.5</v>
      </c>
      <c r="BE58" s="11">
        <v>0.5</v>
      </c>
      <c r="BF58" s="11">
        <v>0.5</v>
      </c>
      <c r="BG58" s="11">
        <v>0.5</v>
      </c>
      <c r="BH58" s="11">
        <v>0.5</v>
      </c>
      <c r="BI58" s="11">
        <v>1.3</v>
      </c>
      <c r="BJ58" s="11">
        <v>1.3</v>
      </c>
      <c r="BK58" s="11">
        <v>1.3</v>
      </c>
      <c r="BL58" s="11">
        <v>1.3</v>
      </c>
      <c r="BM58" s="11">
        <v>1.3</v>
      </c>
      <c r="BN58" s="11">
        <v>1.3</v>
      </c>
      <c r="BO58" s="11">
        <v>1.3</v>
      </c>
      <c r="BP58" s="11">
        <v>1.3</v>
      </c>
      <c r="BQ58" s="11">
        <v>1.3</v>
      </c>
      <c r="BR58" s="11">
        <v>1.3</v>
      </c>
      <c r="BS58" s="11">
        <v>0.5</v>
      </c>
      <c r="BT58" s="11">
        <v>0.5</v>
      </c>
      <c r="BU58" s="11">
        <v>0.5</v>
      </c>
      <c r="BV58" s="11">
        <v>0.5</v>
      </c>
      <c r="BW58" s="11">
        <v>0.5</v>
      </c>
      <c r="BX58" s="59">
        <v>0.5</v>
      </c>
      <c r="BY58" s="28">
        <v>0.5</v>
      </c>
      <c r="BZ58" s="11">
        <v>0.5</v>
      </c>
      <c r="CA58" s="11">
        <v>0.5</v>
      </c>
      <c r="CB58" s="11">
        <v>0.5</v>
      </c>
      <c r="CC58" s="11">
        <v>0.5</v>
      </c>
      <c r="CD58" s="11">
        <v>0.5</v>
      </c>
      <c r="CE58" s="11">
        <v>0.5</v>
      </c>
      <c r="CF58" s="11">
        <v>0.5</v>
      </c>
      <c r="CG58" s="11">
        <v>1.3</v>
      </c>
      <c r="CH58" s="11">
        <v>1.3</v>
      </c>
      <c r="CI58" s="11">
        <v>1.3</v>
      </c>
      <c r="CJ58" s="11">
        <v>1.3</v>
      </c>
      <c r="CK58" s="11">
        <v>1.3</v>
      </c>
      <c r="CL58" s="11">
        <v>1.3</v>
      </c>
      <c r="CM58" s="11">
        <v>1.3</v>
      </c>
      <c r="CN58" s="11">
        <v>1.3</v>
      </c>
      <c r="CO58" s="11">
        <v>1.3</v>
      </c>
      <c r="CP58" s="11">
        <v>1.3</v>
      </c>
      <c r="CQ58" s="11">
        <v>0.5</v>
      </c>
      <c r="CR58" s="11">
        <v>0.5</v>
      </c>
      <c r="CS58" s="11">
        <v>0.5</v>
      </c>
      <c r="CT58" s="11">
        <v>0.5</v>
      </c>
      <c r="CU58" s="11">
        <v>0.5</v>
      </c>
      <c r="CV58" s="59">
        <v>0.5</v>
      </c>
      <c r="CW58" s="28">
        <v>0.5</v>
      </c>
      <c r="CX58" s="11">
        <v>0.5</v>
      </c>
      <c r="CY58" s="11">
        <v>0.5</v>
      </c>
      <c r="CZ58" s="11">
        <v>0.5</v>
      </c>
      <c r="DA58" s="11">
        <v>0.5</v>
      </c>
      <c r="DB58" s="11">
        <v>0.5</v>
      </c>
      <c r="DC58" s="11">
        <v>0.5</v>
      </c>
      <c r="DD58" s="11">
        <v>0.5</v>
      </c>
      <c r="DE58" s="11">
        <v>1.3</v>
      </c>
      <c r="DF58" s="11">
        <v>1.3</v>
      </c>
      <c r="DG58" s="11">
        <v>1.3</v>
      </c>
      <c r="DH58" s="11">
        <v>1.3</v>
      </c>
      <c r="DI58" s="11">
        <v>1.3</v>
      </c>
      <c r="DJ58" s="11">
        <v>1.3</v>
      </c>
      <c r="DK58" s="11">
        <v>1.3</v>
      </c>
      <c r="DL58" s="11">
        <v>1.3</v>
      </c>
      <c r="DM58" s="11">
        <v>1.3</v>
      </c>
      <c r="DN58" s="11">
        <v>1.3</v>
      </c>
      <c r="DO58" s="11">
        <v>0.5</v>
      </c>
      <c r="DP58" s="11">
        <v>0.5</v>
      </c>
      <c r="DQ58" s="11">
        <v>0.5</v>
      </c>
      <c r="DR58" s="11">
        <v>0.5</v>
      </c>
      <c r="DS58" s="11">
        <v>0.5</v>
      </c>
      <c r="DT58" s="59">
        <v>0.5</v>
      </c>
    </row>
    <row r="59" spans="2:124" x14ac:dyDescent="0.25">
      <c r="B59" s="3" t="s">
        <v>14</v>
      </c>
      <c r="D59" s="100">
        <v>1</v>
      </c>
      <c r="E59" s="29">
        <v>1</v>
      </c>
      <c r="F59" s="30">
        <v>1</v>
      </c>
      <c r="G59" s="30">
        <v>1</v>
      </c>
      <c r="H59" s="30">
        <v>1</v>
      </c>
      <c r="I59" s="30">
        <v>1</v>
      </c>
      <c r="J59" s="30">
        <v>1</v>
      </c>
      <c r="K59" s="30">
        <v>1</v>
      </c>
      <c r="L59" s="30">
        <v>1</v>
      </c>
      <c r="M59" s="30">
        <v>1</v>
      </c>
      <c r="N59" s="30">
        <v>1</v>
      </c>
      <c r="O59" s="30">
        <v>1</v>
      </c>
      <c r="P59" s="30">
        <v>1</v>
      </c>
      <c r="Q59" s="30">
        <v>1</v>
      </c>
      <c r="R59" s="30">
        <v>1</v>
      </c>
      <c r="S59" s="30">
        <v>1</v>
      </c>
      <c r="T59" s="30">
        <v>1</v>
      </c>
      <c r="U59" s="30">
        <v>1</v>
      </c>
      <c r="V59" s="30">
        <v>1</v>
      </c>
      <c r="W59" s="30">
        <v>1</v>
      </c>
      <c r="X59" s="30">
        <v>1</v>
      </c>
      <c r="Y59" s="30">
        <v>1</v>
      </c>
      <c r="Z59" s="30">
        <v>1</v>
      </c>
      <c r="AA59" s="30">
        <v>1</v>
      </c>
      <c r="AB59" s="60">
        <v>1</v>
      </c>
      <c r="AC59" s="29">
        <v>1</v>
      </c>
      <c r="AD59" s="30">
        <v>1</v>
      </c>
      <c r="AE59" s="30">
        <v>1</v>
      </c>
      <c r="AF59" s="30">
        <v>1</v>
      </c>
      <c r="AG59" s="30">
        <v>1</v>
      </c>
      <c r="AH59" s="30">
        <v>1</v>
      </c>
      <c r="AI59" s="30">
        <v>1</v>
      </c>
      <c r="AJ59" s="30">
        <v>1</v>
      </c>
      <c r="AK59" s="30">
        <v>1</v>
      </c>
      <c r="AL59" s="30">
        <v>1</v>
      </c>
      <c r="AM59" s="30">
        <v>1</v>
      </c>
      <c r="AN59" s="30">
        <v>1</v>
      </c>
      <c r="AO59" s="30">
        <v>1</v>
      </c>
      <c r="AP59" s="30">
        <v>1</v>
      </c>
      <c r="AQ59" s="30">
        <v>1</v>
      </c>
      <c r="AR59" s="30">
        <v>1</v>
      </c>
      <c r="AS59" s="30">
        <v>1</v>
      </c>
      <c r="AT59" s="30">
        <v>1</v>
      </c>
      <c r="AU59" s="30">
        <v>1</v>
      </c>
      <c r="AV59" s="30">
        <v>1</v>
      </c>
      <c r="AW59" s="30">
        <v>1</v>
      </c>
      <c r="AX59" s="30">
        <v>1</v>
      </c>
      <c r="AY59" s="30">
        <v>1</v>
      </c>
      <c r="AZ59" s="60">
        <v>1</v>
      </c>
      <c r="BA59" s="29">
        <v>1</v>
      </c>
      <c r="BB59" s="30">
        <v>1</v>
      </c>
      <c r="BC59" s="30">
        <v>1</v>
      </c>
      <c r="BD59" s="30">
        <v>1</v>
      </c>
      <c r="BE59" s="30">
        <v>1</v>
      </c>
      <c r="BF59" s="30">
        <v>1</v>
      </c>
      <c r="BG59" s="30">
        <v>1</v>
      </c>
      <c r="BH59" s="30">
        <v>1</v>
      </c>
      <c r="BI59" s="30">
        <v>1</v>
      </c>
      <c r="BJ59" s="30">
        <v>1</v>
      </c>
      <c r="BK59" s="30">
        <v>1</v>
      </c>
      <c r="BL59" s="30">
        <v>1</v>
      </c>
      <c r="BM59" s="30">
        <v>1</v>
      </c>
      <c r="BN59" s="30">
        <v>1</v>
      </c>
      <c r="BO59" s="30">
        <v>1</v>
      </c>
      <c r="BP59" s="30">
        <v>1</v>
      </c>
      <c r="BQ59" s="30">
        <v>1</v>
      </c>
      <c r="BR59" s="30">
        <v>1</v>
      </c>
      <c r="BS59" s="30">
        <v>1</v>
      </c>
      <c r="BT59" s="30">
        <v>1</v>
      </c>
      <c r="BU59" s="30">
        <v>1</v>
      </c>
      <c r="BV59" s="30">
        <v>1</v>
      </c>
      <c r="BW59" s="30">
        <v>1</v>
      </c>
      <c r="BX59" s="60">
        <v>1</v>
      </c>
      <c r="BY59" s="29">
        <v>1</v>
      </c>
      <c r="BZ59" s="30">
        <v>1</v>
      </c>
      <c r="CA59" s="30">
        <v>1</v>
      </c>
      <c r="CB59" s="30">
        <v>1</v>
      </c>
      <c r="CC59" s="30">
        <v>1</v>
      </c>
      <c r="CD59" s="30">
        <v>1</v>
      </c>
      <c r="CE59" s="30">
        <v>1</v>
      </c>
      <c r="CF59" s="30">
        <v>1</v>
      </c>
      <c r="CG59" s="30">
        <v>1</v>
      </c>
      <c r="CH59" s="30">
        <v>1</v>
      </c>
      <c r="CI59" s="30">
        <v>1</v>
      </c>
      <c r="CJ59" s="30">
        <v>1</v>
      </c>
      <c r="CK59" s="30">
        <v>1</v>
      </c>
      <c r="CL59" s="30">
        <v>1</v>
      </c>
      <c r="CM59" s="30">
        <v>1</v>
      </c>
      <c r="CN59" s="30">
        <v>1</v>
      </c>
      <c r="CO59" s="30">
        <v>1</v>
      </c>
      <c r="CP59" s="30">
        <v>1</v>
      </c>
      <c r="CQ59" s="30">
        <v>1</v>
      </c>
      <c r="CR59" s="30">
        <v>1</v>
      </c>
      <c r="CS59" s="30">
        <v>1</v>
      </c>
      <c r="CT59" s="30">
        <v>1</v>
      </c>
      <c r="CU59" s="30">
        <v>1</v>
      </c>
      <c r="CV59" s="60">
        <v>1</v>
      </c>
      <c r="CW59" s="29">
        <v>1</v>
      </c>
      <c r="CX59" s="30">
        <v>1</v>
      </c>
      <c r="CY59" s="30">
        <v>1</v>
      </c>
      <c r="CZ59" s="30">
        <v>1</v>
      </c>
      <c r="DA59" s="30">
        <v>1</v>
      </c>
      <c r="DB59" s="30">
        <v>1</v>
      </c>
      <c r="DC59" s="30">
        <v>1</v>
      </c>
      <c r="DD59" s="30">
        <v>1</v>
      </c>
      <c r="DE59" s="30">
        <v>1</v>
      </c>
      <c r="DF59" s="30">
        <v>1</v>
      </c>
      <c r="DG59" s="30">
        <v>1</v>
      </c>
      <c r="DH59" s="30">
        <v>1</v>
      </c>
      <c r="DI59" s="30">
        <v>1</v>
      </c>
      <c r="DJ59" s="30">
        <v>1</v>
      </c>
      <c r="DK59" s="30">
        <v>1</v>
      </c>
      <c r="DL59" s="30">
        <v>1</v>
      </c>
      <c r="DM59" s="30">
        <v>1</v>
      </c>
      <c r="DN59" s="30">
        <v>1</v>
      </c>
      <c r="DO59" s="30">
        <v>1</v>
      </c>
      <c r="DP59" s="30">
        <v>1</v>
      </c>
      <c r="DQ59" s="30">
        <v>1</v>
      </c>
      <c r="DR59" s="30">
        <v>1</v>
      </c>
      <c r="DS59" s="30">
        <v>1</v>
      </c>
      <c r="DT59" s="60">
        <v>1</v>
      </c>
    </row>
    <row r="60" spans="2:124" x14ac:dyDescent="0.25">
      <c r="B60" s="3" t="s">
        <v>40</v>
      </c>
      <c r="D60" s="100">
        <f>(D56+D57+D58)*D59</f>
        <v>3.75</v>
      </c>
      <c r="E60" s="18">
        <f>E56+(E57*E59)+E58</f>
        <v>4.875</v>
      </c>
      <c r="F60" s="24">
        <f t="shared" ref="F60:BQ60" si="930">F56+(F57*F59)+F58</f>
        <v>6</v>
      </c>
      <c r="G60" s="24">
        <f t="shared" si="930"/>
        <v>7.125</v>
      </c>
      <c r="H60" s="24">
        <f t="shared" si="930"/>
        <v>8.25</v>
      </c>
      <c r="I60" s="24">
        <f t="shared" si="930"/>
        <v>11.25</v>
      </c>
      <c r="J60" s="24">
        <f t="shared" si="930"/>
        <v>4.25</v>
      </c>
      <c r="K60" s="24">
        <f t="shared" si="930"/>
        <v>7.25</v>
      </c>
      <c r="L60" s="24">
        <f t="shared" si="930"/>
        <v>10.25</v>
      </c>
      <c r="M60" s="24">
        <f t="shared" si="930"/>
        <v>4.05</v>
      </c>
      <c r="N60" s="24">
        <f t="shared" si="930"/>
        <v>7.85</v>
      </c>
      <c r="O60" s="24">
        <f t="shared" si="930"/>
        <v>11.65</v>
      </c>
      <c r="P60" s="24">
        <f t="shared" si="930"/>
        <v>5.45</v>
      </c>
      <c r="Q60" s="24">
        <f t="shared" si="930"/>
        <v>9.25</v>
      </c>
      <c r="R60" s="24">
        <f t="shared" si="930"/>
        <v>13.05</v>
      </c>
      <c r="S60" s="24">
        <f t="shared" si="930"/>
        <v>6.8500000000000005</v>
      </c>
      <c r="T60" s="24">
        <f t="shared" si="930"/>
        <v>10.650000000000002</v>
      </c>
      <c r="U60" s="24">
        <f t="shared" si="930"/>
        <v>4.450000000000002</v>
      </c>
      <c r="V60" s="24">
        <f t="shared" si="930"/>
        <v>8.2500000000000018</v>
      </c>
      <c r="W60" s="24">
        <f t="shared" si="930"/>
        <v>11.250000000000002</v>
      </c>
      <c r="X60" s="24">
        <f t="shared" si="930"/>
        <v>4.2500000000000018</v>
      </c>
      <c r="Y60" s="24">
        <f t="shared" si="930"/>
        <v>7.2500000000000018</v>
      </c>
      <c r="Z60" s="24">
        <f t="shared" si="930"/>
        <v>10.250000000000002</v>
      </c>
      <c r="AA60" s="24">
        <f t="shared" si="930"/>
        <v>1.3750000000000018</v>
      </c>
      <c r="AB60" s="55">
        <f t="shared" si="930"/>
        <v>2.5000000000000018</v>
      </c>
      <c r="AC60" s="18">
        <f t="shared" si="930"/>
        <v>3.6250000000000018</v>
      </c>
      <c r="AD60" s="24">
        <f t="shared" si="930"/>
        <v>4.7500000000000018</v>
      </c>
      <c r="AE60" s="24">
        <f t="shared" si="930"/>
        <v>5.8750000000000018</v>
      </c>
      <c r="AF60" s="24">
        <f t="shared" si="930"/>
        <v>7.0000000000000018</v>
      </c>
      <c r="AG60" s="24">
        <f t="shared" si="930"/>
        <v>10.000000000000002</v>
      </c>
      <c r="AH60" s="24">
        <f t="shared" si="930"/>
        <v>3.0000000000000018</v>
      </c>
      <c r="AI60" s="24">
        <f t="shared" si="930"/>
        <v>6.0000000000000018</v>
      </c>
      <c r="AJ60" s="24">
        <f t="shared" si="930"/>
        <v>9.0000000000000018</v>
      </c>
      <c r="AK60" s="24">
        <f t="shared" si="930"/>
        <v>12.800000000000002</v>
      </c>
      <c r="AL60" s="24">
        <f t="shared" si="930"/>
        <v>6.6000000000000023</v>
      </c>
      <c r="AM60" s="24">
        <f t="shared" si="930"/>
        <v>10.400000000000002</v>
      </c>
      <c r="AN60" s="24">
        <f t="shared" si="930"/>
        <v>4.200000000000002</v>
      </c>
      <c r="AO60" s="24">
        <f t="shared" si="930"/>
        <v>8.0000000000000018</v>
      </c>
      <c r="AP60" s="24">
        <f t="shared" si="930"/>
        <v>11.800000000000002</v>
      </c>
      <c r="AQ60" s="24">
        <f t="shared" si="930"/>
        <v>5.6000000000000023</v>
      </c>
      <c r="AR60" s="24">
        <f t="shared" si="930"/>
        <v>9.4000000000000021</v>
      </c>
      <c r="AS60" s="24">
        <f t="shared" si="930"/>
        <v>13.200000000000003</v>
      </c>
      <c r="AT60" s="24">
        <f t="shared" si="930"/>
        <v>7.0000000000000027</v>
      </c>
      <c r="AU60" s="24">
        <f t="shared" si="930"/>
        <v>10.000000000000004</v>
      </c>
      <c r="AV60" s="24">
        <f t="shared" si="930"/>
        <v>3.0000000000000036</v>
      </c>
      <c r="AW60" s="24">
        <f t="shared" si="930"/>
        <v>6.0000000000000036</v>
      </c>
      <c r="AX60" s="24">
        <f t="shared" si="930"/>
        <v>7.1250000000000036</v>
      </c>
      <c r="AY60" s="24">
        <f t="shared" si="930"/>
        <v>8.2500000000000036</v>
      </c>
      <c r="AZ60" s="55">
        <f t="shared" si="930"/>
        <v>9.3750000000000036</v>
      </c>
      <c r="BA60" s="18">
        <f t="shared" si="930"/>
        <v>10.500000000000004</v>
      </c>
      <c r="BB60" s="24">
        <f t="shared" si="930"/>
        <v>11.625000000000004</v>
      </c>
      <c r="BC60" s="24">
        <f t="shared" si="930"/>
        <v>12.750000000000004</v>
      </c>
      <c r="BD60" s="24">
        <f t="shared" si="930"/>
        <v>13.875000000000004</v>
      </c>
      <c r="BE60" s="24">
        <f t="shared" si="930"/>
        <v>16.875000000000004</v>
      </c>
      <c r="BF60" s="24">
        <f t="shared" si="930"/>
        <v>9.8750000000000036</v>
      </c>
      <c r="BG60" s="24">
        <f t="shared" si="930"/>
        <v>12.875000000000004</v>
      </c>
      <c r="BH60" s="24">
        <f t="shared" si="930"/>
        <v>5.8750000000000036</v>
      </c>
      <c r="BI60" s="24">
        <f t="shared" si="930"/>
        <v>9.6750000000000043</v>
      </c>
      <c r="BJ60" s="24">
        <f t="shared" si="930"/>
        <v>13.475000000000005</v>
      </c>
      <c r="BK60" s="24">
        <f t="shared" si="930"/>
        <v>7.2750000000000048</v>
      </c>
      <c r="BL60" s="24">
        <f t="shared" si="930"/>
        <v>11.075000000000006</v>
      </c>
      <c r="BM60" s="24">
        <f t="shared" si="930"/>
        <v>4.8750000000000062</v>
      </c>
      <c r="BN60" s="24">
        <f t="shared" si="930"/>
        <v>8.675000000000006</v>
      </c>
      <c r="BO60" s="24">
        <f t="shared" si="930"/>
        <v>12.475000000000007</v>
      </c>
      <c r="BP60" s="24">
        <f t="shared" si="930"/>
        <v>6.2750000000000066</v>
      </c>
      <c r="BQ60" s="24">
        <f t="shared" si="930"/>
        <v>10.075000000000006</v>
      </c>
      <c r="BR60" s="24">
        <f t="shared" ref="BR60:CO60" si="931">BR56+(BR57*BR59)+BR58</f>
        <v>3.8750000000000062</v>
      </c>
      <c r="BS60" s="24">
        <f t="shared" si="931"/>
        <v>6.8750000000000062</v>
      </c>
      <c r="BT60" s="24">
        <f t="shared" si="931"/>
        <v>9.8750000000000071</v>
      </c>
      <c r="BU60" s="24">
        <f t="shared" si="931"/>
        <v>12.875000000000007</v>
      </c>
      <c r="BV60" s="24">
        <f t="shared" si="931"/>
        <v>5.8750000000000071</v>
      </c>
      <c r="BW60" s="24">
        <f t="shared" si="931"/>
        <v>7.0000000000000071</v>
      </c>
      <c r="BX60" s="55">
        <f t="shared" si="931"/>
        <v>8.1250000000000071</v>
      </c>
      <c r="BY60" s="18">
        <f t="shared" si="931"/>
        <v>9.2500000000000071</v>
      </c>
      <c r="BZ60" s="24">
        <f t="shared" si="931"/>
        <v>10.375000000000007</v>
      </c>
      <c r="CA60" s="24">
        <f t="shared" si="931"/>
        <v>11.500000000000007</v>
      </c>
      <c r="CB60" s="24">
        <f t="shared" si="931"/>
        <v>12.625000000000007</v>
      </c>
      <c r="CC60" s="24">
        <f t="shared" si="931"/>
        <v>15.625000000000007</v>
      </c>
      <c r="CD60" s="24">
        <f t="shared" si="931"/>
        <v>8.6250000000000071</v>
      </c>
      <c r="CE60" s="24">
        <f t="shared" si="931"/>
        <v>11.625000000000007</v>
      </c>
      <c r="CF60" s="24">
        <f t="shared" si="931"/>
        <v>4.6250000000000071</v>
      </c>
      <c r="CG60" s="24">
        <f t="shared" si="931"/>
        <v>8.4250000000000078</v>
      </c>
      <c r="CH60" s="24">
        <f t="shared" si="931"/>
        <v>12.225000000000009</v>
      </c>
      <c r="CI60" s="24">
        <f t="shared" si="931"/>
        <v>6.0250000000000083</v>
      </c>
      <c r="CJ60" s="24">
        <f t="shared" si="931"/>
        <v>9.8250000000000099</v>
      </c>
      <c r="CK60" s="24">
        <f t="shared" si="931"/>
        <v>13.625000000000011</v>
      </c>
      <c r="CL60" s="24">
        <f t="shared" si="931"/>
        <v>7.4250000000000105</v>
      </c>
      <c r="CM60" s="24">
        <f t="shared" si="931"/>
        <v>11.225000000000012</v>
      </c>
      <c r="CN60" s="24">
        <f t="shared" si="931"/>
        <v>5.0250000000000119</v>
      </c>
      <c r="CO60" s="24">
        <f t="shared" si="931"/>
        <v>8.8250000000000117</v>
      </c>
      <c r="CP60" s="24">
        <f t="shared" ref="CP60:DT60" si="932">CP56+(CP57*CP59)+CP58</f>
        <v>12.625000000000012</v>
      </c>
      <c r="CQ60" s="24">
        <f t="shared" si="932"/>
        <v>5.6250000000000124</v>
      </c>
      <c r="CR60" s="24">
        <f t="shared" si="932"/>
        <v>8.6250000000000124</v>
      </c>
      <c r="CS60" s="24">
        <f t="shared" si="932"/>
        <v>11.625000000000012</v>
      </c>
      <c r="CT60" s="24">
        <f t="shared" si="932"/>
        <v>4.6250000000000124</v>
      </c>
      <c r="CU60" s="24">
        <f t="shared" si="932"/>
        <v>5.7500000000000124</v>
      </c>
      <c r="CV60" s="55">
        <f t="shared" si="932"/>
        <v>6.8750000000000124</v>
      </c>
      <c r="CW60" s="18">
        <f t="shared" si="932"/>
        <v>8.0000000000000124</v>
      </c>
      <c r="CX60" s="24">
        <f t="shared" si="932"/>
        <v>9.1250000000000124</v>
      </c>
      <c r="CY60" s="24">
        <f t="shared" si="932"/>
        <v>10.250000000000012</v>
      </c>
      <c r="CZ60" s="24">
        <f t="shared" si="932"/>
        <v>11.375000000000012</v>
      </c>
      <c r="DA60" s="24">
        <f t="shared" si="932"/>
        <v>14.375000000000012</v>
      </c>
      <c r="DB60" s="24">
        <f t="shared" si="932"/>
        <v>7.3750000000000124</v>
      </c>
      <c r="DC60" s="24">
        <f t="shared" si="932"/>
        <v>10.375000000000012</v>
      </c>
      <c r="DD60" s="24">
        <f t="shared" si="932"/>
        <v>3.3750000000000124</v>
      </c>
      <c r="DE60" s="24">
        <f t="shared" si="932"/>
        <v>7.1750000000000123</v>
      </c>
      <c r="DF60" s="24">
        <f t="shared" si="932"/>
        <v>10.975000000000012</v>
      </c>
      <c r="DG60" s="24">
        <f t="shared" si="932"/>
        <v>4.7750000000000119</v>
      </c>
      <c r="DH60" s="24">
        <f t="shared" si="932"/>
        <v>8.5750000000000117</v>
      </c>
      <c r="DI60" s="24">
        <f t="shared" si="932"/>
        <v>12.375000000000012</v>
      </c>
      <c r="DJ60" s="24">
        <f t="shared" si="932"/>
        <v>6.1750000000000123</v>
      </c>
      <c r="DK60" s="24">
        <f t="shared" si="932"/>
        <v>9.9750000000000121</v>
      </c>
      <c r="DL60" s="24">
        <f t="shared" si="932"/>
        <v>13.775000000000013</v>
      </c>
      <c r="DM60" s="24">
        <f t="shared" si="932"/>
        <v>7.5750000000000126</v>
      </c>
      <c r="DN60" s="24">
        <f t="shared" si="932"/>
        <v>11.375000000000014</v>
      </c>
      <c r="DO60" s="24">
        <f t="shared" si="932"/>
        <v>4.3750000000000142</v>
      </c>
      <c r="DP60" s="24">
        <f t="shared" si="932"/>
        <v>7.3750000000000142</v>
      </c>
      <c r="DQ60" s="24">
        <f t="shared" si="932"/>
        <v>10.375000000000014</v>
      </c>
      <c r="DR60" s="24">
        <f t="shared" si="932"/>
        <v>3.3750000000000142</v>
      </c>
      <c r="DS60" s="24">
        <f t="shared" si="932"/>
        <v>4.5000000000000142</v>
      </c>
      <c r="DT60" s="55">
        <f t="shared" si="932"/>
        <v>5.6250000000000142</v>
      </c>
    </row>
    <row r="61" spans="2:124" x14ac:dyDescent="0.25">
      <c r="B61" s="3" t="s">
        <v>75</v>
      </c>
      <c r="D61" s="100"/>
      <c r="E61" s="18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55"/>
      <c r="AC61" s="18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55"/>
      <c r="BA61" s="18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55"/>
      <c r="BY61" s="18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55"/>
      <c r="CW61" s="18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55"/>
    </row>
    <row r="62" spans="2:124" s="13" customFormat="1" x14ac:dyDescent="0.25">
      <c r="B62" s="40" t="s">
        <v>41</v>
      </c>
      <c r="C62" s="80"/>
      <c r="D62" s="107">
        <f>IF(B41="B",IF(D60&gt;=10,10,IF(D61="K",IF(D60&gt;=8,8,IF(B52&gt;0,IF(D60&gt;=10,10,4),0)),0)),0)</f>
        <v>0</v>
      </c>
      <c r="E62" s="13">
        <f t="shared" ref="E62:AJ62" si="933">IF(D41="B",IF(E60&gt;=10,10,IF(E61="K",IF(E60&gt;=8,8,IF(D52&gt;0,IF(E60&gt;=10,10,4),0)),0)),0)</f>
        <v>0</v>
      </c>
      <c r="F62" s="13">
        <f t="shared" si="933"/>
        <v>0</v>
      </c>
      <c r="G62" s="13">
        <f t="shared" si="933"/>
        <v>0</v>
      </c>
      <c r="H62" s="13">
        <f t="shared" si="933"/>
        <v>0</v>
      </c>
      <c r="I62" s="13">
        <f t="shared" si="933"/>
        <v>10</v>
      </c>
      <c r="J62" s="13">
        <f t="shared" si="933"/>
        <v>0</v>
      </c>
      <c r="K62" s="13">
        <f t="shared" si="933"/>
        <v>0</v>
      </c>
      <c r="L62" s="13">
        <f t="shared" si="933"/>
        <v>10</v>
      </c>
      <c r="M62" s="13">
        <f t="shared" si="933"/>
        <v>0</v>
      </c>
      <c r="N62" s="13">
        <f t="shared" si="933"/>
        <v>0</v>
      </c>
      <c r="O62" s="13">
        <f t="shared" si="933"/>
        <v>10</v>
      </c>
      <c r="P62" s="13">
        <f t="shared" si="933"/>
        <v>0</v>
      </c>
      <c r="Q62" s="13">
        <f t="shared" si="933"/>
        <v>0</v>
      </c>
      <c r="R62" s="13">
        <f t="shared" si="933"/>
        <v>10</v>
      </c>
      <c r="S62" s="13">
        <f t="shared" si="933"/>
        <v>0</v>
      </c>
      <c r="T62" s="13">
        <f t="shared" si="933"/>
        <v>10</v>
      </c>
      <c r="U62" s="13">
        <f t="shared" si="933"/>
        <v>0</v>
      </c>
      <c r="V62" s="13">
        <f t="shared" si="933"/>
        <v>0</v>
      </c>
      <c r="W62" s="13">
        <f t="shared" si="933"/>
        <v>10</v>
      </c>
      <c r="X62" s="13">
        <f t="shared" si="933"/>
        <v>0</v>
      </c>
      <c r="Y62" s="13">
        <f t="shared" si="933"/>
        <v>0</v>
      </c>
      <c r="Z62" s="13">
        <f t="shared" si="933"/>
        <v>10</v>
      </c>
      <c r="AA62" s="13">
        <f t="shared" si="933"/>
        <v>0</v>
      </c>
      <c r="AB62" s="53">
        <f t="shared" si="933"/>
        <v>0</v>
      </c>
      <c r="AC62" s="13">
        <f t="shared" si="933"/>
        <v>0</v>
      </c>
      <c r="AD62" s="13">
        <f t="shared" si="933"/>
        <v>0</v>
      </c>
      <c r="AE62" s="13">
        <f t="shared" si="933"/>
        <v>0</v>
      </c>
      <c r="AF62" s="13">
        <f t="shared" si="933"/>
        <v>0</v>
      </c>
      <c r="AG62" s="13">
        <f t="shared" si="933"/>
        <v>10</v>
      </c>
      <c r="AH62" s="13">
        <f t="shared" si="933"/>
        <v>0</v>
      </c>
      <c r="AI62" s="13">
        <f t="shared" si="933"/>
        <v>0</v>
      </c>
      <c r="AJ62" s="13">
        <f t="shared" si="933"/>
        <v>0</v>
      </c>
      <c r="AK62" s="13">
        <f t="shared" ref="AK62:BP62" si="934">IF(AJ41="B",IF(AK60&gt;=10,10,IF(AK61="K",IF(AK60&gt;=8,8,IF(AJ52&gt;0,IF(AK60&gt;=10,10,4),0)),0)),0)</f>
        <v>10</v>
      </c>
      <c r="AL62" s="13">
        <f t="shared" si="934"/>
        <v>0</v>
      </c>
      <c r="AM62" s="13">
        <f t="shared" si="934"/>
        <v>10</v>
      </c>
      <c r="AN62" s="13">
        <f t="shared" si="934"/>
        <v>0</v>
      </c>
      <c r="AO62" s="13">
        <f t="shared" si="934"/>
        <v>0</v>
      </c>
      <c r="AP62" s="13">
        <f t="shared" si="934"/>
        <v>10</v>
      </c>
      <c r="AQ62" s="13">
        <f t="shared" si="934"/>
        <v>0</v>
      </c>
      <c r="AR62" s="13">
        <f t="shared" si="934"/>
        <v>0</v>
      </c>
      <c r="AS62" s="13">
        <f t="shared" si="934"/>
        <v>10</v>
      </c>
      <c r="AT62" s="13">
        <f t="shared" si="934"/>
        <v>0</v>
      </c>
      <c r="AU62" s="13">
        <f t="shared" si="934"/>
        <v>10</v>
      </c>
      <c r="AV62" s="13">
        <f t="shared" si="934"/>
        <v>0</v>
      </c>
      <c r="AW62" s="13">
        <f t="shared" si="934"/>
        <v>0</v>
      </c>
      <c r="AX62" s="13">
        <f t="shared" si="934"/>
        <v>0</v>
      </c>
      <c r="AY62" s="13">
        <f t="shared" si="934"/>
        <v>0</v>
      </c>
      <c r="AZ62" s="53">
        <f t="shared" si="934"/>
        <v>0</v>
      </c>
      <c r="BA62" s="13">
        <f t="shared" si="934"/>
        <v>0</v>
      </c>
      <c r="BB62" s="13">
        <f t="shared" si="934"/>
        <v>0</v>
      </c>
      <c r="BC62" s="13">
        <f t="shared" si="934"/>
        <v>0</v>
      </c>
      <c r="BD62" s="13">
        <f t="shared" si="934"/>
        <v>0</v>
      </c>
      <c r="BE62" s="13">
        <f t="shared" si="934"/>
        <v>10</v>
      </c>
      <c r="BF62" s="13">
        <f t="shared" si="934"/>
        <v>0</v>
      </c>
      <c r="BG62" s="13">
        <f t="shared" si="934"/>
        <v>10</v>
      </c>
      <c r="BH62" s="13">
        <f t="shared" si="934"/>
        <v>0</v>
      </c>
      <c r="BI62" s="13">
        <f t="shared" si="934"/>
        <v>0</v>
      </c>
      <c r="BJ62" s="13">
        <f t="shared" si="934"/>
        <v>10</v>
      </c>
      <c r="BK62" s="13">
        <f t="shared" si="934"/>
        <v>0</v>
      </c>
      <c r="BL62" s="13">
        <f t="shared" si="934"/>
        <v>10</v>
      </c>
      <c r="BM62" s="13">
        <f t="shared" si="934"/>
        <v>0</v>
      </c>
      <c r="BN62" s="13">
        <f t="shared" si="934"/>
        <v>0</v>
      </c>
      <c r="BO62" s="13">
        <f t="shared" si="934"/>
        <v>10</v>
      </c>
      <c r="BP62" s="13">
        <f t="shared" si="934"/>
        <v>0</v>
      </c>
      <c r="BQ62" s="13">
        <f t="shared" ref="BQ62:CV62" si="935">IF(BP41="B",IF(BQ60&gt;=10,10,IF(BQ61="K",IF(BQ60&gt;=8,8,IF(BP52&gt;0,IF(BQ60&gt;=10,10,4),0)),0)),0)</f>
        <v>10</v>
      </c>
      <c r="BR62" s="13">
        <f t="shared" si="935"/>
        <v>0</v>
      </c>
      <c r="BS62" s="13">
        <f t="shared" si="935"/>
        <v>0</v>
      </c>
      <c r="BT62" s="13">
        <f t="shared" si="935"/>
        <v>0</v>
      </c>
      <c r="BU62" s="13">
        <f t="shared" si="935"/>
        <v>10</v>
      </c>
      <c r="BV62" s="13">
        <f t="shared" si="935"/>
        <v>0</v>
      </c>
      <c r="BW62" s="13">
        <f t="shared" si="935"/>
        <v>0</v>
      </c>
      <c r="BX62" s="53">
        <f t="shared" si="935"/>
        <v>0</v>
      </c>
      <c r="BY62" s="13">
        <f t="shared" si="935"/>
        <v>0</v>
      </c>
      <c r="BZ62" s="13">
        <f t="shared" si="935"/>
        <v>0</v>
      </c>
      <c r="CA62" s="13">
        <f t="shared" si="935"/>
        <v>0</v>
      </c>
      <c r="CB62" s="13">
        <f t="shared" si="935"/>
        <v>0</v>
      </c>
      <c r="CC62" s="13">
        <f t="shared" si="935"/>
        <v>10</v>
      </c>
      <c r="CD62" s="13">
        <f t="shared" si="935"/>
        <v>0</v>
      </c>
      <c r="CE62" s="13">
        <f t="shared" si="935"/>
        <v>10</v>
      </c>
      <c r="CF62" s="13">
        <f t="shared" si="935"/>
        <v>0</v>
      </c>
      <c r="CG62" s="13">
        <f t="shared" si="935"/>
        <v>0</v>
      </c>
      <c r="CH62" s="13">
        <f t="shared" si="935"/>
        <v>10</v>
      </c>
      <c r="CI62" s="13">
        <f t="shared" si="935"/>
        <v>0</v>
      </c>
      <c r="CJ62" s="13">
        <f t="shared" si="935"/>
        <v>0</v>
      </c>
      <c r="CK62" s="13">
        <f t="shared" si="935"/>
        <v>10</v>
      </c>
      <c r="CL62" s="13">
        <f t="shared" si="935"/>
        <v>0</v>
      </c>
      <c r="CM62" s="13">
        <f t="shared" si="935"/>
        <v>10</v>
      </c>
      <c r="CN62" s="13">
        <f t="shared" si="935"/>
        <v>0</v>
      </c>
      <c r="CO62" s="13">
        <f t="shared" si="935"/>
        <v>0</v>
      </c>
      <c r="CP62" s="13">
        <f t="shared" si="935"/>
        <v>10</v>
      </c>
      <c r="CQ62" s="13">
        <f t="shared" si="935"/>
        <v>0</v>
      </c>
      <c r="CR62" s="13">
        <f t="shared" si="935"/>
        <v>0</v>
      </c>
      <c r="CS62" s="13">
        <f t="shared" si="935"/>
        <v>10</v>
      </c>
      <c r="CT62" s="13">
        <f t="shared" si="935"/>
        <v>0</v>
      </c>
      <c r="CU62" s="13">
        <f t="shared" si="935"/>
        <v>0</v>
      </c>
      <c r="CV62" s="53">
        <f t="shared" si="935"/>
        <v>0</v>
      </c>
      <c r="CW62" s="13">
        <f t="shared" ref="CW62:DT62" si="936">IF(CV41="B",IF(CW60&gt;=10,10,IF(CW61="K",IF(CW60&gt;=8,8,IF(CV52&gt;0,IF(CW60&gt;=10,10,4),0)),0)),0)</f>
        <v>0</v>
      </c>
      <c r="CX62" s="13">
        <f t="shared" si="936"/>
        <v>0</v>
      </c>
      <c r="CY62" s="13">
        <f t="shared" si="936"/>
        <v>0</v>
      </c>
      <c r="CZ62" s="13">
        <f t="shared" si="936"/>
        <v>0</v>
      </c>
      <c r="DA62" s="13">
        <f t="shared" si="936"/>
        <v>10</v>
      </c>
      <c r="DB62" s="13">
        <f t="shared" si="936"/>
        <v>0</v>
      </c>
      <c r="DC62" s="13">
        <f t="shared" si="936"/>
        <v>10</v>
      </c>
      <c r="DD62" s="13">
        <f t="shared" si="936"/>
        <v>0</v>
      </c>
      <c r="DE62" s="13">
        <f t="shared" si="936"/>
        <v>0</v>
      </c>
      <c r="DF62" s="13">
        <f t="shared" si="936"/>
        <v>10</v>
      </c>
      <c r="DG62" s="13">
        <f t="shared" si="936"/>
        <v>0</v>
      </c>
      <c r="DH62" s="13">
        <f t="shared" si="936"/>
        <v>0</v>
      </c>
      <c r="DI62" s="13">
        <f t="shared" si="936"/>
        <v>10</v>
      </c>
      <c r="DJ62" s="13">
        <f t="shared" si="936"/>
        <v>0</v>
      </c>
      <c r="DK62" s="13">
        <f t="shared" si="936"/>
        <v>0</v>
      </c>
      <c r="DL62" s="13">
        <f t="shared" si="936"/>
        <v>10</v>
      </c>
      <c r="DM62" s="13">
        <f t="shared" si="936"/>
        <v>0</v>
      </c>
      <c r="DN62" s="13">
        <f t="shared" si="936"/>
        <v>10</v>
      </c>
      <c r="DO62" s="13">
        <f t="shared" si="936"/>
        <v>0</v>
      </c>
      <c r="DP62" s="13">
        <f t="shared" si="936"/>
        <v>0</v>
      </c>
      <c r="DQ62" s="13">
        <f t="shared" si="936"/>
        <v>10</v>
      </c>
      <c r="DR62" s="13">
        <f t="shared" si="936"/>
        <v>0</v>
      </c>
      <c r="DS62" s="13">
        <f t="shared" si="936"/>
        <v>0</v>
      </c>
      <c r="DT62" s="53">
        <f t="shared" si="936"/>
        <v>0</v>
      </c>
    </row>
    <row r="63" spans="2:124" s="16" customFormat="1" ht="15.75" thickBot="1" x14ac:dyDescent="0.3">
      <c r="B63" s="20" t="s">
        <v>148</v>
      </c>
      <c r="C63" s="74"/>
      <c r="D63" s="101">
        <f>D62/10*200</f>
        <v>0</v>
      </c>
      <c r="E63" s="16">
        <f t="shared" ref="E63:BP63" si="937">E62/10*200</f>
        <v>0</v>
      </c>
      <c r="F63" s="16">
        <f t="shared" si="937"/>
        <v>0</v>
      </c>
      <c r="G63" s="16">
        <f t="shared" si="937"/>
        <v>0</v>
      </c>
      <c r="H63" s="16">
        <f t="shared" si="937"/>
        <v>0</v>
      </c>
      <c r="I63" s="16">
        <f t="shared" si="937"/>
        <v>200</v>
      </c>
      <c r="J63" s="16">
        <f t="shared" si="937"/>
        <v>0</v>
      </c>
      <c r="K63" s="16">
        <f t="shared" si="937"/>
        <v>0</v>
      </c>
      <c r="L63" s="16">
        <f t="shared" si="937"/>
        <v>200</v>
      </c>
      <c r="M63" s="16">
        <f t="shared" si="937"/>
        <v>0</v>
      </c>
      <c r="N63" s="16">
        <f t="shared" si="937"/>
        <v>0</v>
      </c>
      <c r="O63" s="16">
        <f t="shared" si="937"/>
        <v>200</v>
      </c>
      <c r="P63" s="16">
        <f t="shared" si="937"/>
        <v>0</v>
      </c>
      <c r="Q63" s="16">
        <f t="shared" si="937"/>
        <v>0</v>
      </c>
      <c r="R63" s="16">
        <f t="shared" si="937"/>
        <v>200</v>
      </c>
      <c r="S63" s="16">
        <f t="shared" si="937"/>
        <v>0</v>
      </c>
      <c r="T63" s="16">
        <f t="shared" si="937"/>
        <v>200</v>
      </c>
      <c r="U63" s="16">
        <f t="shared" si="937"/>
        <v>0</v>
      </c>
      <c r="V63" s="16">
        <f t="shared" si="937"/>
        <v>0</v>
      </c>
      <c r="W63" s="16">
        <f t="shared" si="937"/>
        <v>200</v>
      </c>
      <c r="X63" s="16">
        <f t="shared" si="937"/>
        <v>0</v>
      </c>
      <c r="Y63" s="16">
        <f t="shared" si="937"/>
        <v>0</v>
      </c>
      <c r="Z63" s="16">
        <f t="shared" si="937"/>
        <v>200</v>
      </c>
      <c r="AA63" s="16">
        <f t="shared" si="937"/>
        <v>0</v>
      </c>
      <c r="AB63" s="67">
        <f t="shared" si="937"/>
        <v>0</v>
      </c>
      <c r="AC63" s="16">
        <f t="shared" si="937"/>
        <v>0</v>
      </c>
      <c r="AD63" s="16">
        <f t="shared" si="937"/>
        <v>0</v>
      </c>
      <c r="AE63" s="16">
        <f t="shared" si="937"/>
        <v>0</v>
      </c>
      <c r="AF63" s="16">
        <f t="shared" si="937"/>
        <v>0</v>
      </c>
      <c r="AG63" s="16">
        <f t="shared" si="937"/>
        <v>200</v>
      </c>
      <c r="AH63" s="16">
        <f t="shared" si="937"/>
        <v>0</v>
      </c>
      <c r="AI63" s="16">
        <f t="shared" si="937"/>
        <v>0</v>
      </c>
      <c r="AJ63" s="16">
        <f t="shared" si="937"/>
        <v>0</v>
      </c>
      <c r="AK63" s="16">
        <f t="shared" si="937"/>
        <v>200</v>
      </c>
      <c r="AL63" s="16">
        <f t="shared" si="937"/>
        <v>0</v>
      </c>
      <c r="AM63" s="16">
        <f t="shared" si="937"/>
        <v>200</v>
      </c>
      <c r="AN63" s="16">
        <f t="shared" si="937"/>
        <v>0</v>
      </c>
      <c r="AO63" s="16">
        <f t="shared" si="937"/>
        <v>0</v>
      </c>
      <c r="AP63" s="16">
        <f t="shared" si="937"/>
        <v>200</v>
      </c>
      <c r="AQ63" s="16">
        <f t="shared" si="937"/>
        <v>0</v>
      </c>
      <c r="AR63" s="16">
        <f t="shared" si="937"/>
        <v>0</v>
      </c>
      <c r="AS63" s="16">
        <f t="shared" si="937"/>
        <v>200</v>
      </c>
      <c r="AT63" s="16">
        <f t="shared" si="937"/>
        <v>0</v>
      </c>
      <c r="AU63" s="16">
        <f t="shared" si="937"/>
        <v>200</v>
      </c>
      <c r="AV63" s="16">
        <f t="shared" si="937"/>
        <v>0</v>
      </c>
      <c r="AW63" s="16">
        <f t="shared" si="937"/>
        <v>0</v>
      </c>
      <c r="AX63" s="16">
        <f t="shared" si="937"/>
        <v>0</v>
      </c>
      <c r="AY63" s="16">
        <f t="shared" si="937"/>
        <v>0</v>
      </c>
      <c r="AZ63" s="67">
        <f t="shared" si="937"/>
        <v>0</v>
      </c>
      <c r="BA63" s="16">
        <f t="shared" si="937"/>
        <v>0</v>
      </c>
      <c r="BB63" s="16">
        <f t="shared" si="937"/>
        <v>0</v>
      </c>
      <c r="BC63" s="16">
        <f t="shared" si="937"/>
        <v>0</v>
      </c>
      <c r="BD63" s="16">
        <f t="shared" si="937"/>
        <v>0</v>
      </c>
      <c r="BE63" s="16">
        <f t="shared" si="937"/>
        <v>200</v>
      </c>
      <c r="BF63" s="16">
        <f t="shared" si="937"/>
        <v>0</v>
      </c>
      <c r="BG63" s="16">
        <f t="shared" si="937"/>
        <v>200</v>
      </c>
      <c r="BH63" s="16">
        <f t="shared" si="937"/>
        <v>0</v>
      </c>
      <c r="BI63" s="16">
        <f t="shared" si="937"/>
        <v>0</v>
      </c>
      <c r="BJ63" s="16">
        <f t="shared" si="937"/>
        <v>200</v>
      </c>
      <c r="BK63" s="16">
        <f t="shared" si="937"/>
        <v>0</v>
      </c>
      <c r="BL63" s="16">
        <f t="shared" si="937"/>
        <v>200</v>
      </c>
      <c r="BM63" s="16">
        <f t="shared" si="937"/>
        <v>0</v>
      </c>
      <c r="BN63" s="16">
        <f t="shared" si="937"/>
        <v>0</v>
      </c>
      <c r="BO63" s="16">
        <f t="shared" si="937"/>
        <v>200</v>
      </c>
      <c r="BP63" s="16">
        <f t="shared" si="937"/>
        <v>0</v>
      </c>
      <c r="BQ63" s="16">
        <f t="shared" ref="BQ63:DT63" si="938">BQ62/10*200</f>
        <v>200</v>
      </c>
      <c r="BR63" s="16">
        <f t="shared" si="938"/>
        <v>0</v>
      </c>
      <c r="BS63" s="16">
        <f t="shared" si="938"/>
        <v>0</v>
      </c>
      <c r="BT63" s="16">
        <f t="shared" si="938"/>
        <v>0</v>
      </c>
      <c r="BU63" s="16">
        <f t="shared" si="938"/>
        <v>200</v>
      </c>
      <c r="BV63" s="16">
        <f t="shared" si="938"/>
        <v>0</v>
      </c>
      <c r="BW63" s="16">
        <f t="shared" si="938"/>
        <v>0</v>
      </c>
      <c r="BX63" s="67">
        <f t="shared" si="938"/>
        <v>0</v>
      </c>
      <c r="BY63" s="16">
        <f t="shared" si="938"/>
        <v>0</v>
      </c>
      <c r="BZ63" s="16">
        <f t="shared" si="938"/>
        <v>0</v>
      </c>
      <c r="CA63" s="16">
        <f t="shared" si="938"/>
        <v>0</v>
      </c>
      <c r="CB63" s="16">
        <f t="shared" si="938"/>
        <v>0</v>
      </c>
      <c r="CC63" s="16">
        <f t="shared" si="938"/>
        <v>200</v>
      </c>
      <c r="CD63" s="16">
        <f t="shared" si="938"/>
        <v>0</v>
      </c>
      <c r="CE63" s="16">
        <f t="shared" si="938"/>
        <v>200</v>
      </c>
      <c r="CF63" s="16">
        <f t="shared" si="938"/>
        <v>0</v>
      </c>
      <c r="CG63" s="16">
        <f t="shared" si="938"/>
        <v>0</v>
      </c>
      <c r="CH63" s="16">
        <f t="shared" si="938"/>
        <v>200</v>
      </c>
      <c r="CI63" s="16">
        <f t="shared" si="938"/>
        <v>0</v>
      </c>
      <c r="CJ63" s="16">
        <f t="shared" si="938"/>
        <v>0</v>
      </c>
      <c r="CK63" s="16">
        <f t="shared" si="938"/>
        <v>200</v>
      </c>
      <c r="CL63" s="16">
        <f t="shared" si="938"/>
        <v>0</v>
      </c>
      <c r="CM63" s="16">
        <f t="shared" si="938"/>
        <v>200</v>
      </c>
      <c r="CN63" s="16">
        <f t="shared" si="938"/>
        <v>0</v>
      </c>
      <c r="CO63" s="16">
        <f t="shared" si="938"/>
        <v>0</v>
      </c>
      <c r="CP63" s="16">
        <f t="shared" si="938"/>
        <v>200</v>
      </c>
      <c r="CQ63" s="16">
        <f t="shared" si="938"/>
        <v>0</v>
      </c>
      <c r="CR63" s="16">
        <f t="shared" si="938"/>
        <v>0</v>
      </c>
      <c r="CS63" s="16">
        <f t="shared" si="938"/>
        <v>200</v>
      </c>
      <c r="CT63" s="16">
        <f t="shared" si="938"/>
        <v>0</v>
      </c>
      <c r="CU63" s="16">
        <f t="shared" si="938"/>
        <v>0</v>
      </c>
      <c r="CV63" s="67">
        <f t="shared" si="938"/>
        <v>0</v>
      </c>
      <c r="CW63" s="16">
        <f t="shared" si="938"/>
        <v>0</v>
      </c>
      <c r="CX63" s="16">
        <f t="shared" si="938"/>
        <v>0</v>
      </c>
      <c r="CY63" s="16">
        <f t="shared" si="938"/>
        <v>0</v>
      </c>
      <c r="CZ63" s="16">
        <f t="shared" si="938"/>
        <v>0</v>
      </c>
      <c r="DA63" s="16">
        <f t="shared" si="938"/>
        <v>200</v>
      </c>
      <c r="DB63" s="16">
        <f t="shared" si="938"/>
        <v>0</v>
      </c>
      <c r="DC63" s="16">
        <f t="shared" si="938"/>
        <v>200</v>
      </c>
      <c r="DD63" s="16">
        <f t="shared" si="938"/>
        <v>0</v>
      </c>
      <c r="DE63" s="16">
        <f t="shared" si="938"/>
        <v>0</v>
      </c>
      <c r="DF63" s="16">
        <f t="shared" si="938"/>
        <v>200</v>
      </c>
      <c r="DG63" s="16">
        <f t="shared" si="938"/>
        <v>0</v>
      </c>
      <c r="DH63" s="16">
        <f t="shared" si="938"/>
        <v>0</v>
      </c>
      <c r="DI63" s="16">
        <f t="shared" si="938"/>
        <v>200</v>
      </c>
      <c r="DJ63" s="16">
        <f t="shared" si="938"/>
        <v>0</v>
      </c>
      <c r="DK63" s="16">
        <f t="shared" si="938"/>
        <v>0</v>
      </c>
      <c r="DL63" s="16">
        <f t="shared" si="938"/>
        <v>200</v>
      </c>
      <c r="DM63" s="16">
        <f t="shared" si="938"/>
        <v>0</v>
      </c>
      <c r="DN63" s="16">
        <f t="shared" si="938"/>
        <v>200</v>
      </c>
      <c r="DO63" s="16">
        <f t="shared" si="938"/>
        <v>0</v>
      </c>
      <c r="DP63" s="16">
        <f t="shared" si="938"/>
        <v>0</v>
      </c>
      <c r="DQ63" s="16">
        <f t="shared" si="938"/>
        <v>200</v>
      </c>
      <c r="DR63" s="16">
        <f t="shared" si="938"/>
        <v>0</v>
      </c>
      <c r="DS63" s="16">
        <f t="shared" si="938"/>
        <v>0</v>
      </c>
      <c r="DT63" s="67">
        <f t="shared" si="938"/>
        <v>0</v>
      </c>
    </row>
    <row r="64" spans="2:124" x14ac:dyDescent="0.25">
      <c r="D64" s="100"/>
      <c r="E64" s="122" t="s">
        <v>69</v>
      </c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4"/>
      <c r="AC64" s="125" t="s">
        <v>70</v>
      </c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  <c r="AP64" s="126"/>
      <c r="AQ64" s="126"/>
      <c r="AR64" s="126"/>
      <c r="AS64" s="126"/>
      <c r="AT64" s="126"/>
      <c r="AU64" s="126"/>
      <c r="AV64" s="126"/>
      <c r="AW64" s="126"/>
      <c r="AX64" s="126"/>
      <c r="AY64" s="126"/>
      <c r="AZ64" s="127"/>
      <c r="BA64" s="122" t="s">
        <v>71</v>
      </c>
      <c r="BB64" s="123"/>
      <c r="BC64" s="123"/>
      <c r="BD64" s="123"/>
      <c r="BE64" s="123"/>
      <c r="BF64" s="123"/>
      <c r="BG64" s="123"/>
      <c r="BH64" s="123"/>
      <c r="BI64" s="123"/>
      <c r="BJ64" s="123"/>
      <c r="BK64" s="123"/>
      <c r="BL64" s="123"/>
      <c r="BM64" s="123"/>
      <c r="BN64" s="123"/>
      <c r="BO64" s="123"/>
      <c r="BP64" s="123"/>
      <c r="BQ64" s="123"/>
      <c r="BR64" s="123"/>
      <c r="BS64" s="123"/>
      <c r="BT64" s="123"/>
      <c r="BU64" s="123"/>
      <c r="BV64" s="123"/>
      <c r="BW64" s="123"/>
      <c r="BX64" s="124"/>
      <c r="BY64" s="125" t="s">
        <v>72</v>
      </c>
      <c r="BZ64" s="126"/>
      <c r="CA64" s="126"/>
      <c r="CB64" s="126"/>
      <c r="CC64" s="126"/>
      <c r="CD64" s="126"/>
      <c r="CE64" s="126"/>
      <c r="CF64" s="126"/>
      <c r="CG64" s="126"/>
      <c r="CH64" s="126"/>
      <c r="CI64" s="126"/>
      <c r="CJ64" s="126"/>
      <c r="CK64" s="126"/>
      <c r="CL64" s="126"/>
      <c r="CM64" s="126"/>
      <c r="CN64" s="126"/>
      <c r="CO64" s="126"/>
      <c r="CP64" s="126"/>
      <c r="CQ64" s="126"/>
      <c r="CR64" s="126"/>
      <c r="CS64" s="126"/>
      <c r="CT64" s="126"/>
      <c r="CU64" s="126"/>
      <c r="CV64" s="127"/>
      <c r="CW64" s="122" t="s">
        <v>73</v>
      </c>
      <c r="CX64" s="123"/>
      <c r="CY64" s="123"/>
      <c r="CZ64" s="123"/>
      <c r="DA64" s="123"/>
      <c r="DB64" s="123"/>
      <c r="DC64" s="123"/>
      <c r="DD64" s="123"/>
      <c r="DE64" s="123"/>
      <c r="DF64" s="123"/>
      <c r="DG64" s="123"/>
      <c r="DH64" s="123"/>
      <c r="DI64" s="123"/>
      <c r="DJ64" s="123"/>
      <c r="DK64" s="123"/>
      <c r="DL64" s="123"/>
      <c r="DM64" s="123"/>
      <c r="DN64" s="123"/>
      <c r="DO64" s="123"/>
      <c r="DP64" s="123"/>
      <c r="DQ64" s="123"/>
      <c r="DR64" s="123"/>
      <c r="DS64" s="123"/>
      <c r="DT64" s="124"/>
    </row>
    <row r="65" spans="2:124" x14ac:dyDescent="0.25">
      <c r="B65" s="4" t="s">
        <v>42</v>
      </c>
      <c r="D65" s="100"/>
      <c r="E65" s="22">
        <v>4.1666666666666664E-2</v>
      </c>
      <c r="F65" s="23">
        <v>8.3333333333333301E-2</v>
      </c>
      <c r="G65" s="23">
        <v>0.125</v>
      </c>
      <c r="H65" s="23">
        <v>0.16666666666666699</v>
      </c>
      <c r="I65" s="23">
        <v>0.20833333333333301</v>
      </c>
      <c r="J65" s="23">
        <v>0.25</v>
      </c>
      <c r="K65" s="23">
        <v>0.29166666666666702</v>
      </c>
      <c r="L65" s="23">
        <v>0.33333333333333298</v>
      </c>
      <c r="M65" s="23">
        <v>0.375</v>
      </c>
      <c r="N65" s="23">
        <v>0.41666666666666702</v>
      </c>
      <c r="O65" s="23">
        <v>0.45833333333333298</v>
      </c>
      <c r="P65" s="23">
        <v>0.5</v>
      </c>
      <c r="Q65" s="23">
        <v>0.54166666666666696</v>
      </c>
      <c r="R65" s="23">
        <v>0.58333333333333304</v>
      </c>
      <c r="S65" s="23">
        <v>0.625</v>
      </c>
      <c r="T65" s="23">
        <v>0.66666666666666696</v>
      </c>
      <c r="U65" s="23">
        <v>0.70833333333333304</v>
      </c>
      <c r="V65" s="23">
        <v>0.75</v>
      </c>
      <c r="W65" s="23">
        <v>0.79166666666666696</v>
      </c>
      <c r="X65" s="23">
        <v>0.83333333333333304</v>
      </c>
      <c r="Y65" s="23">
        <v>0.875</v>
      </c>
      <c r="Z65" s="23">
        <v>0.91666666666666696</v>
      </c>
      <c r="AA65" s="23">
        <v>0.95833333333333404</v>
      </c>
      <c r="AB65" s="57">
        <v>1</v>
      </c>
      <c r="AC65" s="22">
        <v>1.0416666666666701</v>
      </c>
      <c r="AD65" s="23">
        <v>1.0833333333333399</v>
      </c>
      <c r="AE65" s="23">
        <v>0.125</v>
      </c>
      <c r="AF65" s="23">
        <v>0.16666666666666699</v>
      </c>
      <c r="AG65" s="23">
        <v>0.20833333333333301</v>
      </c>
      <c r="AH65" s="23">
        <v>0.25</v>
      </c>
      <c r="AI65" s="23">
        <v>0.29166666666666702</v>
      </c>
      <c r="AJ65" s="23">
        <v>0.33333333333333298</v>
      </c>
      <c r="AK65" s="23">
        <v>0.375</v>
      </c>
      <c r="AL65" s="23">
        <v>0.41666666666666702</v>
      </c>
      <c r="AM65" s="23">
        <v>0.45833333333333298</v>
      </c>
      <c r="AN65" s="23">
        <v>0.5</v>
      </c>
      <c r="AO65" s="23">
        <v>0.54166666666666696</v>
      </c>
      <c r="AP65" s="23">
        <v>0.58333333333333304</v>
      </c>
      <c r="AQ65" s="23">
        <v>0.625</v>
      </c>
      <c r="AR65" s="23">
        <v>0.66666666666666696</v>
      </c>
      <c r="AS65" s="23">
        <v>0.70833333333333304</v>
      </c>
      <c r="AT65" s="23">
        <v>0.75</v>
      </c>
      <c r="AU65" s="23">
        <v>0.79166666666666696</v>
      </c>
      <c r="AV65" s="23">
        <v>0.83333333333333304</v>
      </c>
      <c r="AW65" s="23">
        <v>0.875</v>
      </c>
      <c r="AX65" s="23">
        <v>0.91666666666666696</v>
      </c>
      <c r="AY65" s="23">
        <v>0.95833333333333404</v>
      </c>
      <c r="AZ65" s="57">
        <v>1</v>
      </c>
      <c r="BA65" s="22">
        <v>1.0416666666666701</v>
      </c>
      <c r="BB65" s="23">
        <v>1.0833333333333399</v>
      </c>
      <c r="BC65" s="23">
        <v>0.125</v>
      </c>
      <c r="BD65" s="23">
        <v>0.16666666666666699</v>
      </c>
      <c r="BE65" s="23">
        <v>0.20833333333333301</v>
      </c>
      <c r="BF65" s="23">
        <v>0.25</v>
      </c>
      <c r="BG65" s="23">
        <v>0.29166666666666702</v>
      </c>
      <c r="BH65" s="23">
        <v>0.33333333333333298</v>
      </c>
      <c r="BI65" s="23">
        <v>0.375</v>
      </c>
      <c r="BJ65" s="23">
        <v>0.41666666666666702</v>
      </c>
      <c r="BK65" s="23">
        <v>0.45833333333333298</v>
      </c>
      <c r="BL65" s="23">
        <v>0.5</v>
      </c>
      <c r="BM65" s="23">
        <v>0.54166666666666696</v>
      </c>
      <c r="BN65" s="23">
        <v>0.58333333333333304</v>
      </c>
      <c r="BO65" s="23">
        <v>0.625</v>
      </c>
      <c r="BP65" s="23">
        <v>0.66666666666666696</v>
      </c>
      <c r="BQ65" s="23">
        <v>0.70833333333333304</v>
      </c>
      <c r="BR65" s="23">
        <v>0.75</v>
      </c>
      <c r="BS65" s="23">
        <v>0.79166666666666696</v>
      </c>
      <c r="BT65" s="23">
        <v>0.83333333333333304</v>
      </c>
      <c r="BU65" s="23">
        <v>0.875</v>
      </c>
      <c r="BV65" s="23">
        <v>0.91666666666666696</v>
      </c>
      <c r="BW65" s="23">
        <v>0.95833333333333404</v>
      </c>
      <c r="BX65" s="57">
        <v>1</v>
      </c>
      <c r="BY65" s="22">
        <v>1.0416666666666701</v>
      </c>
      <c r="BZ65" s="23">
        <v>1.0833333333333399</v>
      </c>
      <c r="CA65" s="23">
        <v>0.125</v>
      </c>
      <c r="CB65" s="23">
        <v>0.16666666666666699</v>
      </c>
      <c r="CC65" s="23">
        <v>0.20833333333333301</v>
      </c>
      <c r="CD65" s="23">
        <v>0.25</v>
      </c>
      <c r="CE65" s="23">
        <v>0.29166666666666702</v>
      </c>
      <c r="CF65" s="23">
        <v>0.33333333333333298</v>
      </c>
      <c r="CG65" s="23">
        <v>0.375</v>
      </c>
      <c r="CH65" s="23">
        <v>0.41666666666666702</v>
      </c>
      <c r="CI65" s="23">
        <v>0.45833333333333298</v>
      </c>
      <c r="CJ65" s="23">
        <v>0.5</v>
      </c>
      <c r="CK65" s="23">
        <v>0.54166666666666696</v>
      </c>
      <c r="CL65" s="23">
        <v>0.58333333333333304</v>
      </c>
      <c r="CM65" s="23">
        <v>0.625</v>
      </c>
      <c r="CN65" s="23">
        <v>0.66666666666666696</v>
      </c>
      <c r="CO65" s="23">
        <v>0.70833333333333304</v>
      </c>
      <c r="CP65" s="23">
        <v>0.75</v>
      </c>
      <c r="CQ65" s="23">
        <v>0.79166666666666696</v>
      </c>
      <c r="CR65" s="23">
        <v>0.83333333333333304</v>
      </c>
      <c r="CS65" s="23">
        <v>0.875</v>
      </c>
      <c r="CT65" s="23">
        <v>0.91666666666666696</v>
      </c>
      <c r="CU65" s="23">
        <v>0.95833333333333404</v>
      </c>
      <c r="CV65" s="57">
        <v>1</v>
      </c>
      <c r="CW65" s="22">
        <v>1.0416666666666701</v>
      </c>
      <c r="CX65" s="23">
        <v>1.0833333333333399</v>
      </c>
      <c r="CY65" s="23">
        <v>0.125</v>
      </c>
      <c r="CZ65" s="23">
        <v>0.16666666666666699</v>
      </c>
      <c r="DA65" s="23">
        <v>0.20833333333333301</v>
      </c>
      <c r="DB65" s="23">
        <v>0.25</v>
      </c>
      <c r="DC65" s="23">
        <v>0.29166666666666702</v>
      </c>
      <c r="DD65" s="23">
        <v>0.33333333333333298</v>
      </c>
      <c r="DE65" s="23">
        <v>0.375</v>
      </c>
      <c r="DF65" s="23">
        <v>0.41666666666666702</v>
      </c>
      <c r="DG65" s="23">
        <v>0.45833333333333298</v>
      </c>
      <c r="DH65" s="23">
        <v>0.5</v>
      </c>
      <c r="DI65" s="23">
        <v>0.54166666666666696</v>
      </c>
      <c r="DJ65" s="23">
        <v>0.58333333333333304</v>
      </c>
      <c r="DK65" s="23">
        <v>0.625</v>
      </c>
      <c r="DL65" s="23">
        <v>0.66666666666666696</v>
      </c>
      <c r="DM65" s="23">
        <v>0.70833333333333304</v>
      </c>
      <c r="DN65" s="23">
        <v>0.75</v>
      </c>
      <c r="DO65" s="23">
        <v>0.79166666666666696</v>
      </c>
      <c r="DP65" s="23">
        <v>0.83333333333333304</v>
      </c>
      <c r="DQ65" s="23">
        <v>0.875</v>
      </c>
      <c r="DR65" s="23">
        <v>0.91666666666666696</v>
      </c>
      <c r="DS65" s="23">
        <v>0.95833333333333404</v>
      </c>
      <c r="DT65" s="57">
        <v>1</v>
      </c>
    </row>
    <row r="66" spans="2:124" x14ac:dyDescent="0.25">
      <c r="B66" s="3" t="s">
        <v>43</v>
      </c>
      <c r="D66" s="100">
        <f>D63*20%</f>
        <v>0</v>
      </c>
      <c r="E66" s="13">
        <f t="shared" ref="E66:BP66" si="939">E63*20%</f>
        <v>0</v>
      </c>
      <c r="F66" s="1">
        <f t="shared" si="939"/>
        <v>0</v>
      </c>
      <c r="G66" s="1">
        <f t="shared" si="939"/>
        <v>0</v>
      </c>
      <c r="H66" s="1">
        <f t="shared" si="939"/>
        <v>0</v>
      </c>
      <c r="I66" s="1">
        <f t="shared" si="939"/>
        <v>40</v>
      </c>
      <c r="J66" s="1">
        <f t="shared" si="939"/>
        <v>0</v>
      </c>
      <c r="K66" s="1">
        <f t="shared" si="939"/>
        <v>0</v>
      </c>
      <c r="L66" s="1">
        <f t="shared" si="939"/>
        <v>40</v>
      </c>
      <c r="M66" s="1">
        <f t="shared" si="939"/>
        <v>0</v>
      </c>
      <c r="N66" s="1">
        <f t="shared" si="939"/>
        <v>0</v>
      </c>
      <c r="O66" s="1">
        <f t="shared" si="939"/>
        <v>40</v>
      </c>
      <c r="P66" s="1">
        <f t="shared" si="939"/>
        <v>0</v>
      </c>
      <c r="Q66" s="1">
        <f t="shared" si="939"/>
        <v>0</v>
      </c>
      <c r="R66" s="1">
        <f t="shared" si="939"/>
        <v>40</v>
      </c>
      <c r="S66" s="1">
        <f t="shared" si="939"/>
        <v>0</v>
      </c>
      <c r="T66" s="1">
        <f t="shared" si="939"/>
        <v>40</v>
      </c>
      <c r="U66" s="1">
        <f t="shared" si="939"/>
        <v>0</v>
      </c>
      <c r="V66" s="1">
        <f t="shared" si="939"/>
        <v>0</v>
      </c>
      <c r="W66" s="1">
        <f t="shared" si="939"/>
        <v>40</v>
      </c>
      <c r="X66" s="1">
        <f t="shared" si="939"/>
        <v>0</v>
      </c>
      <c r="Y66" s="1">
        <f t="shared" si="939"/>
        <v>0</v>
      </c>
      <c r="Z66" s="1">
        <f t="shared" si="939"/>
        <v>40</v>
      </c>
      <c r="AA66" s="1">
        <f t="shared" si="939"/>
        <v>0</v>
      </c>
      <c r="AB66" s="53">
        <f t="shared" si="939"/>
        <v>0</v>
      </c>
      <c r="AC66" s="13">
        <f t="shared" si="939"/>
        <v>0</v>
      </c>
      <c r="AD66" s="1">
        <f t="shared" si="939"/>
        <v>0</v>
      </c>
      <c r="AE66" s="1">
        <f t="shared" si="939"/>
        <v>0</v>
      </c>
      <c r="AF66" s="1">
        <f t="shared" si="939"/>
        <v>0</v>
      </c>
      <c r="AG66" s="1">
        <f t="shared" si="939"/>
        <v>40</v>
      </c>
      <c r="AH66" s="1">
        <f t="shared" si="939"/>
        <v>0</v>
      </c>
      <c r="AI66" s="1">
        <f t="shared" si="939"/>
        <v>0</v>
      </c>
      <c r="AJ66" s="1">
        <f t="shared" si="939"/>
        <v>0</v>
      </c>
      <c r="AK66" s="1">
        <f t="shared" si="939"/>
        <v>40</v>
      </c>
      <c r="AL66" s="1">
        <f t="shared" si="939"/>
        <v>0</v>
      </c>
      <c r="AM66" s="1">
        <f t="shared" si="939"/>
        <v>40</v>
      </c>
      <c r="AN66" s="1">
        <f t="shared" si="939"/>
        <v>0</v>
      </c>
      <c r="AO66" s="1">
        <f t="shared" si="939"/>
        <v>0</v>
      </c>
      <c r="AP66" s="1">
        <f t="shared" si="939"/>
        <v>40</v>
      </c>
      <c r="AQ66" s="1">
        <f t="shared" si="939"/>
        <v>0</v>
      </c>
      <c r="AR66" s="1">
        <f t="shared" si="939"/>
        <v>0</v>
      </c>
      <c r="AS66" s="1">
        <f t="shared" si="939"/>
        <v>40</v>
      </c>
      <c r="AT66" s="1">
        <f t="shared" si="939"/>
        <v>0</v>
      </c>
      <c r="AU66" s="1">
        <f t="shared" si="939"/>
        <v>40</v>
      </c>
      <c r="AV66" s="1">
        <f t="shared" si="939"/>
        <v>0</v>
      </c>
      <c r="AW66" s="1">
        <f t="shared" si="939"/>
        <v>0</v>
      </c>
      <c r="AX66" s="1">
        <f t="shared" si="939"/>
        <v>0</v>
      </c>
      <c r="AY66" s="1">
        <f t="shared" si="939"/>
        <v>0</v>
      </c>
      <c r="AZ66" s="53">
        <f t="shared" si="939"/>
        <v>0</v>
      </c>
      <c r="BA66" s="13">
        <f t="shared" si="939"/>
        <v>0</v>
      </c>
      <c r="BB66" s="1">
        <f t="shared" si="939"/>
        <v>0</v>
      </c>
      <c r="BC66" s="1">
        <f t="shared" si="939"/>
        <v>0</v>
      </c>
      <c r="BD66" s="1">
        <f t="shared" si="939"/>
        <v>0</v>
      </c>
      <c r="BE66" s="1">
        <f t="shared" si="939"/>
        <v>40</v>
      </c>
      <c r="BF66" s="1">
        <f t="shared" si="939"/>
        <v>0</v>
      </c>
      <c r="BG66" s="1">
        <f t="shared" si="939"/>
        <v>40</v>
      </c>
      <c r="BH66" s="1">
        <f t="shared" si="939"/>
        <v>0</v>
      </c>
      <c r="BI66" s="1">
        <f t="shared" si="939"/>
        <v>0</v>
      </c>
      <c r="BJ66" s="1">
        <f t="shared" si="939"/>
        <v>40</v>
      </c>
      <c r="BK66" s="1">
        <f t="shared" si="939"/>
        <v>0</v>
      </c>
      <c r="BL66" s="1">
        <f t="shared" si="939"/>
        <v>40</v>
      </c>
      <c r="BM66" s="1">
        <f t="shared" si="939"/>
        <v>0</v>
      </c>
      <c r="BN66" s="1">
        <f t="shared" si="939"/>
        <v>0</v>
      </c>
      <c r="BO66" s="1">
        <f t="shared" si="939"/>
        <v>40</v>
      </c>
      <c r="BP66" s="1">
        <f t="shared" si="939"/>
        <v>0</v>
      </c>
      <c r="BQ66" s="1">
        <f t="shared" ref="BQ66:CN66" si="940">BQ63*20%</f>
        <v>40</v>
      </c>
      <c r="BR66" s="1">
        <f t="shared" si="940"/>
        <v>0</v>
      </c>
      <c r="BS66" s="1">
        <f t="shared" si="940"/>
        <v>0</v>
      </c>
      <c r="BT66" s="1">
        <f t="shared" si="940"/>
        <v>0</v>
      </c>
      <c r="BU66" s="1">
        <f t="shared" si="940"/>
        <v>40</v>
      </c>
      <c r="BV66" s="1">
        <f t="shared" si="940"/>
        <v>0</v>
      </c>
      <c r="BW66" s="1">
        <f t="shared" si="940"/>
        <v>0</v>
      </c>
      <c r="BX66" s="53">
        <f t="shared" si="940"/>
        <v>0</v>
      </c>
      <c r="BY66" s="13">
        <f t="shared" si="940"/>
        <v>0</v>
      </c>
      <c r="BZ66" s="1">
        <f t="shared" si="940"/>
        <v>0</v>
      </c>
      <c r="CA66" s="1">
        <f t="shared" si="940"/>
        <v>0</v>
      </c>
      <c r="CB66" s="1">
        <f t="shared" si="940"/>
        <v>0</v>
      </c>
      <c r="CC66" s="1">
        <f t="shared" si="940"/>
        <v>40</v>
      </c>
      <c r="CD66" s="1">
        <f t="shared" si="940"/>
        <v>0</v>
      </c>
      <c r="CE66" s="1">
        <f t="shared" si="940"/>
        <v>40</v>
      </c>
      <c r="CF66" s="1">
        <f t="shared" si="940"/>
        <v>0</v>
      </c>
      <c r="CG66" s="1">
        <f t="shared" si="940"/>
        <v>0</v>
      </c>
      <c r="CH66" s="1">
        <f t="shared" si="940"/>
        <v>40</v>
      </c>
      <c r="CI66" s="1">
        <f t="shared" si="940"/>
        <v>0</v>
      </c>
      <c r="CJ66" s="1">
        <f t="shared" si="940"/>
        <v>0</v>
      </c>
      <c r="CK66" s="1">
        <f t="shared" si="940"/>
        <v>40</v>
      </c>
      <c r="CL66" s="1">
        <f t="shared" si="940"/>
        <v>0</v>
      </c>
      <c r="CM66" s="1">
        <f t="shared" si="940"/>
        <v>40</v>
      </c>
      <c r="CN66" s="1">
        <f t="shared" si="940"/>
        <v>0</v>
      </c>
      <c r="CO66" s="1">
        <f t="shared" ref="CO66:DL66" si="941">CO63*20%</f>
        <v>0</v>
      </c>
      <c r="CP66" s="1">
        <f t="shared" si="941"/>
        <v>40</v>
      </c>
      <c r="CQ66" s="1">
        <f t="shared" si="941"/>
        <v>0</v>
      </c>
      <c r="CR66" s="1">
        <f t="shared" si="941"/>
        <v>0</v>
      </c>
      <c r="CS66" s="1">
        <f t="shared" si="941"/>
        <v>40</v>
      </c>
      <c r="CT66" s="1">
        <f t="shared" si="941"/>
        <v>0</v>
      </c>
      <c r="CU66" s="1">
        <f t="shared" si="941"/>
        <v>0</v>
      </c>
      <c r="CV66" s="53">
        <f t="shared" si="941"/>
        <v>0</v>
      </c>
      <c r="CW66" s="13">
        <f t="shared" si="941"/>
        <v>0</v>
      </c>
      <c r="CX66" s="1">
        <f t="shared" si="941"/>
        <v>0</v>
      </c>
      <c r="CY66" s="1">
        <f t="shared" si="941"/>
        <v>0</v>
      </c>
      <c r="CZ66" s="1">
        <f t="shared" si="941"/>
        <v>0</v>
      </c>
      <c r="DA66" s="1">
        <f t="shared" si="941"/>
        <v>40</v>
      </c>
      <c r="DB66" s="1">
        <f t="shared" si="941"/>
        <v>0</v>
      </c>
      <c r="DC66" s="1">
        <f t="shared" si="941"/>
        <v>40</v>
      </c>
      <c r="DD66" s="1">
        <f t="shared" si="941"/>
        <v>0</v>
      </c>
      <c r="DE66" s="1">
        <f t="shared" si="941"/>
        <v>0</v>
      </c>
      <c r="DF66" s="1">
        <f t="shared" si="941"/>
        <v>40</v>
      </c>
      <c r="DG66" s="1">
        <f t="shared" si="941"/>
        <v>0</v>
      </c>
      <c r="DH66" s="1">
        <f t="shared" si="941"/>
        <v>0</v>
      </c>
      <c r="DI66" s="1">
        <f t="shared" si="941"/>
        <v>40</v>
      </c>
      <c r="DJ66" s="1">
        <f t="shared" si="941"/>
        <v>0</v>
      </c>
      <c r="DK66" s="1">
        <f t="shared" si="941"/>
        <v>0</v>
      </c>
      <c r="DL66" s="1">
        <f t="shared" si="941"/>
        <v>40</v>
      </c>
      <c r="DM66" s="1">
        <f t="shared" ref="DM66:DT66" si="942">DM63*20%</f>
        <v>0</v>
      </c>
      <c r="DN66" s="1">
        <f t="shared" si="942"/>
        <v>40</v>
      </c>
      <c r="DO66" s="1">
        <f t="shared" si="942"/>
        <v>0</v>
      </c>
      <c r="DP66" s="1">
        <f t="shared" si="942"/>
        <v>0</v>
      </c>
      <c r="DQ66" s="1">
        <f t="shared" si="942"/>
        <v>40</v>
      </c>
      <c r="DR66" s="1">
        <f t="shared" si="942"/>
        <v>0</v>
      </c>
      <c r="DS66" s="1">
        <f t="shared" si="942"/>
        <v>0</v>
      </c>
      <c r="DT66" s="53">
        <f t="shared" si="942"/>
        <v>0</v>
      </c>
    </row>
    <row r="67" spans="2:124" x14ac:dyDescent="0.25">
      <c r="B67" s="3" t="s">
        <v>44</v>
      </c>
      <c r="D67" s="100">
        <f>D53*5%</f>
        <v>0</v>
      </c>
      <c r="E67" s="18">
        <f t="shared" ref="E67:BP67" si="943">E53*5%</f>
        <v>0</v>
      </c>
      <c r="F67" s="24">
        <f t="shared" si="943"/>
        <v>0</v>
      </c>
      <c r="G67" s="24">
        <f t="shared" si="943"/>
        <v>0</v>
      </c>
      <c r="H67" s="24">
        <f t="shared" si="943"/>
        <v>0</v>
      </c>
      <c r="I67" s="24">
        <f t="shared" si="943"/>
        <v>0</v>
      </c>
      <c r="J67" s="24">
        <f t="shared" si="943"/>
        <v>12.145899590536256</v>
      </c>
      <c r="K67" s="24">
        <f t="shared" si="943"/>
        <v>0</v>
      </c>
      <c r="L67" s="24">
        <f t="shared" si="943"/>
        <v>0</v>
      </c>
      <c r="M67" s="24">
        <f t="shared" si="943"/>
        <v>0</v>
      </c>
      <c r="N67" s="24">
        <f t="shared" si="943"/>
        <v>0</v>
      </c>
      <c r="O67" s="24">
        <f t="shared" si="943"/>
        <v>0</v>
      </c>
      <c r="P67" s="24">
        <f t="shared" si="943"/>
        <v>0</v>
      </c>
      <c r="Q67" s="24">
        <f t="shared" si="943"/>
        <v>5.6270834803060694</v>
      </c>
      <c r="R67" s="24">
        <f t="shared" si="943"/>
        <v>0</v>
      </c>
      <c r="S67" s="24">
        <f t="shared" si="943"/>
        <v>0</v>
      </c>
      <c r="T67" s="24">
        <f t="shared" si="943"/>
        <v>0</v>
      </c>
      <c r="U67" s="24">
        <f t="shared" si="943"/>
        <v>0</v>
      </c>
      <c r="V67" s="24">
        <f t="shared" si="943"/>
        <v>5.4469288419859865</v>
      </c>
      <c r="W67" s="24">
        <f t="shared" si="943"/>
        <v>0</v>
      </c>
      <c r="X67" s="24">
        <f t="shared" si="943"/>
        <v>0</v>
      </c>
      <c r="Y67" s="24">
        <f t="shared" si="943"/>
        <v>0</v>
      </c>
      <c r="Z67" s="24">
        <f t="shared" si="943"/>
        <v>0</v>
      </c>
      <c r="AA67" s="24">
        <f t="shared" si="943"/>
        <v>0</v>
      </c>
      <c r="AB67" s="55">
        <f t="shared" si="943"/>
        <v>0</v>
      </c>
      <c r="AC67" s="18">
        <f t="shared" si="943"/>
        <v>0</v>
      </c>
      <c r="AD67" s="24">
        <f t="shared" si="943"/>
        <v>0</v>
      </c>
      <c r="AE67" s="24">
        <f t="shared" si="943"/>
        <v>0</v>
      </c>
      <c r="AF67" s="24">
        <f t="shared" si="943"/>
        <v>0</v>
      </c>
      <c r="AG67" s="24">
        <f t="shared" si="943"/>
        <v>0</v>
      </c>
      <c r="AH67" s="24">
        <f t="shared" si="943"/>
        <v>8.5334926760605008</v>
      </c>
      <c r="AI67" s="24">
        <f t="shared" si="943"/>
        <v>0</v>
      </c>
      <c r="AJ67" s="24">
        <f t="shared" si="943"/>
        <v>0</v>
      </c>
      <c r="AK67" s="24">
        <f t="shared" si="943"/>
        <v>0</v>
      </c>
      <c r="AL67" s="24">
        <f t="shared" si="943"/>
        <v>0</v>
      </c>
      <c r="AM67" s="24">
        <f t="shared" si="943"/>
        <v>0</v>
      </c>
      <c r="AN67" s="24">
        <f t="shared" si="943"/>
        <v>5.2556592270589331</v>
      </c>
      <c r="AO67" s="24">
        <f t="shared" si="943"/>
        <v>0</v>
      </c>
      <c r="AP67" s="24">
        <f t="shared" si="943"/>
        <v>0</v>
      </c>
      <c r="AQ67" s="24">
        <f t="shared" si="943"/>
        <v>0</v>
      </c>
      <c r="AR67" s="24">
        <f t="shared" si="943"/>
        <v>0</v>
      </c>
      <c r="AS67" s="24">
        <f t="shared" si="943"/>
        <v>0</v>
      </c>
      <c r="AT67" s="24">
        <f t="shared" si="943"/>
        <v>6.23900926175941</v>
      </c>
      <c r="AU67" s="24">
        <f t="shared" si="943"/>
        <v>0</v>
      </c>
      <c r="AV67" s="24">
        <f t="shared" si="943"/>
        <v>0</v>
      </c>
      <c r="AW67" s="24">
        <f t="shared" si="943"/>
        <v>0</v>
      </c>
      <c r="AX67" s="24">
        <f t="shared" si="943"/>
        <v>0</v>
      </c>
      <c r="AY67" s="24">
        <f t="shared" si="943"/>
        <v>0</v>
      </c>
      <c r="AZ67" s="55">
        <f t="shared" si="943"/>
        <v>0</v>
      </c>
      <c r="BA67" s="18">
        <f t="shared" si="943"/>
        <v>0</v>
      </c>
      <c r="BB67" s="24">
        <f t="shared" si="943"/>
        <v>0</v>
      </c>
      <c r="BC67" s="24">
        <f t="shared" si="943"/>
        <v>0</v>
      </c>
      <c r="BD67" s="24">
        <f t="shared" si="943"/>
        <v>0</v>
      </c>
      <c r="BE67" s="24">
        <f t="shared" si="943"/>
        <v>0</v>
      </c>
      <c r="BF67" s="24">
        <f t="shared" si="943"/>
        <v>7.2889463647672814</v>
      </c>
      <c r="BG67" s="24">
        <f t="shared" si="943"/>
        <v>0</v>
      </c>
      <c r="BH67" s="24">
        <f t="shared" si="943"/>
        <v>0</v>
      </c>
      <c r="BI67" s="24">
        <f t="shared" si="943"/>
        <v>0</v>
      </c>
      <c r="BJ67" s="24">
        <f t="shared" si="943"/>
        <v>0</v>
      </c>
      <c r="BK67" s="24">
        <f t="shared" si="943"/>
        <v>0</v>
      </c>
      <c r="BL67" s="24">
        <f t="shared" si="943"/>
        <v>5.6290231204469006</v>
      </c>
      <c r="BM67" s="24">
        <f t="shared" si="943"/>
        <v>0</v>
      </c>
      <c r="BN67" s="24">
        <f t="shared" si="943"/>
        <v>0</v>
      </c>
      <c r="BO67" s="24">
        <f t="shared" si="943"/>
        <v>0</v>
      </c>
      <c r="BP67" s="24">
        <f t="shared" si="943"/>
        <v>0</v>
      </c>
      <c r="BQ67" s="24">
        <f t="shared" ref="BQ67:CN67" si="944">BQ53*5%</f>
        <v>0</v>
      </c>
      <c r="BR67" s="24">
        <f t="shared" si="944"/>
        <v>6.1270000937430176</v>
      </c>
      <c r="BS67" s="24">
        <f t="shared" si="944"/>
        <v>0</v>
      </c>
      <c r="BT67" s="24">
        <f t="shared" si="944"/>
        <v>0</v>
      </c>
      <c r="BU67" s="24">
        <f t="shared" si="944"/>
        <v>0</v>
      </c>
      <c r="BV67" s="24">
        <f t="shared" si="944"/>
        <v>0</v>
      </c>
      <c r="BW67" s="24">
        <f t="shared" si="944"/>
        <v>0</v>
      </c>
      <c r="BX67" s="55">
        <f t="shared" si="944"/>
        <v>0</v>
      </c>
      <c r="BY67" s="18">
        <f t="shared" si="944"/>
        <v>0</v>
      </c>
      <c r="BZ67" s="24">
        <f t="shared" si="944"/>
        <v>0</v>
      </c>
      <c r="CA67" s="24">
        <f t="shared" si="944"/>
        <v>0</v>
      </c>
      <c r="CB67" s="24">
        <f t="shared" si="944"/>
        <v>0</v>
      </c>
      <c r="CC67" s="24">
        <f t="shared" si="944"/>
        <v>0</v>
      </c>
      <c r="CD67" s="24">
        <f t="shared" si="944"/>
        <v>8.1254499250062775</v>
      </c>
      <c r="CE67" s="24">
        <f t="shared" si="944"/>
        <v>0</v>
      </c>
      <c r="CF67" s="24">
        <f t="shared" si="944"/>
        <v>0</v>
      </c>
      <c r="CG67" s="24">
        <f t="shared" si="944"/>
        <v>0</v>
      </c>
      <c r="CH67" s="24">
        <f t="shared" si="944"/>
        <v>0</v>
      </c>
      <c r="CI67" s="24">
        <f t="shared" si="944"/>
        <v>0</v>
      </c>
      <c r="CJ67" s="24">
        <f t="shared" si="944"/>
        <v>5.378072052375205</v>
      </c>
      <c r="CK67" s="24">
        <f t="shared" si="944"/>
        <v>0</v>
      </c>
      <c r="CL67" s="24">
        <f t="shared" si="944"/>
        <v>0</v>
      </c>
      <c r="CM67" s="24">
        <f t="shared" si="944"/>
        <v>0</v>
      </c>
      <c r="CN67" s="24">
        <f t="shared" si="944"/>
        <v>0</v>
      </c>
      <c r="CO67" s="24">
        <f t="shared" ref="CO67:DL67" si="945">CO53*5%</f>
        <v>0</v>
      </c>
      <c r="CP67" s="24">
        <f t="shared" si="945"/>
        <v>6.2022854141645274</v>
      </c>
      <c r="CQ67" s="24">
        <f t="shared" si="945"/>
        <v>0</v>
      </c>
      <c r="CR67" s="24">
        <f t="shared" si="945"/>
        <v>0</v>
      </c>
      <c r="CS67" s="24">
        <f t="shared" si="945"/>
        <v>0</v>
      </c>
      <c r="CT67" s="24">
        <f t="shared" si="945"/>
        <v>0</v>
      </c>
      <c r="CU67" s="24">
        <f t="shared" si="945"/>
        <v>0</v>
      </c>
      <c r="CV67" s="55">
        <f t="shared" si="945"/>
        <v>0</v>
      </c>
      <c r="CW67" s="18">
        <f t="shared" si="945"/>
        <v>0</v>
      </c>
      <c r="CX67" s="24">
        <f t="shared" si="945"/>
        <v>0</v>
      </c>
      <c r="CY67" s="24">
        <f t="shared" si="945"/>
        <v>0</v>
      </c>
      <c r="CZ67" s="24">
        <f t="shared" si="945"/>
        <v>0</v>
      </c>
      <c r="DA67" s="24">
        <f t="shared" si="945"/>
        <v>0</v>
      </c>
      <c r="DB67" s="24">
        <f t="shared" si="945"/>
        <v>8.0802787327533743</v>
      </c>
      <c r="DC67" s="24">
        <f t="shared" si="945"/>
        <v>0</v>
      </c>
      <c r="DD67" s="24">
        <f t="shared" si="945"/>
        <v>0</v>
      </c>
      <c r="DE67" s="24">
        <f t="shared" si="945"/>
        <v>0</v>
      </c>
      <c r="DF67" s="24">
        <f t="shared" si="945"/>
        <v>0</v>
      </c>
      <c r="DG67" s="24">
        <f t="shared" si="945"/>
        <v>0</v>
      </c>
      <c r="DH67" s="24">
        <f t="shared" si="945"/>
        <v>5.3916234100510749</v>
      </c>
      <c r="DI67" s="24">
        <f t="shared" si="945"/>
        <v>0</v>
      </c>
      <c r="DJ67" s="24">
        <f t="shared" si="945"/>
        <v>0</v>
      </c>
      <c r="DK67" s="24">
        <f t="shared" si="945"/>
        <v>0</v>
      </c>
      <c r="DL67" s="24">
        <f t="shared" si="945"/>
        <v>0</v>
      </c>
      <c r="DM67" s="24">
        <f t="shared" ref="DM67:DT67" si="946">DM53*5%</f>
        <v>0</v>
      </c>
      <c r="DN67" s="24">
        <f t="shared" si="946"/>
        <v>6.1982200068617637</v>
      </c>
      <c r="DO67" s="24">
        <f t="shared" si="946"/>
        <v>0</v>
      </c>
      <c r="DP67" s="24">
        <f t="shared" si="946"/>
        <v>0</v>
      </c>
      <c r="DQ67" s="24">
        <f t="shared" si="946"/>
        <v>0</v>
      </c>
      <c r="DR67" s="24">
        <f t="shared" si="946"/>
        <v>0</v>
      </c>
      <c r="DS67" s="24">
        <f t="shared" si="946"/>
        <v>0</v>
      </c>
      <c r="DT67" s="55">
        <f t="shared" si="946"/>
        <v>0</v>
      </c>
    </row>
    <row r="68" spans="2:124" x14ac:dyDescent="0.25">
      <c r="B68" s="3" t="s">
        <v>45</v>
      </c>
      <c r="D68" s="100">
        <f>55%*80*1000</f>
        <v>44000</v>
      </c>
      <c r="E68" s="13">
        <f>E66+E67+D68-D69</f>
        <v>43940</v>
      </c>
      <c r="F68" s="1">
        <f t="shared" ref="F68:BQ68" si="947">F66+F67+E68-E69</f>
        <v>43880</v>
      </c>
      <c r="G68" s="1">
        <f t="shared" si="947"/>
        <v>43820</v>
      </c>
      <c r="H68" s="1">
        <f t="shared" si="947"/>
        <v>43760</v>
      </c>
      <c r="I68" s="1">
        <f t="shared" si="947"/>
        <v>43740</v>
      </c>
      <c r="J68" s="1">
        <f t="shared" si="947"/>
        <v>43692.145899590534</v>
      </c>
      <c r="K68" s="1">
        <f t="shared" si="947"/>
        <v>43632.145899590534</v>
      </c>
      <c r="L68" s="1">
        <f t="shared" si="947"/>
        <v>43612.145899590534</v>
      </c>
      <c r="M68" s="1">
        <f t="shared" si="947"/>
        <v>43552.145899590534</v>
      </c>
      <c r="N68" s="1">
        <f t="shared" si="947"/>
        <v>43492.145899590534</v>
      </c>
      <c r="O68" s="1">
        <f t="shared" si="947"/>
        <v>43472.145899590534</v>
      </c>
      <c r="P68" s="1">
        <f t="shared" si="947"/>
        <v>43412.145899590534</v>
      </c>
      <c r="Q68" s="1">
        <f t="shared" si="947"/>
        <v>43357.772983070841</v>
      </c>
      <c r="R68" s="1">
        <f t="shared" si="947"/>
        <v>43337.772983070841</v>
      </c>
      <c r="S68" s="1">
        <f t="shared" si="947"/>
        <v>43277.772983070841</v>
      </c>
      <c r="T68" s="1">
        <f t="shared" si="947"/>
        <v>43257.772983070841</v>
      </c>
      <c r="U68" s="1">
        <f t="shared" si="947"/>
        <v>43197.772983070841</v>
      </c>
      <c r="V68" s="1">
        <f t="shared" si="947"/>
        <v>43143.219911912827</v>
      </c>
      <c r="W68" s="1">
        <f t="shared" si="947"/>
        <v>43123.219911912827</v>
      </c>
      <c r="X68" s="1">
        <f t="shared" si="947"/>
        <v>43063.219911912827</v>
      </c>
      <c r="Y68" s="1">
        <f t="shared" si="947"/>
        <v>43003.219911912827</v>
      </c>
      <c r="Z68" s="1">
        <f t="shared" si="947"/>
        <v>42983.219911912827</v>
      </c>
      <c r="AA68" s="1">
        <f t="shared" si="947"/>
        <v>42923.219911912827</v>
      </c>
      <c r="AB68" s="53">
        <f t="shared" si="947"/>
        <v>42863.219911912827</v>
      </c>
      <c r="AC68" s="13">
        <f t="shared" si="947"/>
        <v>42803.219911912827</v>
      </c>
      <c r="AD68" s="1">
        <f t="shared" si="947"/>
        <v>42743.219911912827</v>
      </c>
      <c r="AE68" s="1">
        <f t="shared" si="947"/>
        <v>42683.219911912827</v>
      </c>
      <c r="AF68" s="1">
        <f t="shared" si="947"/>
        <v>42623.219911912827</v>
      </c>
      <c r="AG68" s="1">
        <f t="shared" si="947"/>
        <v>42603.219911912827</v>
      </c>
      <c r="AH68" s="1">
        <f t="shared" si="947"/>
        <v>42551.75340458889</v>
      </c>
      <c r="AI68" s="1">
        <f t="shared" si="947"/>
        <v>42491.75340458889</v>
      </c>
      <c r="AJ68" s="1">
        <f t="shared" si="947"/>
        <v>42431.75340458889</v>
      </c>
      <c r="AK68" s="1">
        <f t="shared" si="947"/>
        <v>42411.75340458889</v>
      </c>
      <c r="AL68" s="1">
        <f t="shared" si="947"/>
        <v>42351.75340458889</v>
      </c>
      <c r="AM68" s="1">
        <f t="shared" si="947"/>
        <v>42331.75340458889</v>
      </c>
      <c r="AN68" s="1">
        <f t="shared" si="947"/>
        <v>42277.009063815945</v>
      </c>
      <c r="AO68" s="1">
        <f t="shared" si="947"/>
        <v>42217.009063815945</v>
      </c>
      <c r="AP68" s="1">
        <f t="shared" si="947"/>
        <v>42197.009063815945</v>
      </c>
      <c r="AQ68" s="1">
        <f t="shared" si="947"/>
        <v>42137.009063815945</v>
      </c>
      <c r="AR68" s="1">
        <f t="shared" si="947"/>
        <v>42077.009063815945</v>
      </c>
      <c r="AS68" s="1">
        <f t="shared" si="947"/>
        <v>42057.009063815945</v>
      </c>
      <c r="AT68" s="1">
        <f t="shared" si="947"/>
        <v>42003.248073077702</v>
      </c>
      <c r="AU68" s="1">
        <f t="shared" si="947"/>
        <v>41983.248073077702</v>
      </c>
      <c r="AV68" s="1">
        <f t="shared" si="947"/>
        <v>41923.248073077702</v>
      </c>
      <c r="AW68" s="1">
        <f t="shared" si="947"/>
        <v>41863.248073077702</v>
      </c>
      <c r="AX68" s="1">
        <f t="shared" si="947"/>
        <v>41803.248073077702</v>
      </c>
      <c r="AY68" s="1">
        <f t="shared" si="947"/>
        <v>41743.248073077702</v>
      </c>
      <c r="AZ68" s="53">
        <f t="shared" si="947"/>
        <v>41683.248073077702</v>
      </c>
      <c r="BA68" s="13">
        <f t="shared" si="947"/>
        <v>41623.248073077702</v>
      </c>
      <c r="BB68" s="1">
        <f t="shared" si="947"/>
        <v>41563.248073077702</v>
      </c>
      <c r="BC68" s="1">
        <f t="shared" si="947"/>
        <v>41503.248073077702</v>
      </c>
      <c r="BD68" s="1">
        <f t="shared" si="947"/>
        <v>41443.248073077702</v>
      </c>
      <c r="BE68" s="1">
        <f t="shared" si="947"/>
        <v>41423.248073077702</v>
      </c>
      <c r="BF68" s="1">
        <f t="shared" si="947"/>
        <v>41370.537019442469</v>
      </c>
      <c r="BG68" s="1">
        <f t="shared" si="947"/>
        <v>41350.537019442469</v>
      </c>
      <c r="BH68" s="1">
        <f t="shared" si="947"/>
        <v>41290.537019442469</v>
      </c>
      <c r="BI68" s="1">
        <f t="shared" si="947"/>
        <v>41230.537019442469</v>
      </c>
      <c r="BJ68" s="1">
        <f t="shared" si="947"/>
        <v>41210.537019442469</v>
      </c>
      <c r="BK68" s="1">
        <f t="shared" si="947"/>
        <v>41150.537019442469</v>
      </c>
      <c r="BL68" s="1">
        <f t="shared" si="947"/>
        <v>41136.166042562916</v>
      </c>
      <c r="BM68" s="1">
        <f t="shared" si="947"/>
        <v>41076.166042562916</v>
      </c>
      <c r="BN68" s="1">
        <f t="shared" si="947"/>
        <v>41016.166042562916</v>
      </c>
      <c r="BO68" s="1">
        <f t="shared" si="947"/>
        <v>40996.166042562916</v>
      </c>
      <c r="BP68" s="1">
        <f t="shared" si="947"/>
        <v>40936.166042562916</v>
      </c>
      <c r="BQ68" s="1">
        <f t="shared" si="947"/>
        <v>40916.166042562916</v>
      </c>
      <c r="BR68" s="1">
        <f t="shared" ref="BR68:BX68" si="948">BR66+BR67+BQ68-BQ69</f>
        <v>40862.29304265666</v>
      </c>
      <c r="BS68" s="1">
        <f t="shared" si="948"/>
        <v>40802.29304265666</v>
      </c>
      <c r="BT68" s="1">
        <f t="shared" si="948"/>
        <v>40742.29304265666</v>
      </c>
      <c r="BU68" s="1">
        <f t="shared" si="948"/>
        <v>40722.29304265666</v>
      </c>
      <c r="BV68" s="1">
        <f t="shared" si="948"/>
        <v>40662.29304265666</v>
      </c>
      <c r="BW68" s="1">
        <f t="shared" si="948"/>
        <v>40602.29304265666</v>
      </c>
      <c r="BX68" s="53">
        <f t="shared" si="948"/>
        <v>40542.29304265666</v>
      </c>
      <c r="BY68" s="13">
        <f t="shared" ref="BY68" si="949">BY66+BY67+BX68-BX69</f>
        <v>40482.29304265666</v>
      </c>
      <c r="BZ68" s="1">
        <f t="shared" ref="BZ68" si="950">BZ66+BZ67+BY68-BY69</f>
        <v>40422.29304265666</v>
      </c>
      <c r="CA68" s="1">
        <f t="shared" ref="CA68" si="951">CA66+CA67+BZ68-BZ69</f>
        <v>40362.29304265666</v>
      </c>
      <c r="CB68" s="1">
        <f t="shared" ref="CB68" si="952">CB66+CB67+CA68-CA69</f>
        <v>40302.29304265666</v>
      </c>
      <c r="CC68" s="1">
        <f t="shared" ref="CC68" si="953">CC66+CC67+CB68-CB69</f>
        <v>40282.29304265666</v>
      </c>
      <c r="CD68" s="1">
        <f t="shared" ref="CD68" si="954">CD66+CD67+CC68-CC69</f>
        <v>40230.418492581666</v>
      </c>
      <c r="CE68" s="1">
        <f t="shared" ref="CE68" si="955">CE66+CE67+CD68-CD69</f>
        <v>40210.418492581666</v>
      </c>
      <c r="CF68" s="1">
        <f t="shared" ref="CF68" si="956">CF66+CF67+CE68-CE69</f>
        <v>40150.418492581666</v>
      </c>
      <c r="CG68" s="1">
        <f t="shared" ref="CG68" si="957">CG66+CG67+CF68-CF69</f>
        <v>40090.418492581666</v>
      </c>
      <c r="CH68" s="1">
        <f t="shared" ref="CH68" si="958">CH66+CH67+CG68-CG69</f>
        <v>40070.418492581666</v>
      </c>
      <c r="CI68" s="1">
        <f t="shared" ref="CI68" si="959">CI66+CI67+CH68-CH69</f>
        <v>40010.418492581666</v>
      </c>
      <c r="CJ68" s="1">
        <f t="shared" ref="CJ68" si="960">CJ66+CJ67+CI68-CI69</f>
        <v>39955.796564634038</v>
      </c>
      <c r="CK68" s="1">
        <f t="shared" ref="CK68" si="961">CK66+CK67+CJ68-CJ69</f>
        <v>39935.796564634038</v>
      </c>
      <c r="CL68" s="1">
        <f t="shared" ref="CL68" si="962">CL66+CL67+CK68-CK69</f>
        <v>39875.796564634038</v>
      </c>
      <c r="CM68" s="1">
        <f t="shared" ref="CM68" si="963">CM66+CM67+CL68-CL69</f>
        <v>39855.796564634038</v>
      </c>
      <c r="CN68" s="1">
        <f t="shared" ref="CN68" si="964">CN66+CN67+CM68-CM69</f>
        <v>39795.796564634038</v>
      </c>
      <c r="CO68" s="1">
        <f t="shared" ref="CO68" si="965">CO66+CO67+CN68-CN69</f>
        <v>39735.796564634038</v>
      </c>
      <c r="CP68" s="1">
        <f t="shared" ref="CP68" si="966">CP66+CP67+CO68-CO69</f>
        <v>39721.9988500482</v>
      </c>
      <c r="CQ68" s="1">
        <f t="shared" ref="CQ68" si="967">CQ66+CQ67+CP68-CP69</f>
        <v>39661.9988500482</v>
      </c>
      <c r="CR68" s="1">
        <f t="shared" ref="CR68" si="968">CR66+CR67+CQ68-CQ69</f>
        <v>39601.9988500482</v>
      </c>
      <c r="CS68" s="1">
        <f t="shared" ref="CS68" si="969">CS66+CS67+CR68-CR69</f>
        <v>39581.9988500482</v>
      </c>
      <c r="CT68" s="1">
        <f t="shared" ref="CT68" si="970">CT66+CT67+CS68-CS69</f>
        <v>39521.9988500482</v>
      </c>
      <c r="CU68" s="1">
        <f t="shared" ref="CU68" si="971">CU66+CU67+CT68-CT69</f>
        <v>39461.9988500482</v>
      </c>
      <c r="CV68" s="53">
        <f t="shared" ref="CV68" si="972">CV66+CV67+CU68-CU69</f>
        <v>39401.9988500482</v>
      </c>
      <c r="CW68" s="13">
        <f t="shared" ref="CW68" si="973">CW66+CW67+CV68-CV69</f>
        <v>39341.9988500482</v>
      </c>
      <c r="CX68" s="1">
        <f t="shared" ref="CX68" si="974">CX66+CX67+CW68-CW69</f>
        <v>39281.9988500482</v>
      </c>
      <c r="CY68" s="1">
        <f t="shared" ref="CY68" si="975">CY66+CY67+CX68-CX69</f>
        <v>39221.9988500482</v>
      </c>
      <c r="CZ68" s="1">
        <f t="shared" ref="CZ68" si="976">CZ66+CZ67+CY68-CY69</f>
        <v>39161.9988500482</v>
      </c>
      <c r="DA68" s="1">
        <f t="shared" ref="DA68" si="977">DA66+DA67+CZ68-CZ69</f>
        <v>39141.9988500482</v>
      </c>
      <c r="DB68" s="1">
        <f t="shared" ref="DB68" si="978">DB66+DB67+DA68-DA69</f>
        <v>39090.079128780955</v>
      </c>
      <c r="DC68" s="1">
        <f t="shared" ref="DC68" si="979">DC66+DC67+DB68-DB69</f>
        <v>39070.079128780955</v>
      </c>
      <c r="DD68" s="1">
        <f t="shared" ref="DD68" si="980">DD66+DD67+DC68-DC69</f>
        <v>39010.079128780955</v>
      </c>
      <c r="DE68" s="1">
        <f t="shared" ref="DE68" si="981">DE66+DE67+DD68-DD69</f>
        <v>38950.079128780955</v>
      </c>
      <c r="DF68" s="1">
        <f t="shared" ref="DF68" si="982">DF66+DF67+DE68-DE69</f>
        <v>38930.079128780955</v>
      </c>
      <c r="DG68" s="1">
        <f t="shared" ref="DG68" si="983">DG66+DG67+DF68-DF69</f>
        <v>38870.079128780955</v>
      </c>
      <c r="DH68" s="1">
        <f t="shared" ref="DH68" si="984">DH66+DH67+DG68-DG69</f>
        <v>38815.47075219101</v>
      </c>
      <c r="DI68" s="1">
        <f t="shared" ref="DI68" si="985">DI66+DI67+DH68-DH69</f>
        <v>38795.47075219101</v>
      </c>
      <c r="DJ68" s="1">
        <f t="shared" ref="DJ68" si="986">DJ66+DJ67+DI68-DI69</f>
        <v>38735.47075219101</v>
      </c>
      <c r="DK68" s="1">
        <f t="shared" ref="DK68" si="987">DK66+DK67+DJ68-DJ69</f>
        <v>38675.47075219101</v>
      </c>
      <c r="DL68" s="1">
        <f t="shared" ref="DL68" si="988">DL66+DL67+DK68-DK69</f>
        <v>38655.47075219101</v>
      </c>
      <c r="DM68" s="1">
        <f t="shared" ref="DM68" si="989">DM66+DM67+DL68-DL69</f>
        <v>38595.47075219101</v>
      </c>
      <c r="DN68" s="1">
        <f t="shared" ref="DN68" si="990">DN66+DN67+DM68-DM69</f>
        <v>38581.668972197869</v>
      </c>
      <c r="DO68" s="1">
        <f t="shared" ref="DO68" si="991">DO66+DO67+DN68-DN69</f>
        <v>38521.668972197869</v>
      </c>
      <c r="DP68" s="1">
        <f t="shared" ref="DP68" si="992">DP66+DP67+DO68-DO69</f>
        <v>38461.668972197869</v>
      </c>
      <c r="DQ68" s="1">
        <f t="shared" ref="DQ68" si="993">DQ66+DQ67+DP68-DP69</f>
        <v>38441.668972197869</v>
      </c>
      <c r="DR68" s="1">
        <f t="shared" ref="DR68" si="994">DR66+DR67+DQ68-DQ69</f>
        <v>38381.668972197869</v>
      </c>
      <c r="DS68" s="1">
        <f t="shared" ref="DS68" si="995">DS66+DS67+DR68-DR69</f>
        <v>38321.668972197869</v>
      </c>
      <c r="DT68" s="53">
        <f t="shared" ref="DT68" si="996">DT66+DT67+DS68-DS69</f>
        <v>38261.668972197869</v>
      </c>
    </row>
    <row r="69" spans="2:124" x14ac:dyDescent="0.25">
      <c r="B69" s="3" t="s">
        <v>46</v>
      </c>
      <c r="D69" s="100">
        <v>60</v>
      </c>
      <c r="E69" s="13">
        <f>D69</f>
        <v>60</v>
      </c>
      <c r="F69" s="1">
        <f t="shared" ref="F69:BQ69" si="997">E69</f>
        <v>60</v>
      </c>
      <c r="G69" s="1">
        <f t="shared" si="997"/>
        <v>60</v>
      </c>
      <c r="H69" s="1">
        <f t="shared" si="997"/>
        <v>60</v>
      </c>
      <c r="I69" s="1">
        <f t="shared" si="997"/>
        <v>60</v>
      </c>
      <c r="J69" s="1">
        <f t="shared" si="997"/>
        <v>60</v>
      </c>
      <c r="K69" s="1">
        <f t="shared" si="997"/>
        <v>60</v>
      </c>
      <c r="L69" s="1">
        <f t="shared" si="997"/>
        <v>60</v>
      </c>
      <c r="M69" s="1">
        <f t="shared" si="997"/>
        <v>60</v>
      </c>
      <c r="N69" s="1">
        <f t="shared" si="997"/>
        <v>60</v>
      </c>
      <c r="O69" s="1">
        <f t="shared" si="997"/>
        <v>60</v>
      </c>
      <c r="P69" s="1">
        <f t="shared" si="997"/>
        <v>60</v>
      </c>
      <c r="Q69" s="1">
        <f t="shared" si="997"/>
        <v>60</v>
      </c>
      <c r="R69" s="1">
        <f t="shared" si="997"/>
        <v>60</v>
      </c>
      <c r="S69" s="1">
        <f t="shared" si="997"/>
        <v>60</v>
      </c>
      <c r="T69" s="1">
        <f t="shared" si="997"/>
        <v>60</v>
      </c>
      <c r="U69" s="1">
        <f t="shared" si="997"/>
        <v>60</v>
      </c>
      <c r="V69" s="1">
        <f t="shared" si="997"/>
        <v>60</v>
      </c>
      <c r="W69" s="1">
        <f t="shared" si="997"/>
        <v>60</v>
      </c>
      <c r="X69" s="1">
        <f t="shared" si="997"/>
        <v>60</v>
      </c>
      <c r="Y69" s="1">
        <f t="shared" si="997"/>
        <v>60</v>
      </c>
      <c r="Z69" s="1">
        <f t="shared" si="997"/>
        <v>60</v>
      </c>
      <c r="AA69" s="1">
        <f t="shared" si="997"/>
        <v>60</v>
      </c>
      <c r="AB69" s="53">
        <f t="shared" si="997"/>
        <v>60</v>
      </c>
      <c r="AC69" s="13">
        <f t="shared" si="997"/>
        <v>60</v>
      </c>
      <c r="AD69" s="1">
        <f t="shared" si="997"/>
        <v>60</v>
      </c>
      <c r="AE69" s="1">
        <f t="shared" si="997"/>
        <v>60</v>
      </c>
      <c r="AF69" s="1">
        <f t="shared" si="997"/>
        <v>60</v>
      </c>
      <c r="AG69" s="1">
        <f t="shared" si="997"/>
        <v>60</v>
      </c>
      <c r="AH69" s="1">
        <f t="shared" si="997"/>
        <v>60</v>
      </c>
      <c r="AI69" s="1">
        <f t="shared" si="997"/>
        <v>60</v>
      </c>
      <c r="AJ69" s="1">
        <f t="shared" si="997"/>
        <v>60</v>
      </c>
      <c r="AK69" s="1">
        <f t="shared" si="997"/>
        <v>60</v>
      </c>
      <c r="AL69" s="1">
        <f t="shared" si="997"/>
        <v>60</v>
      </c>
      <c r="AM69" s="1">
        <f t="shared" si="997"/>
        <v>60</v>
      </c>
      <c r="AN69" s="1">
        <f t="shared" si="997"/>
        <v>60</v>
      </c>
      <c r="AO69" s="1">
        <f t="shared" si="997"/>
        <v>60</v>
      </c>
      <c r="AP69" s="1">
        <f t="shared" si="997"/>
        <v>60</v>
      </c>
      <c r="AQ69" s="1">
        <f t="shared" si="997"/>
        <v>60</v>
      </c>
      <c r="AR69" s="1">
        <f t="shared" si="997"/>
        <v>60</v>
      </c>
      <c r="AS69" s="1">
        <f t="shared" si="997"/>
        <v>60</v>
      </c>
      <c r="AT69" s="1">
        <f t="shared" si="997"/>
        <v>60</v>
      </c>
      <c r="AU69" s="1">
        <f t="shared" si="997"/>
        <v>60</v>
      </c>
      <c r="AV69" s="1">
        <f t="shared" si="997"/>
        <v>60</v>
      </c>
      <c r="AW69" s="1">
        <f t="shared" si="997"/>
        <v>60</v>
      </c>
      <c r="AX69" s="1">
        <f t="shared" si="997"/>
        <v>60</v>
      </c>
      <c r="AY69" s="1">
        <f t="shared" si="997"/>
        <v>60</v>
      </c>
      <c r="AZ69" s="53">
        <f t="shared" si="997"/>
        <v>60</v>
      </c>
      <c r="BA69" s="13">
        <f t="shared" si="997"/>
        <v>60</v>
      </c>
      <c r="BB69" s="1">
        <f t="shared" si="997"/>
        <v>60</v>
      </c>
      <c r="BC69" s="1">
        <f t="shared" si="997"/>
        <v>60</v>
      </c>
      <c r="BD69" s="1">
        <f t="shared" si="997"/>
        <v>60</v>
      </c>
      <c r="BE69" s="1">
        <f t="shared" si="997"/>
        <v>60</v>
      </c>
      <c r="BF69" s="1">
        <f t="shared" si="997"/>
        <v>60</v>
      </c>
      <c r="BG69" s="1">
        <f t="shared" si="997"/>
        <v>60</v>
      </c>
      <c r="BH69" s="1">
        <f t="shared" si="997"/>
        <v>60</v>
      </c>
      <c r="BI69" s="1">
        <f t="shared" si="997"/>
        <v>60</v>
      </c>
      <c r="BJ69" s="1">
        <f t="shared" si="997"/>
        <v>60</v>
      </c>
      <c r="BK69" s="1">
        <f t="shared" si="997"/>
        <v>60</v>
      </c>
      <c r="BL69" s="1">
        <f t="shared" si="997"/>
        <v>60</v>
      </c>
      <c r="BM69" s="1">
        <f t="shared" si="997"/>
        <v>60</v>
      </c>
      <c r="BN69" s="1">
        <f t="shared" si="997"/>
        <v>60</v>
      </c>
      <c r="BO69" s="1">
        <f t="shared" si="997"/>
        <v>60</v>
      </c>
      <c r="BP69" s="1">
        <f t="shared" si="997"/>
        <v>60</v>
      </c>
      <c r="BQ69" s="1">
        <f t="shared" si="997"/>
        <v>60</v>
      </c>
      <c r="BR69" s="1">
        <f t="shared" ref="BR69:BX69" si="998">BQ69</f>
        <v>60</v>
      </c>
      <c r="BS69" s="1">
        <f t="shared" si="998"/>
        <v>60</v>
      </c>
      <c r="BT69" s="1">
        <f t="shared" si="998"/>
        <v>60</v>
      </c>
      <c r="BU69" s="1">
        <f t="shared" si="998"/>
        <v>60</v>
      </c>
      <c r="BV69" s="1">
        <f t="shared" si="998"/>
        <v>60</v>
      </c>
      <c r="BW69" s="1">
        <f t="shared" si="998"/>
        <v>60</v>
      </c>
      <c r="BX69" s="53">
        <f t="shared" si="998"/>
        <v>60</v>
      </c>
      <c r="BY69" s="13">
        <f t="shared" ref="BY69" si="999">BX69</f>
        <v>60</v>
      </c>
      <c r="BZ69" s="1">
        <f t="shared" ref="BZ69" si="1000">BY69</f>
        <v>60</v>
      </c>
      <c r="CA69" s="1">
        <f t="shared" ref="CA69" si="1001">BZ69</f>
        <v>60</v>
      </c>
      <c r="CB69" s="1">
        <f t="shared" ref="CB69" si="1002">CA69</f>
        <v>60</v>
      </c>
      <c r="CC69" s="1">
        <f t="shared" ref="CC69" si="1003">CB69</f>
        <v>60</v>
      </c>
      <c r="CD69" s="1">
        <f t="shared" ref="CD69" si="1004">CC69</f>
        <v>60</v>
      </c>
      <c r="CE69" s="1">
        <f t="shared" ref="CE69" si="1005">CD69</f>
        <v>60</v>
      </c>
      <c r="CF69" s="1">
        <f t="shared" ref="CF69" si="1006">CE69</f>
        <v>60</v>
      </c>
      <c r="CG69" s="1">
        <f t="shared" ref="CG69" si="1007">CF69</f>
        <v>60</v>
      </c>
      <c r="CH69" s="1">
        <f t="shared" ref="CH69" si="1008">CG69</f>
        <v>60</v>
      </c>
      <c r="CI69" s="1">
        <f t="shared" ref="CI69" si="1009">CH69</f>
        <v>60</v>
      </c>
      <c r="CJ69" s="1">
        <f t="shared" ref="CJ69" si="1010">CI69</f>
        <v>60</v>
      </c>
      <c r="CK69" s="1">
        <f t="shared" ref="CK69" si="1011">CJ69</f>
        <v>60</v>
      </c>
      <c r="CL69" s="1">
        <f t="shared" ref="CL69" si="1012">CK69</f>
        <v>60</v>
      </c>
      <c r="CM69" s="1">
        <f t="shared" ref="CM69" si="1013">CL69</f>
        <v>60</v>
      </c>
      <c r="CN69" s="1">
        <f t="shared" ref="CN69" si="1014">CM69</f>
        <v>60</v>
      </c>
      <c r="CO69" s="1">
        <f t="shared" ref="CO69" si="1015">CN69</f>
        <v>60</v>
      </c>
      <c r="CP69" s="1">
        <f t="shared" ref="CP69" si="1016">CO69</f>
        <v>60</v>
      </c>
      <c r="CQ69" s="1">
        <f t="shared" ref="CQ69" si="1017">CP69</f>
        <v>60</v>
      </c>
      <c r="CR69" s="1">
        <f t="shared" ref="CR69" si="1018">CQ69</f>
        <v>60</v>
      </c>
      <c r="CS69" s="1">
        <f t="shared" ref="CS69" si="1019">CR69</f>
        <v>60</v>
      </c>
      <c r="CT69" s="1">
        <f t="shared" ref="CT69" si="1020">CS69</f>
        <v>60</v>
      </c>
      <c r="CU69" s="1">
        <f t="shared" ref="CU69" si="1021">CT69</f>
        <v>60</v>
      </c>
      <c r="CV69" s="53">
        <f t="shared" ref="CV69" si="1022">CU69</f>
        <v>60</v>
      </c>
      <c r="CW69" s="13">
        <f t="shared" ref="CW69" si="1023">CV69</f>
        <v>60</v>
      </c>
      <c r="CX69" s="1">
        <f t="shared" ref="CX69" si="1024">CW69</f>
        <v>60</v>
      </c>
      <c r="CY69" s="1">
        <f t="shared" ref="CY69" si="1025">CX69</f>
        <v>60</v>
      </c>
      <c r="CZ69" s="1">
        <f t="shared" ref="CZ69" si="1026">CY69</f>
        <v>60</v>
      </c>
      <c r="DA69" s="1">
        <f t="shared" ref="DA69" si="1027">CZ69</f>
        <v>60</v>
      </c>
      <c r="DB69" s="1">
        <f t="shared" ref="DB69" si="1028">DA69</f>
        <v>60</v>
      </c>
      <c r="DC69" s="1">
        <f t="shared" ref="DC69" si="1029">DB69</f>
        <v>60</v>
      </c>
      <c r="DD69" s="1">
        <f t="shared" ref="DD69" si="1030">DC69</f>
        <v>60</v>
      </c>
      <c r="DE69" s="1">
        <f t="shared" ref="DE69" si="1031">DD69</f>
        <v>60</v>
      </c>
      <c r="DF69" s="1">
        <f t="shared" ref="DF69" si="1032">DE69</f>
        <v>60</v>
      </c>
      <c r="DG69" s="1">
        <f t="shared" ref="DG69" si="1033">DF69</f>
        <v>60</v>
      </c>
      <c r="DH69" s="1">
        <f t="shared" ref="DH69" si="1034">DG69</f>
        <v>60</v>
      </c>
      <c r="DI69" s="1">
        <f t="shared" ref="DI69" si="1035">DH69</f>
        <v>60</v>
      </c>
      <c r="DJ69" s="1">
        <f t="shared" ref="DJ69" si="1036">DI69</f>
        <v>60</v>
      </c>
      <c r="DK69" s="1">
        <f t="shared" ref="DK69" si="1037">DJ69</f>
        <v>60</v>
      </c>
      <c r="DL69" s="1">
        <f t="shared" ref="DL69" si="1038">DK69</f>
        <v>60</v>
      </c>
      <c r="DM69" s="1">
        <f t="shared" ref="DM69" si="1039">DL69</f>
        <v>60</v>
      </c>
      <c r="DN69" s="1">
        <f t="shared" ref="DN69" si="1040">DM69</f>
        <v>60</v>
      </c>
      <c r="DO69" s="1">
        <f t="shared" ref="DO69" si="1041">DN69</f>
        <v>60</v>
      </c>
      <c r="DP69" s="1">
        <f t="shared" ref="DP69" si="1042">DO69</f>
        <v>60</v>
      </c>
      <c r="DQ69" s="1">
        <f t="shared" ref="DQ69" si="1043">DP69</f>
        <v>60</v>
      </c>
      <c r="DR69" s="1">
        <f t="shared" ref="DR69" si="1044">DQ69</f>
        <v>60</v>
      </c>
      <c r="DS69" s="1">
        <f t="shared" ref="DS69" si="1045">DR69</f>
        <v>60</v>
      </c>
      <c r="DT69" s="53">
        <f t="shared" ref="DT69" si="1046">DS69</f>
        <v>60</v>
      </c>
    </row>
    <row r="70" spans="2:124" x14ac:dyDescent="0.25">
      <c r="B70" s="3" t="s">
        <v>13</v>
      </c>
      <c r="D70" s="100">
        <v>0</v>
      </c>
      <c r="E70" s="13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53">
        <v>0</v>
      </c>
      <c r="AC70" s="13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53">
        <v>0</v>
      </c>
      <c r="BA70" s="13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53">
        <v>0</v>
      </c>
      <c r="BY70" s="13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53">
        <v>0</v>
      </c>
      <c r="CW70" s="13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53">
        <v>0</v>
      </c>
    </row>
    <row r="71" spans="2:124" x14ac:dyDescent="0.25">
      <c r="B71" s="3" t="s">
        <v>14</v>
      </c>
      <c r="D71" s="100">
        <v>1</v>
      </c>
      <c r="E71" s="29">
        <v>1.06</v>
      </c>
      <c r="F71" s="30">
        <v>1.06</v>
      </c>
      <c r="G71" s="30">
        <v>1.06</v>
      </c>
      <c r="H71" s="30">
        <v>1.06</v>
      </c>
      <c r="I71" s="30">
        <v>1.06</v>
      </c>
      <c r="J71" s="30">
        <v>1.06</v>
      </c>
      <c r="K71" s="30">
        <v>1.06</v>
      </c>
      <c r="L71" s="30">
        <v>1.06</v>
      </c>
      <c r="M71" s="30">
        <v>1.06</v>
      </c>
      <c r="N71" s="30">
        <v>1.06</v>
      </c>
      <c r="O71" s="30">
        <v>1.06</v>
      </c>
      <c r="P71" s="30">
        <v>1.06</v>
      </c>
      <c r="Q71" s="30">
        <v>1.06</v>
      </c>
      <c r="R71" s="30">
        <v>1.06</v>
      </c>
      <c r="S71" s="30">
        <v>1.06</v>
      </c>
      <c r="T71" s="30">
        <v>1.06</v>
      </c>
      <c r="U71" s="30">
        <v>1.06</v>
      </c>
      <c r="V71" s="30">
        <v>1.06</v>
      </c>
      <c r="W71" s="30">
        <v>1.06</v>
      </c>
      <c r="X71" s="30">
        <v>1.06</v>
      </c>
      <c r="Y71" s="30">
        <v>1.06</v>
      </c>
      <c r="Z71" s="30">
        <v>1.06</v>
      </c>
      <c r="AA71" s="30">
        <v>1.06</v>
      </c>
      <c r="AB71" s="60">
        <v>1.06</v>
      </c>
      <c r="AC71" s="29">
        <v>1.06</v>
      </c>
      <c r="AD71" s="30">
        <v>1.06</v>
      </c>
      <c r="AE71" s="30">
        <v>1.06</v>
      </c>
      <c r="AF71" s="30">
        <v>1.06</v>
      </c>
      <c r="AG71" s="30">
        <v>1.06</v>
      </c>
      <c r="AH71" s="30">
        <v>1.06</v>
      </c>
      <c r="AI71" s="30">
        <v>1.06</v>
      </c>
      <c r="AJ71" s="30">
        <v>1.06</v>
      </c>
      <c r="AK71" s="30">
        <v>1.06</v>
      </c>
      <c r="AL71" s="30">
        <v>1.06</v>
      </c>
      <c r="AM71" s="30">
        <v>1.06</v>
      </c>
      <c r="AN71" s="30">
        <v>1.06</v>
      </c>
      <c r="AO71" s="30">
        <v>1.06</v>
      </c>
      <c r="AP71" s="30">
        <v>1.06</v>
      </c>
      <c r="AQ71" s="30">
        <v>1.06</v>
      </c>
      <c r="AR71" s="30">
        <v>1.06</v>
      </c>
      <c r="AS71" s="30">
        <v>1.06</v>
      </c>
      <c r="AT71" s="30">
        <v>1.06</v>
      </c>
      <c r="AU71" s="30">
        <v>1.06</v>
      </c>
      <c r="AV71" s="30">
        <v>1.06</v>
      </c>
      <c r="AW71" s="30">
        <v>1.06</v>
      </c>
      <c r="AX71" s="30">
        <v>1.06</v>
      </c>
      <c r="AY71" s="30">
        <v>1.06</v>
      </c>
      <c r="AZ71" s="60">
        <v>1.06</v>
      </c>
      <c r="BA71" s="29">
        <v>1.06</v>
      </c>
      <c r="BB71" s="30">
        <v>1.06</v>
      </c>
      <c r="BC71" s="30">
        <v>1.06</v>
      </c>
      <c r="BD71" s="30">
        <v>1.06</v>
      </c>
      <c r="BE71" s="30">
        <v>1.06</v>
      </c>
      <c r="BF71" s="30">
        <v>1.06</v>
      </c>
      <c r="BG71" s="30">
        <v>1.06</v>
      </c>
      <c r="BH71" s="30">
        <v>1.06</v>
      </c>
      <c r="BI71" s="30">
        <v>1.06</v>
      </c>
      <c r="BJ71" s="30">
        <v>1.06</v>
      </c>
      <c r="BK71" s="30">
        <v>1.06</v>
      </c>
      <c r="BL71" s="30">
        <v>1.06</v>
      </c>
      <c r="BM71" s="30">
        <v>1.06</v>
      </c>
      <c r="BN71" s="30">
        <v>1.06</v>
      </c>
      <c r="BO71" s="30">
        <v>1.06</v>
      </c>
      <c r="BP71" s="30">
        <v>1.06</v>
      </c>
      <c r="BQ71" s="30">
        <v>1.06</v>
      </c>
      <c r="BR71" s="30">
        <v>1.06</v>
      </c>
      <c r="BS71" s="30">
        <v>1.06</v>
      </c>
      <c r="BT71" s="30">
        <v>1.06</v>
      </c>
      <c r="BU71" s="30">
        <v>1.06</v>
      </c>
      <c r="BV71" s="30">
        <v>1.06</v>
      </c>
      <c r="BW71" s="30">
        <v>1.06</v>
      </c>
      <c r="BX71" s="60">
        <v>1.06</v>
      </c>
      <c r="BY71" s="29">
        <v>1.06</v>
      </c>
      <c r="BZ71" s="30">
        <v>1.06</v>
      </c>
      <c r="CA71" s="30">
        <v>1.06</v>
      </c>
      <c r="CB71" s="30">
        <v>1.06</v>
      </c>
      <c r="CC71" s="30">
        <v>1.06</v>
      </c>
      <c r="CD71" s="30">
        <v>1.06</v>
      </c>
      <c r="CE71" s="30">
        <v>1.06</v>
      </c>
      <c r="CF71" s="30">
        <v>1.06</v>
      </c>
      <c r="CG71" s="30">
        <v>1.06</v>
      </c>
      <c r="CH71" s="30">
        <v>1.06</v>
      </c>
      <c r="CI71" s="30">
        <v>1.06</v>
      </c>
      <c r="CJ71" s="30">
        <v>1.06</v>
      </c>
      <c r="CK71" s="30">
        <v>1.06</v>
      </c>
      <c r="CL71" s="30">
        <v>1.06</v>
      </c>
      <c r="CM71" s="30">
        <v>1.06</v>
      </c>
      <c r="CN71" s="30">
        <v>1.06</v>
      </c>
      <c r="CO71" s="30">
        <v>1.06</v>
      </c>
      <c r="CP71" s="30">
        <v>1.06</v>
      </c>
      <c r="CQ71" s="30">
        <v>1.06</v>
      </c>
      <c r="CR71" s="30">
        <v>1.06</v>
      </c>
      <c r="CS71" s="30">
        <v>1.06</v>
      </c>
      <c r="CT71" s="30">
        <v>1.06</v>
      </c>
      <c r="CU71" s="30">
        <v>1.06</v>
      </c>
      <c r="CV71" s="60">
        <v>1.06</v>
      </c>
      <c r="CW71" s="29">
        <v>1.06</v>
      </c>
      <c r="CX71" s="30">
        <v>1.06</v>
      </c>
      <c r="CY71" s="30">
        <v>1.06</v>
      </c>
      <c r="CZ71" s="30">
        <v>1.06</v>
      </c>
      <c r="DA71" s="30">
        <v>1.06</v>
      </c>
      <c r="DB71" s="30">
        <v>1.06</v>
      </c>
      <c r="DC71" s="30">
        <v>1.06</v>
      </c>
      <c r="DD71" s="30">
        <v>1.06</v>
      </c>
      <c r="DE71" s="30">
        <v>1.06</v>
      </c>
      <c r="DF71" s="30">
        <v>1.06</v>
      </c>
      <c r="DG71" s="30">
        <v>1.06</v>
      </c>
      <c r="DH71" s="30">
        <v>1.06</v>
      </c>
      <c r="DI71" s="30">
        <v>1.06</v>
      </c>
      <c r="DJ71" s="30">
        <v>1.06</v>
      </c>
      <c r="DK71" s="30">
        <v>1.06</v>
      </c>
      <c r="DL71" s="30">
        <v>1.06</v>
      </c>
      <c r="DM71" s="30">
        <v>1.06</v>
      </c>
      <c r="DN71" s="30">
        <v>1.06</v>
      </c>
      <c r="DO71" s="30">
        <v>1.06</v>
      </c>
      <c r="DP71" s="30">
        <v>1.06</v>
      </c>
      <c r="DQ71" s="30">
        <v>1.06</v>
      </c>
      <c r="DR71" s="30">
        <v>1.06</v>
      </c>
      <c r="DS71" s="30">
        <v>1.06</v>
      </c>
      <c r="DT71" s="60">
        <v>1.06</v>
      </c>
    </row>
    <row r="72" spans="2:124" x14ac:dyDescent="0.25">
      <c r="B72" s="94" t="s">
        <v>47</v>
      </c>
      <c r="D72" s="102">
        <v>55</v>
      </c>
      <c r="E72" s="24">
        <f t="shared" ref="E72:J72" si="1047">D72-D73+(E70+(E69*E71)+IF(E92="BAB",E69,0))</f>
        <v>118.6</v>
      </c>
      <c r="F72" s="24">
        <f>E72-E73+(F70+(F69*F71)+IF(F92="BAB",F69,0))</f>
        <v>182.2</v>
      </c>
      <c r="G72" s="24">
        <f t="shared" si="1047"/>
        <v>245.79999999999998</v>
      </c>
      <c r="H72" s="24">
        <f t="shared" si="1047"/>
        <v>309.39999999999998</v>
      </c>
      <c r="I72" s="24">
        <f t="shared" si="1047"/>
        <v>373</v>
      </c>
      <c r="J72" s="24">
        <f t="shared" si="1047"/>
        <v>118.6</v>
      </c>
      <c r="K72" s="24">
        <f>J72-J73+(K70+(K69*K71)+IF(K92="BAB",K69,0))</f>
        <v>182.2</v>
      </c>
      <c r="L72" s="24">
        <f t="shared" ref="L72:BW72" si="1048">K72-K73+(L70+(L69*L71)+IF(L92="BAB",L69,0))</f>
        <v>245.79999999999998</v>
      </c>
      <c r="M72" s="24">
        <f t="shared" si="1048"/>
        <v>309.39999999999998</v>
      </c>
      <c r="N72" s="24">
        <f t="shared" si="1048"/>
        <v>118.6</v>
      </c>
      <c r="O72" s="24">
        <f t="shared" si="1048"/>
        <v>182.2</v>
      </c>
      <c r="P72" s="24">
        <f t="shared" si="1048"/>
        <v>245.79999999999998</v>
      </c>
      <c r="Q72" s="24">
        <f t="shared" si="1048"/>
        <v>309.39999999999998</v>
      </c>
      <c r="R72" s="24">
        <f t="shared" si="1048"/>
        <v>118.6</v>
      </c>
      <c r="S72" s="24">
        <f t="shared" si="1048"/>
        <v>182.2</v>
      </c>
      <c r="T72" s="24">
        <f t="shared" si="1048"/>
        <v>245.79999999999998</v>
      </c>
      <c r="U72" s="24">
        <f t="shared" si="1048"/>
        <v>309.39999999999998</v>
      </c>
      <c r="V72" s="24">
        <f t="shared" si="1048"/>
        <v>118.6</v>
      </c>
      <c r="W72" s="24">
        <f t="shared" si="1048"/>
        <v>182.2</v>
      </c>
      <c r="X72" s="24">
        <f t="shared" si="1048"/>
        <v>245.79999999999998</v>
      </c>
      <c r="Y72" s="24">
        <f t="shared" si="1048"/>
        <v>309.39999999999998</v>
      </c>
      <c r="Z72" s="24">
        <f t="shared" si="1048"/>
        <v>118.6</v>
      </c>
      <c r="AA72" s="24">
        <f t="shared" si="1048"/>
        <v>182.2</v>
      </c>
      <c r="AB72" s="55">
        <f t="shared" si="1048"/>
        <v>245.79999999999998</v>
      </c>
      <c r="AC72" s="18">
        <f t="shared" si="1048"/>
        <v>309.39999999999998</v>
      </c>
      <c r="AD72" s="24">
        <f t="shared" si="1048"/>
        <v>373</v>
      </c>
      <c r="AE72" s="24">
        <f t="shared" si="1048"/>
        <v>436.6</v>
      </c>
      <c r="AF72" s="24">
        <f t="shared" si="1048"/>
        <v>500.20000000000005</v>
      </c>
      <c r="AG72" s="24">
        <f t="shared" si="1048"/>
        <v>563.80000000000007</v>
      </c>
      <c r="AH72" s="24">
        <f t="shared" si="1048"/>
        <v>178.6</v>
      </c>
      <c r="AI72" s="24">
        <f t="shared" si="1048"/>
        <v>242.2</v>
      </c>
      <c r="AJ72" s="24">
        <f t="shared" si="1048"/>
        <v>305.8</v>
      </c>
      <c r="AK72" s="24">
        <f t="shared" si="1048"/>
        <v>118.6</v>
      </c>
      <c r="AL72" s="24">
        <f t="shared" si="1048"/>
        <v>182.2</v>
      </c>
      <c r="AM72" s="24">
        <f t="shared" si="1048"/>
        <v>245.79999999999998</v>
      </c>
      <c r="AN72" s="24">
        <f t="shared" si="1048"/>
        <v>309.39999999999998</v>
      </c>
      <c r="AO72" s="24">
        <f t="shared" si="1048"/>
        <v>118.6</v>
      </c>
      <c r="AP72" s="24">
        <f t="shared" si="1048"/>
        <v>182.2</v>
      </c>
      <c r="AQ72" s="24">
        <f t="shared" si="1048"/>
        <v>245.79999999999998</v>
      </c>
      <c r="AR72" s="24">
        <f t="shared" si="1048"/>
        <v>309.39999999999998</v>
      </c>
      <c r="AS72" s="24">
        <f t="shared" si="1048"/>
        <v>118.6</v>
      </c>
      <c r="AT72" s="24">
        <f t="shared" si="1048"/>
        <v>182.2</v>
      </c>
      <c r="AU72" s="24">
        <f t="shared" si="1048"/>
        <v>245.79999999999998</v>
      </c>
      <c r="AV72" s="24">
        <f t="shared" si="1048"/>
        <v>309.39999999999998</v>
      </c>
      <c r="AW72" s="24">
        <f t="shared" si="1048"/>
        <v>118.6</v>
      </c>
      <c r="AX72" s="24">
        <f t="shared" si="1048"/>
        <v>182.2</v>
      </c>
      <c r="AY72" s="24">
        <f t="shared" si="1048"/>
        <v>245.79999999999998</v>
      </c>
      <c r="AZ72" s="55">
        <f t="shared" si="1048"/>
        <v>309.39999999999998</v>
      </c>
      <c r="BA72" s="18">
        <f t="shared" si="1048"/>
        <v>373</v>
      </c>
      <c r="BB72" s="24">
        <f t="shared" si="1048"/>
        <v>436.6</v>
      </c>
      <c r="BC72" s="24">
        <f t="shared" si="1048"/>
        <v>500.20000000000005</v>
      </c>
      <c r="BD72" s="24">
        <f t="shared" si="1048"/>
        <v>563.80000000000007</v>
      </c>
      <c r="BE72" s="24">
        <f t="shared" si="1048"/>
        <v>627.40000000000009</v>
      </c>
      <c r="BF72" s="24">
        <f t="shared" si="1048"/>
        <v>178.6</v>
      </c>
      <c r="BG72" s="24">
        <f t="shared" si="1048"/>
        <v>242.2</v>
      </c>
      <c r="BH72" s="24">
        <f t="shared" si="1048"/>
        <v>305.8</v>
      </c>
      <c r="BI72" s="24">
        <f t="shared" si="1048"/>
        <v>118.6</v>
      </c>
      <c r="BJ72" s="24">
        <f t="shared" si="1048"/>
        <v>182.2</v>
      </c>
      <c r="BK72" s="24">
        <f t="shared" si="1048"/>
        <v>245.79999999999998</v>
      </c>
      <c r="BL72" s="24">
        <f t="shared" si="1048"/>
        <v>309.39999999999998</v>
      </c>
      <c r="BM72" s="24">
        <f t="shared" si="1048"/>
        <v>118.6</v>
      </c>
      <c r="BN72" s="24">
        <f t="shared" si="1048"/>
        <v>182.2</v>
      </c>
      <c r="BO72" s="24">
        <f t="shared" si="1048"/>
        <v>245.79999999999998</v>
      </c>
      <c r="BP72" s="24">
        <f t="shared" si="1048"/>
        <v>309.39999999999998</v>
      </c>
      <c r="BQ72" s="24">
        <f t="shared" si="1048"/>
        <v>118.6</v>
      </c>
      <c r="BR72" s="24">
        <f t="shared" si="1048"/>
        <v>182.2</v>
      </c>
      <c r="BS72" s="24">
        <f t="shared" si="1048"/>
        <v>245.79999999999998</v>
      </c>
      <c r="BT72" s="24">
        <f t="shared" si="1048"/>
        <v>309.39999999999998</v>
      </c>
      <c r="BU72" s="24">
        <f t="shared" si="1048"/>
        <v>118.6</v>
      </c>
      <c r="BV72" s="24">
        <f t="shared" si="1048"/>
        <v>182.2</v>
      </c>
      <c r="BW72" s="24">
        <f t="shared" si="1048"/>
        <v>245.79999999999998</v>
      </c>
      <c r="BX72" s="55">
        <f t="shared" ref="BX72:DT72" si="1049">BW72-BW73+(BX70+(BX69*BX71)+IF(BX92="BAB",BX69,0))</f>
        <v>309.39999999999998</v>
      </c>
      <c r="BY72" s="18">
        <f t="shared" si="1049"/>
        <v>373</v>
      </c>
      <c r="BZ72" s="24">
        <f t="shared" si="1049"/>
        <v>436.6</v>
      </c>
      <c r="CA72" s="24">
        <f t="shared" si="1049"/>
        <v>500.20000000000005</v>
      </c>
      <c r="CB72" s="24">
        <f t="shared" si="1049"/>
        <v>563.80000000000007</v>
      </c>
      <c r="CC72" s="24">
        <f t="shared" si="1049"/>
        <v>627.40000000000009</v>
      </c>
      <c r="CD72" s="24">
        <f t="shared" si="1049"/>
        <v>178.6</v>
      </c>
      <c r="CE72" s="24">
        <f t="shared" si="1049"/>
        <v>242.2</v>
      </c>
      <c r="CF72" s="24">
        <f t="shared" si="1049"/>
        <v>305.8</v>
      </c>
      <c r="CG72" s="24">
        <f t="shared" si="1049"/>
        <v>118.6</v>
      </c>
      <c r="CH72" s="24">
        <f t="shared" si="1049"/>
        <v>182.2</v>
      </c>
      <c r="CI72" s="24">
        <f t="shared" si="1049"/>
        <v>245.79999999999998</v>
      </c>
      <c r="CJ72" s="24">
        <f t="shared" si="1049"/>
        <v>309.39999999999998</v>
      </c>
      <c r="CK72" s="24">
        <f t="shared" si="1049"/>
        <v>118.6</v>
      </c>
      <c r="CL72" s="24">
        <f t="shared" si="1049"/>
        <v>182.2</v>
      </c>
      <c r="CM72" s="24">
        <f t="shared" si="1049"/>
        <v>245.79999999999998</v>
      </c>
      <c r="CN72" s="24">
        <f t="shared" si="1049"/>
        <v>309.39999999999998</v>
      </c>
      <c r="CO72" s="24">
        <f t="shared" si="1049"/>
        <v>118.6</v>
      </c>
      <c r="CP72" s="24">
        <f t="shared" si="1049"/>
        <v>182.2</v>
      </c>
      <c r="CQ72" s="24">
        <f t="shared" si="1049"/>
        <v>245.79999999999998</v>
      </c>
      <c r="CR72" s="24">
        <f t="shared" si="1049"/>
        <v>309.39999999999998</v>
      </c>
      <c r="CS72" s="24">
        <f t="shared" si="1049"/>
        <v>118.6</v>
      </c>
      <c r="CT72" s="24">
        <f t="shared" si="1049"/>
        <v>182.2</v>
      </c>
      <c r="CU72" s="24">
        <f t="shared" si="1049"/>
        <v>245.79999999999998</v>
      </c>
      <c r="CV72" s="55">
        <f t="shared" si="1049"/>
        <v>309.39999999999998</v>
      </c>
      <c r="CW72" s="18">
        <f t="shared" si="1049"/>
        <v>373</v>
      </c>
      <c r="CX72" s="24">
        <f t="shared" si="1049"/>
        <v>436.6</v>
      </c>
      <c r="CY72" s="24">
        <f t="shared" si="1049"/>
        <v>500.20000000000005</v>
      </c>
      <c r="CZ72" s="24">
        <f t="shared" si="1049"/>
        <v>563.80000000000007</v>
      </c>
      <c r="DA72" s="24">
        <f t="shared" si="1049"/>
        <v>627.40000000000009</v>
      </c>
      <c r="DB72" s="24">
        <f t="shared" si="1049"/>
        <v>178.6</v>
      </c>
      <c r="DC72" s="24">
        <f t="shared" si="1049"/>
        <v>242.2</v>
      </c>
      <c r="DD72" s="24">
        <f t="shared" si="1049"/>
        <v>305.8</v>
      </c>
      <c r="DE72" s="24">
        <f t="shared" si="1049"/>
        <v>118.6</v>
      </c>
      <c r="DF72" s="24">
        <f t="shared" si="1049"/>
        <v>182.2</v>
      </c>
      <c r="DG72" s="24">
        <f t="shared" si="1049"/>
        <v>245.79999999999998</v>
      </c>
      <c r="DH72" s="24">
        <f t="shared" si="1049"/>
        <v>309.39999999999998</v>
      </c>
      <c r="DI72" s="24">
        <f t="shared" si="1049"/>
        <v>118.6</v>
      </c>
      <c r="DJ72" s="24">
        <f t="shared" si="1049"/>
        <v>182.2</v>
      </c>
      <c r="DK72" s="24">
        <f t="shared" si="1049"/>
        <v>245.79999999999998</v>
      </c>
      <c r="DL72" s="24">
        <f t="shared" si="1049"/>
        <v>309.39999999999998</v>
      </c>
      <c r="DM72" s="24">
        <f t="shared" si="1049"/>
        <v>118.6</v>
      </c>
      <c r="DN72" s="24">
        <f t="shared" si="1049"/>
        <v>182.2</v>
      </c>
      <c r="DO72" s="24">
        <f t="shared" si="1049"/>
        <v>245.79999999999998</v>
      </c>
      <c r="DP72" s="24">
        <f t="shared" si="1049"/>
        <v>309.39999999999998</v>
      </c>
      <c r="DQ72" s="24">
        <f t="shared" si="1049"/>
        <v>118.6</v>
      </c>
      <c r="DR72" s="24">
        <f t="shared" si="1049"/>
        <v>182.2</v>
      </c>
      <c r="DS72" s="24">
        <f t="shared" si="1049"/>
        <v>245.79999999999998</v>
      </c>
      <c r="DT72" s="55">
        <f t="shared" si="1049"/>
        <v>309.39999999999998</v>
      </c>
    </row>
    <row r="73" spans="2:124" x14ac:dyDescent="0.25">
      <c r="B73" s="94" t="s">
        <v>48</v>
      </c>
      <c r="D73" s="100">
        <f t="shared" ref="D73:AI73" si="1050">IF(C41="B",IF(D72&gt;=275,D72-D74,0),0)</f>
        <v>0</v>
      </c>
      <c r="E73" s="30">
        <f t="shared" si="1050"/>
        <v>0</v>
      </c>
      <c r="F73" s="30">
        <f t="shared" si="1050"/>
        <v>0</v>
      </c>
      <c r="G73" s="30">
        <f t="shared" si="1050"/>
        <v>0</v>
      </c>
      <c r="H73" s="30">
        <f t="shared" si="1050"/>
        <v>0</v>
      </c>
      <c r="I73" s="30">
        <f t="shared" si="1050"/>
        <v>318</v>
      </c>
      <c r="J73" s="30">
        <f t="shared" si="1050"/>
        <v>0</v>
      </c>
      <c r="K73" s="24">
        <f t="shared" si="1050"/>
        <v>0</v>
      </c>
      <c r="L73" s="24">
        <f t="shared" si="1050"/>
        <v>0</v>
      </c>
      <c r="M73" s="24">
        <f t="shared" si="1050"/>
        <v>254.39999999999998</v>
      </c>
      <c r="N73" s="24">
        <f t="shared" si="1050"/>
        <v>0</v>
      </c>
      <c r="O73" s="24">
        <f t="shared" si="1050"/>
        <v>0</v>
      </c>
      <c r="P73" s="24">
        <f t="shared" si="1050"/>
        <v>0</v>
      </c>
      <c r="Q73" s="24">
        <f t="shared" si="1050"/>
        <v>254.39999999999998</v>
      </c>
      <c r="R73" s="24">
        <f t="shared" si="1050"/>
        <v>0</v>
      </c>
      <c r="S73" s="24">
        <f t="shared" si="1050"/>
        <v>0</v>
      </c>
      <c r="T73" s="24">
        <f t="shared" si="1050"/>
        <v>0</v>
      </c>
      <c r="U73" s="24">
        <f t="shared" si="1050"/>
        <v>254.39999999999998</v>
      </c>
      <c r="V73" s="24">
        <f t="shared" si="1050"/>
        <v>0</v>
      </c>
      <c r="W73" s="24">
        <f t="shared" si="1050"/>
        <v>0</v>
      </c>
      <c r="X73" s="24">
        <f t="shared" si="1050"/>
        <v>0</v>
      </c>
      <c r="Y73" s="24">
        <f t="shared" si="1050"/>
        <v>254.39999999999998</v>
      </c>
      <c r="Z73" s="24">
        <f t="shared" si="1050"/>
        <v>0</v>
      </c>
      <c r="AA73" s="24">
        <f t="shared" si="1050"/>
        <v>0</v>
      </c>
      <c r="AB73" s="55">
        <f t="shared" si="1050"/>
        <v>0</v>
      </c>
      <c r="AC73" s="18">
        <f t="shared" si="1050"/>
        <v>0</v>
      </c>
      <c r="AD73" s="24">
        <f t="shared" si="1050"/>
        <v>0</v>
      </c>
      <c r="AE73" s="24">
        <f t="shared" si="1050"/>
        <v>0</v>
      </c>
      <c r="AF73" s="24">
        <f t="shared" si="1050"/>
        <v>0</v>
      </c>
      <c r="AG73" s="24">
        <f t="shared" si="1050"/>
        <v>508.80000000000007</v>
      </c>
      <c r="AH73" s="24">
        <f t="shared" si="1050"/>
        <v>0</v>
      </c>
      <c r="AI73" s="24">
        <f t="shared" si="1050"/>
        <v>0</v>
      </c>
      <c r="AJ73" s="24">
        <f t="shared" ref="AJ73:BO73" si="1051">IF(AI41="B",IF(AJ72&gt;=275,AJ72-AJ74,0),0)</f>
        <v>250.8</v>
      </c>
      <c r="AK73" s="24">
        <f t="shared" si="1051"/>
        <v>0</v>
      </c>
      <c r="AL73" s="24">
        <f t="shared" si="1051"/>
        <v>0</v>
      </c>
      <c r="AM73" s="24">
        <f t="shared" si="1051"/>
        <v>0</v>
      </c>
      <c r="AN73" s="24">
        <f t="shared" si="1051"/>
        <v>254.39999999999998</v>
      </c>
      <c r="AO73" s="24">
        <f t="shared" si="1051"/>
        <v>0</v>
      </c>
      <c r="AP73" s="24">
        <f t="shared" si="1051"/>
        <v>0</v>
      </c>
      <c r="AQ73" s="24">
        <f t="shared" si="1051"/>
        <v>0</v>
      </c>
      <c r="AR73" s="24">
        <f t="shared" si="1051"/>
        <v>254.39999999999998</v>
      </c>
      <c r="AS73" s="24">
        <f t="shared" si="1051"/>
        <v>0</v>
      </c>
      <c r="AT73" s="24">
        <f t="shared" si="1051"/>
        <v>0</v>
      </c>
      <c r="AU73" s="24">
        <f t="shared" si="1051"/>
        <v>0</v>
      </c>
      <c r="AV73" s="24">
        <f t="shared" si="1051"/>
        <v>254.39999999999998</v>
      </c>
      <c r="AW73" s="24">
        <f t="shared" si="1051"/>
        <v>0</v>
      </c>
      <c r="AX73" s="24">
        <f t="shared" si="1051"/>
        <v>0</v>
      </c>
      <c r="AY73" s="24">
        <f t="shared" si="1051"/>
        <v>0</v>
      </c>
      <c r="AZ73" s="55">
        <f t="shared" si="1051"/>
        <v>0</v>
      </c>
      <c r="BA73" s="18">
        <f t="shared" si="1051"/>
        <v>0</v>
      </c>
      <c r="BB73" s="24">
        <f t="shared" si="1051"/>
        <v>0</v>
      </c>
      <c r="BC73" s="24">
        <f t="shared" si="1051"/>
        <v>0</v>
      </c>
      <c r="BD73" s="24">
        <f t="shared" si="1051"/>
        <v>0</v>
      </c>
      <c r="BE73" s="24">
        <f t="shared" si="1051"/>
        <v>572.40000000000009</v>
      </c>
      <c r="BF73" s="24">
        <f t="shared" si="1051"/>
        <v>0</v>
      </c>
      <c r="BG73" s="24">
        <f t="shared" si="1051"/>
        <v>0</v>
      </c>
      <c r="BH73" s="24">
        <f t="shared" si="1051"/>
        <v>250.8</v>
      </c>
      <c r="BI73" s="24">
        <f t="shared" si="1051"/>
        <v>0</v>
      </c>
      <c r="BJ73" s="24">
        <f t="shared" si="1051"/>
        <v>0</v>
      </c>
      <c r="BK73" s="24">
        <f t="shared" si="1051"/>
        <v>0</v>
      </c>
      <c r="BL73" s="24">
        <f t="shared" si="1051"/>
        <v>254.39999999999998</v>
      </c>
      <c r="BM73" s="24">
        <f t="shared" si="1051"/>
        <v>0</v>
      </c>
      <c r="BN73" s="24">
        <f t="shared" si="1051"/>
        <v>0</v>
      </c>
      <c r="BO73" s="24">
        <f t="shared" si="1051"/>
        <v>0</v>
      </c>
      <c r="BP73" s="24">
        <f t="shared" ref="BP73:CU73" si="1052">IF(BO41="B",IF(BP72&gt;=275,BP72-BP74,0),0)</f>
        <v>254.39999999999998</v>
      </c>
      <c r="BQ73" s="24">
        <f t="shared" si="1052"/>
        <v>0</v>
      </c>
      <c r="BR73" s="24">
        <f t="shared" si="1052"/>
        <v>0</v>
      </c>
      <c r="BS73" s="24">
        <f t="shared" si="1052"/>
        <v>0</v>
      </c>
      <c r="BT73" s="24">
        <f t="shared" si="1052"/>
        <v>254.39999999999998</v>
      </c>
      <c r="BU73" s="24">
        <f t="shared" si="1052"/>
        <v>0</v>
      </c>
      <c r="BV73" s="24">
        <f t="shared" si="1052"/>
        <v>0</v>
      </c>
      <c r="BW73" s="24">
        <f t="shared" si="1052"/>
        <v>0</v>
      </c>
      <c r="BX73" s="55">
        <f t="shared" si="1052"/>
        <v>0</v>
      </c>
      <c r="BY73" s="18">
        <f t="shared" si="1052"/>
        <v>0</v>
      </c>
      <c r="BZ73" s="24">
        <f t="shared" si="1052"/>
        <v>0</v>
      </c>
      <c r="CA73" s="24">
        <f t="shared" si="1052"/>
        <v>0</v>
      </c>
      <c r="CB73" s="24">
        <f t="shared" si="1052"/>
        <v>0</v>
      </c>
      <c r="CC73" s="24">
        <f t="shared" si="1052"/>
        <v>572.40000000000009</v>
      </c>
      <c r="CD73" s="24">
        <f t="shared" si="1052"/>
        <v>0</v>
      </c>
      <c r="CE73" s="24">
        <f t="shared" si="1052"/>
        <v>0</v>
      </c>
      <c r="CF73" s="24">
        <f t="shared" si="1052"/>
        <v>250.8</v>
      </c>
      <c r="CG73" s="24">
        <f t="shared" si="1052"/>
        <v>0</v>
      </c>
      <c r="CH73" s="24">
        <f t="shared" si="1052"/>
        <v>0</v>
      </c>
      <c r="CI73" s="24">
        <f t="shared" si="1052"/>
        <v>0</v>
      </c>
      <c r="CJ73" s="24">
        <f t="shared" si="1052"/>
        <v>254.39999999999998</v>
      </c>
      <c r="CK73" s="24">
        <f t="shared" si="1052"/>
        <v>0</v>
      </c>
      <c r="CL73" s="24">
        <f t="shared" si="1052"/>
        <v>0</v>
      </c>
      <c r="CM73" s="24">
        <f t="shared" si="1052"/>
        <v>0</v>
      </c>
      <c r="CN73" s="24">
        <f t="shared" si="1052"/>
        <v>254.39999999999998</v>
      </c>
      <c r="CO73" s="24">
        <f t="shared" si="1052"/>
        <v>0</v>
      </c>
      <c r="CP73" s="24">
        <f t="shared" si="1052"/>
        <v>0</v>
      </c>
      <c r="CQ73" s="24">
        <f t="shared" si="1052"/>
        <v>0</v>
      </c>
      <c r="CR73" s="24">
        <f t="shared" si="1052"/>
        <v>254.39999999999998</v>
      </c>
      <c r="CS73" s="24">
        <f t="shared" si="1052"/>
        <v>0</v>
      </c>
      <c r="CT73" s="24">
        <f t="shared" si="1052"/>
        <v>0</v>
      </c>
      <c r="CU73" s="24">
        <f t="shared" si="1052"/>
        <v>0</v>
      </c>
      <c r="CV73" s="55">
        <f t="shared" ref="CV73:DT73" si="1053">IF(CU41="B",IF(CV72&gt;=275,CV72-CV74,0),0)</f>
        <v>0</v>
      </c>
      <c r="CW73" s="18">
        <f t="shared" si="1053"/>
        <v>0</v>
      </c>
      <c r="CX73" s="24">
        <f t="shared" si="1053"/>
        <v>0</v>
      </c>
      <c r="CY73" s="24">
        <f t="shared" si="1053"/>
        <v>0</v>
      </c>
      <c r="CZ73" s="24">
        <f t="shared" si="1053"/>
        <v>0</v>
      </c>
      <c r="DA73" s="24">
        <f t="shared" si="1053"/>
        <v>572.40000000000009</v>
      </c>
      <c r="DB73" s="24">
        <f t="shared" si="1053"/>
        <v>0</v>
      </c>
      <c r="DC73" s="24">
        <f t="shared" si="1053"/>
        <v>0</v>
      </c>
      <c r="DD73" s="24">
        <f t="shared" si="1053"/>
        <v>250.8</v>
      </c>
      <c r="DE73" s="24">
        <f t="shared" si="1053"/>
        <v>0</v>
      </c>
      <c r="DF73" s="24">
        <f t="shared" si="1053"/>
        <v>0</v>
      </c>
      <c r="DG73" s="24">
        <f t="shared" si="1053"/>
        <v>0</v>
      </c>
      <c r="DH73" s="24">
        <f t="shared" si="1053"/>
        <v>254.39999999999998</v>
      </c>
      <c r="DI73" s="24">
        <f t="shared" si="1053"/>
        <v>0</v>
      </c>
      <c r="DJ73" s="24">
        <f t="shared" si="1053"/>
        <v>0</v>
      </c>
      <c r="DK73" s="24">
        <f t="shared" si="1053"/>
        <v>0</v>
      </c>
      <c r="DL73" s="24">
        <f t="shared" si="1053"/>
        <v>254.39999999999998</v>
      </c>
      <c r="DM73" s="24">
        <f t="shared" si="1053"/>
        <v>0</v>
      </c>
      <c r="DN73" s="24">
        <f t="shared" si="1053"/>
        <v>0</v>
      </c>
      <c r="DO73" s="24">
        <f t="shared" si="1053"/>
        <v>0</v>
      </c>
      <c r="DP73" s="24">
        <f t="shared" si="1053"/>
        <v>254.39999999999998</v>
      </c>
      <c r="DQ73" s="24">
        <f t="shared" si="1053"/>
        <v>0</v>
      </c>
      <c r="DR73" s="24">
        <f t="shared" si="1053"/>
        <v>0</v>
      </c>
      <c r="DS73" s="24">
        <f t="shared" si="1053"/>
        <v>0</v>
      </c>
      <c r="DT73" s="55">
        <f t="shared" si="1053"/>
        <v>0</v>
      </c>
    </row>
    <row r="74" spans="2:124" x14ac:dyDescent="0.25">
      <c r="B74" s="94" t="s">
        <v>49</v>
      </c>
      <c r="D74" s="100">
        <v>55</v>
      </c>
      <c r="E74" s="24">
        <v>55</v>
      </c>
      <c r="F74" s="24">
        <v>55</v>
      </c>
      <c r="G74" s="24">
        <v>55</v>
      </c>
      <c r="H74" s="24">
        <v>55</v>
      </c>
      <c r="I74" s="24">
        <v>55</v>
      </c>
      <c r="J74" s="24">
        <v>55</v>
      </c>
      <c r="K74" s="24">
        <v>55</v>
      </c>
      <c r="L74" s="24">
        <v>55</v>
      </c>
      <c r="M74" s="24">
        <v>55</v>
      </c>
      <c r="N74" s="24">
        <v>55</v>
      </c>
      <c r="O74" s="24">
        <v>55</v>
      </c>
      <c r="P74" s="24">
        <v>55</v>
      </c>
      <c r="Q74" s="24">
        <v>55</v>
      </c>
      <c r="R74" s="24">
        <v>55</v>
      </c>
      <c r="S74" s="24">
        <v>55</v>
      </c>
      <c r="T74" s="24">
        <v>55</v>
      </c>
      <c r="U74" s="24">
        <v>55</v>
      </c>
      <c r="V74" s="24">
        <v>55</v>
      </c>
      <c r="W74" s="24">
        <v>55</v>
      </c>
      <c r="X74" s="24">
        <v>55</v>
      </c>
      <c r="Y74" s="24">
        <v>55</v>
      </c>
      <c r="Z74" s="24">
        <v>55</v>
      </c>
      <c r="AA74" s="24">
        <v>55</v>
      </c>
      <c r="AB74" s="55">
        <v>55</v>
      </c>
      <c r="AC74" s="18">
        <v>55</v>
      </c>
      <c r="AD74" s="24">
        <v>55</v>
      </c>
      <c r="AE74" s="24">
        <v>55</v>
      </c>
      <c r="AF74" s="24">
        <v>55</v>
      </c>
      <c r="AG74" s="24">
        <v>55</v>
      </c>
      <c r="AH74" s="24">
        <v>55</v>
      </c>
      <c r="AI74" s="24">
        <v>55</v>
      </c>
      <c r="AJ74" s="24">
        <v>55</v>
      </c>
      <c r="AK74" s="24">
        <v>55</v>
      </c>
      <c r="AL74" s="24">
        <v>55</v>
      </c>
      <c r="AM74" s="24">
        <v>55</v>
      </c>
      <c r="AN74" s="24">
        <v>55</v>
      </c>
      <c r="AO74" s="24">
        <v>55</v>
      </c>
      <c r="AP74" s="24">
        <v>55</v>
      </c>
      <c r="AQ74" s="24">
        <v>55</v>
      </c>
      <c r="AR74" s="24">
        <v>55</v>
      </c>
      <c r="AS74" s="24">
        <v>55</v>
      </c>
      <c r="AT74" s="24">
        <v>55</v>
      </c>
      <c r="AU74" s="24">
        <v>55</v>
      </c>
      <c r="AV74" s="24">
        <v>55</v>
      </c>
      <c r="AW74" s="24">
        <v>55</v>
      </c>
      <c r="AX74" s="24">
        <v>55</v>
      </c>
      <c r="AY74" s="24">
        <v>55</v>
      </c>
      <c r="AZ74" s="55">
        <v>55</v>
      </c>
      <c r="BA74" s="18">
        <v>55</v>
      </c>
      <c r="BB74" s="24">
        <v>55</v>
      </c>
      <c r="BC74" s="24">
        <v>55</v>
      </c>
      <c r="BD74" s="24">
        <v>55</v>
      </c>
      <c r="BE74" s="24">
        <v>55</v>
      </c>
      <c r="BF74" s="24">
        <v>55</v>
      </c>
      <c r="BG74" s="24">
        <v>55</v>
      </c>
      <c r="BH74" s="24">
        <v>55</v>
      </c>
      <c r="BI74" s="24">
        <v>55</v>
      </c>
      <c r="BJ74" s="24">
        <v>55</v>
      </c>
      <c r="BK74" s="24">
        <v>55</v>
      </c>
      <c r="BL74" s="24">
        <v>55</v>
      </c>
      <c r="BM74" s="24">
        <v>55</v>
      </c>
      <c r="BN74" s="24">
        <v>55</v>
      </c>
      <c r="BO74" s="24">
        <v>55</v>
      </c>
      <c r="BP74" s="24">
        <v>55</v>
      </c>
      <c r="BQ74" s="24">
        <v>55</v>
      </c>
      <c r="BR74" s="24">
        <v>55</v>
      </c>
      <c r="BS74" s="24">
        <v>55</v>
      </c>
      <c r="BT74" s="24">
        <v>55</v>
      </c>
      <c r="BU74" s="24">
        <v>55</v>
      </c>
      <c r="BV74" s="24">
        <v>55</v>
      </c>
      <c r="BW74" s="24">
        <v>55</v>
      </c>
      <c r="BX74" s="55">
        <v>55</v>
      </c>
      <c r="BY74" s="18">
        <v>55</v>
      </c>
      <c r="BZ74" s="24">
        <v>55</v>
      </c>
      <c r="CA74" s="24">
        <v>55</v>
      </c>
      <c r="CB74" s="24">
        <v>55</v>
      </c>
      <c r="CC74" s="24">
        <v>55</v>
      </c>
      <c r="CD74" s="24">
        <v>55</v>
      </c>
      <c r="CE74" s="24">
        <v>55</v>
      </c>
      <c r="CF74" s="24">
        <v>55</v>
      </c>
      <c r="CG74" s="24">
        <v>55</v>
      </c>
      <c r="CH74" s="24">
        <v>55</v>
      </c>
      <c r="CI74" s="24">
        <v>55</v>
      </c>
      <c r="CJ74" s="24">
        <v>55</v>
      </c>
      <c r="CK74" s="24">
        <v>55</v>
      </c>
      <c r="CL74" s="24">
        <v>55</v>
      </c>
      <c r="CM74" s="24">
        <v>55</v>
      </c>
      <c r="CN74" s="24">
        <v>55</v>
      </c>
      <c r="CO74" s="24">
        <v>55</v>
      </c>
      <c r="CP74" s="24">
        <v>55</v>
      </c>
      <c r="CQ74" s="24">
        <v>55</v>
      </c>
      <c r="CR74" s="24">
        <v>55</v>
      </c>
      <c r="CS74" s="24">
        <v>55</v>
      </c>
      <c r="CT74" s="24">
        <v>55</v>
      </c>
      <c r="CU74" s="24">
        <v>55</v>
      </c>
      <c r="CV74" s="55">
        <v>55</v>
      </c>
      <c r="CW74" s="18">
        <v>55</v>
      </c>
      <c r="CX74" s="24">
        <v>55</v>
      </c>
      <c r="CY74" s="24">
        <v>55</v>
      </c>
      <c r="CZ74" s="24">
        <v>55</v>
      </c>
      <c r="DA74" s="24">
        <v>55</v>
      </c>
      <c r="DB74" s="24">
        <v>55</v>
      </c>
      <c r="DC74" s="24">
        <v>55</v>
      </c>
      <c r="DD74" s="24">
        <v>55</v>
      </c>
      <c r="DE74" s="24">
        <v>55</v>
      </c>
      <c r="DF74" s="24">
        <v>55</v>
      </c>
      <c r="DG74" s="24">
        <v>55</v>
      </c>
      <c r="DH74" s="24">
        <v>55</v>
      </c>
      <c r="DI74" s="24">
        <v>55</v>
      </c>
      <c r="DJ74" s="24">
        <v>55</v>
      </c>
      <c r="DK74" s="24">
        <v>55</v>
      </c>
      <c r="DL74" s="24">
        <v>55</v>
      </c>
      <c r="DM74" s="24">
        <v>55</v>
      </c>
      <c r="DN74" s="24">
        <v>55</v>
      </c>
      <c r="DO74" s="24">
        <v>55</v>
      </c>
      <c r="DP74" s="24">
        <v>55</v>
      </c>
      <c r="DQ74" s="24">
        <v>55</v>
      </c>
      <c r="DR74" s="24">
        <v>55</v>
      </c>
      <c r="DS74" s="24">
        <v>55</v>
      </c>
      <c r="DT74" s="55">
        <v>55</v>
      </c>
    </row>
    <row r="75" spans="2:124" s="16" customFormat="1" ht="15.75" thickBot="1" x14ac:dyDescent="0.3">
      <c r="B75" s="20" t="s">
        <v>50</v>
      </c>
      <c r="C75" s="74"/>
      <c r="D75" s="101">
        <f>D72/275*10</f>
        <v>2</v>
      </c>
      <c r="E75" s="21">
        <f>E72/275*10</f>
        <v>4.3127272727272725</v>
      </c>
      <c r="F75" s="21">
        <f t="shared" ref="F75:BQ75" si="1054">F72/275*10</f>
        <v>6.625454545454545</v>
      </c>
      <c r="G75" s="21">
        <f t="shared" si="1054"/>
        <v>8.9381818181818176</v>
      </c>
      <c r="H75" s="21">
        <f t="shared" si="1054"/>
        <v>11.25090909090909</v>
      </c>
      <c r="I75" s="21">
        <f t="shared" si="1054"/>
        <v>13.563636363636364</v>
      </c>
      <c r="J75" s="21">
        <f t="shared" si="1054"/>
        <v>4.3127272727272725</v>
      </c>
      <c r="K75" s="21">
        <f t="shared" si="1054"/>
        <v>6.625454545454545</v>
      </c>
      <c r="L75" s="21">
        <f t="shared" si="1054"/>
        <v>8.9381818181818176</v>
      </c>
      <c r="M75" s="21">
        <f t="shared" si="1054"/>
        <v>11.25090909090909</v>
      </c>
      <c r="N75" s="21">
        <f t="shared" si="1054"/>
        <v>4.3127272727272725</v>
      </c>
      <c r="O75" s="21">
        <f t="shared" si="1054"/>
        <v>6.625454545454545</v>
      </c>
      <c r="P75" s="21">
        <f t="shared" si="1054"/>
        <v>8.9381818181818176</v>
      </c>
      <c r="Q75" s="21">
        <f t="shared" si="1054"/>
        <v>11.25090909090909</v>
      </c>
      <c r="R75" s="21">
        <f t="shared" si="1054"/>
        <v>4.3127272727272725</v>
      </c>
      <c r="S75" s="21">
        <f t="shared" si="1054"/>
        <v>6.625454545454545</v>
      </c>
      <c r="T75" s="21">
        <f t="shared" si="1054"/>
        <v>8.9381818181818176</v>
      </c>
      <c r="U75" s="21">
        <f t="shared" si="1054"/>
        <v>11.25090909090909</v>
      </c>
      <c r="V75" s="21">
        <f t="shared" si="1054"/>
        <v>4.3127272727272725</v>
      </c>
      <c r="W75" s="21">
        <f t="shared" si="1054"/>
        <v>6.625454545454545</v>
      </c>
      <c r="X75" s="21">
        <f t="shared" si="1054"/>
        <v>8.9381818181818176</v>
      </c>
      <c r="Y75" s="21">
        <f t="shared" si="1054"/>
        <v>11.25090909090909</v>
      </c>
      <c r="Z75" s="21">
        <f t="shared" si="1054"/>
        <v>4.3127272727272725</v>
      </c>
      <c r="AA75" s="21">
        <f t="shared" si="1054"/>
        <v>6.625454545454545</v>
      </c>
      <c r="AB75" s="56">
        <f t="shared" si="1054"/>
        <v>8.9381818181818176</v>
      </c>
      <c r="AC75" s="21">
        <f t="shared" si="1054"/>
        <v>11.25090909090909</v>
      </c>
      <c r="AD75" s="21">
        <f t="shared" si="1054"/>
        <v>13.563636363636364</v>
      </c>
      <c r="AE75" s="21">
        <f t="shared" si="1054"/>
        <v>15.876363636363637</v>
      </c>
      <c r="AF75" s="21">
        <f t="shared" si="1054"/>
        <v>18.189090909090911</v>
      </c>
      <c r="AG75" s="21">
        <f t="shared" si="1054"/>
        <v>20.501818181818187</v>
      </c>
      <c r="AH75" s="21">
        <f t="shared" si="1054"/>
        <v>6.4945454545454542</v>
      </c>
      <c r="AI75" s="21">
        <f t="shared" si="1054"/>
        <v>8.8072727272727267</v>
      </c>
      <c r="AJ75" s="21">
        <f t="shared" si="1054"/>
        <v>11.120000000000001</v>
      </c>
      <c r="AK75" s="21">
        <f t="shared" si="1054"/>
        <v>4.3127272727272725</v>
      </c>
      <c r="AL75" s="21">
        <f t="shared" si="1054"/>
        <v>6.625454545454545</v>
      </c>
      <c r="AM75" s="21">
        <f t="shared" si="1054"/>
        <v>8.9381818181818176</v>
      </c>
      <c r="AN75" s="21">
        <f t="shared" si="1054"/>
        <v>11.25090909090909</v>
      </c>
      <c r="AO75" s="21">
        <f t="shared" si="1054"/>
        <v>4.3127272727272725</v>
      </c>
      <c r="AP75" s="21">
        <f t="shared" si="1054"/>
        <v>6.625454545454545</v>
      </c>
      <c r="AQ75" s="21">
        <f t="shared" si="1054"/>
        <v>8.9381818181818176</v>
      </c>
      <c r="AR75" s="21">
        <f t="shared" si="1054"/>
        <v>11.25090909090909</v>
      </c>
      <c r="AS75" s="21">
        <f t="shared" si="1054"/>
        <v>4.3127272727272725</v>
      </c>
      <c r="AT75" s="21">
        <f t="shared" si="1054"/>
        <v>6.625454545454545</v>
      </c>
      <c r="AU75" s="21">
        <f t="shared" si="1054"/>
        <v>8.9381818181818176</v>
      </c>
      <c r="AV75" s="21">
        <f t="shared" si="1054"/>
        <v>11.25090909090909</v>
      </c>
      <c r="AW75" s="21">
        <f t="shared" si="1054"/>
        <v>4.3127272727272725</v>
      </c>
      <c r="AX75" s="21">
        <f t="shared" si="1054"/>
        <v>6.625454545454545</v>
      </c>
      <c r="AY75" s="21">
        <f t="shared" si="1054"/>
        <v>8.9381818181818176</v>
      </c>
      <c r="AZ75" s="56">
        <f t="shared" si="1054"/>
        <v>11.25090909090909</v>
      </c>
      <c r="BA75" s="21">
        <f t="shared" si="1054"/>
        <v>13.563636363636364</v>
      </c>
      <c r="BB75" s="21">
        <f t="shared" si="1054"/>
        <v>15.876363636363637</v>
      </c>
      <c r="BC75" s="21">
        <f t="shared" si="1054"/>
        <v>18.189090909090911</v>
      </c>
      <c r="BD75" s="21">
        <f t="shared" si="1054"/>
        <v>20.501818181818187</v>
      </c>
      <c r="BE75" s="21">
        <f t="shared" si="1054"/>
        <v>22.814545454545456</v>
      </c>
      <c r="BF75" s="21">
        <f t="shared" si="1054"/>
        <v>6.4945454545454542</v>
      </c>
      <c r="BG75" s="21">
        <f t="shared" si="1054"/>
        <v>8.8072727272727267</v>
      </c>
      <c r="BH75" s="21">
        <f t="shared" si="1054"/>
        <v>11.120000000000001</v>
      </c>
      <c r="BI75" s="21">
        <f t="shared" si="1054"/>
        <v>4.3127272727272725</v>
      </c>
      <c r="BJ75" s="21">
        <f t="shared" si="1054"/>
        <v>6.625454545454545</v>
      </c>
      <c r="BK75" s="21">
        <f t="shared" si="1054"/>
        <v>8.9381818181818176</v>
      </c>
      <c r="BL75" s="21">
        <f t="shared" si="1054"/>
        <v>11.25090909090909</v>
      </c>
      <c r="BM75" s="21">
        <f t="shared" si="1054"/>
        <v>4.3127272727272725</v>
      </c>
      <c r="BN75" s="21">
        <f t="shared" si="1054"/>
        <v>6.625454545454545</v>
      </c>
      <c r="BO75" s="21">
        <f t="shared" si="1054"/>
        <v>8.9381818181818176</v>
      </c>
      <c r="BP75" s="21">
        <f t="shared" si="1054"/>
        <v>11.25090909090909</v>
      </c>
      <c r="BQ75" s="21">
        <f t="shared" si="1054"/>
        <v>4.3127272727272725</v>
      </c>
      <c r="BR75" s="21">
        <f t="shared" ref="BR75:DT75" si="1055">BR72/275*10</f>
        <v>6.625454545454545</v>
      </c>
      <c r="BS75" s="21">
        <f t="shared" si="1055"/>
        <v>8.9381818181818176</v>
      </c>
      <c r="BT75" s="21">
        <f t="shared" si="1055"/>
        <v>11.25090909090909</v>
      </c>
      <c r="BU75" s="21">
        <f t="shared" si="1055"/>
        <v>4.3127272727272725</v>
      </c>
      <c r="BV75" s="21">
        <f t="shared" si="1055"/>
        <v>6.625454545454545</v>
      </c>
      <c r="BW75" s="21">
        <f t="shared" si="1055"/>
        <v>8.9381818181818176</v>
      </c>
      <c r="BX75" s="56">
        <f t="shared" si="1055"/>
        <v>11.25090909090909</v>
      </c>
      <c r="BY75" s="21">
        <f t="shared" si="1055"/>
        <v>13.563636363636364</v>
      </c>
      <c r="BZ75" s="21">
        <f t="shared" si="1055"/>
        <v>15.876363636363637</v>
      </c>
      <c r="CA75" s="21">
        <f t="shared" si="1055"/>
        <v>18.189090909090911</v>
      </c>
      <c r="CB75" s="21">
        <f t="shared" si="1055"/>
        <v>20.501818181818187</v>
      </c>
      <c r="CC75" s="21">
        <f t="shared" si="1055"/>
        <v>22.814545454545456</v>
      </c>
      <c r="CD75" s="21">
        <f t="shared" si="1055"/>
        <v>6.4945454545454542</v>
      </c>
      <c r="CE75" s="21">
        <f t="shared" si="1055"/>
        <v>8.8072727272727267</v>
      </c>
      <c r="CF75" s="21">
        <f t="shared" si="1055"/>
        <v>11.120000000000001</v>
      </c>
      <c r="CG75" s="21">
        <f t="shared" si="1055"/>
        <v>4.3127272727272725</v>
      </c>
      <c r="CH75" s="21">
        <f t="shared" si="1055"/>
        <v>6.625454545454545</v>
      </c>
      <c r="CI75" s="21">
        <f t="shared" si="1055"/>
        <v>8.9381818181818176</v>
      </c>
      <c r="CJ75" s="21">
        <f t="shared" si="1055"/>
        <v>11.25090909090909</v>
      </c>
      <c r="CK75" s="21">
        <f t="shared" si="1055"/>
        <v>4.3127272727272725</v>
      </c>
      <c r="CL75" s="21">
        <f t="shared" si="1055"/>
        <v>6.625454545454545</v>
      </c>
      <c r="CM75" s="21">
        <f t="shared" si="1055"/>
        <v>8.9381818181818176</v>
      </c>
      <c r="CN75" s="21">
        <f t="shared" si="1055"/>
        <v>11.25090909090909</v>
      </c>
      <c r="CO75" s="21">
        <f t="shared" si="1055"/>
        <v>4.3127272727272725</v>
      </c>
      <c r="CP75" s="21">
        <f t="shared" si="1055"/>
        <v>6.625454545454545</v>
      </c>
      <c r="CQ75" s="21">
        <f t="shared" si="1055"/>
        <v>8.9381818181818176</v>
      </c>
      <c r="CR75" s="21">
        <f t="shared" si="1055"/>
        <v>11.25090909090909</v>
      </c>
      <c r="CS75" s="21">
        <f t="shared" si="1055"/>
        <v>4.3127272727272725</v>
      </c>
      <c r="CT75" s="21">
        <f t="shared" si="1055"/>
        <v>6.625454545454545</v>
      </c>
      <c r="CU75" s="21">
        <f t="shared" si="1055"/>
        <v>8.9381818181818176</v>
      </c>
      <c r="CV75" s="56">
        <f t="shared" si="1055"/>
        <v>11.25090909090909</v>
      </c>
      <c r="CW75" s="21">
        <f t="shared" si="1055"/>
        <v>13.563636363636364</v>
      </c>
      <c r="CX75" s="21">
        <f t="shared" si="1055"/>
        <v>15.876363636363637</v>
      </c>
      <c r="CY75" s="21">
        <f t="shared" si="1055"/>
        <v>18.189090909090911</v>
      </c>
      <c r="CZ75" s="21">
        <f t="shared" si="1055"/>
        <v>20.501818181818187</v>
      </c>
      <c r="DA75" s="21">
        <f t="shared" si="1055"/>
        <v>22.814545454545456</v>
      </c>
      <c r="DB75" s="21">
        <f t="shared" si="1055"/>
        <v>6.4945454545454542</v>
      </c>
      <c r="DC75" s="21">
        <f t="shared" si="1055"/>
        <v>8.8072727272727267</v>
      </c>
      <c r="DD75" s="21">
        <f t="shared" si="1055"/>
        <v>11.120000000000001</v>
      </c>
      <c r="DE75" s="21">
        <f t="shared" si="1055"/>
        <v>4.3127272727272725</v>
      </c>
      <c r="DF75" s="21">
        <f t="shared" si="1055"/>
        <v>6.625454545454545</v>
      </c>
      <c r="DG75" s="21">
        <f t="shared" si="1055"/>
        <v>8.9381818181818176</v>
      </c>
      <c r="DH75" s="21">
        <f t="shared" si="1055"/>
        <v>11.25090909090909</v>
      </c>
      <c r="DI75" s="21">
        <f t="shared" si="1055"/>
        <v>4.3127272727272725</v>
      </c>
      <c r="DJ75" s="21">
        <f t="shared" si="1055"/>
        <v>6.625454545454545</v>
      </c>
      <c r="DK75" s="21">
        <f t="shared" si="1055"/>
        <v>8.9381818181818176</v>
      </c>
      <c r="DL75" s="21">
        <f t="shared" si="1055"/>
        <v>11.25090909090909</v>
      </c>
      <c r="DM75" s="21">
        <f t="shared" si="1055"/>
        <v>4.3127272727272725</v>
      </c>
      <c r="DN75" s="21">
        <f t="shared" si="1055"/>
        <v>6.625454545454545</v>
      </c>
      <c r="DO75" s="21">
        <f t="shared" si="1055"/>
        <v>8.9381818181818176</v>
      </c>
      <c r="DP75" s="21">
        <f t="shared" si="1055"/>
        <v>11.25090909090909</v>
      </c>
      <c r="DQ75" s="21">
        <f t="shared" si="1055"/>
        <v>4.3127272727272725</v>
      </c>
      <c r="DR75" s="21">
        <f t="shared" si="1055"/>
        <v>6.625454545454545</v>
      </c>
      <c r="DS75" s="21">
        <f t="shared" si="1055"/>
        <v>8.9381818181818176</v>
      </c>
      <c r="DT75" s="56">
        <f t="shared" si="1055"/>
        <v>11.25090909090909</v>
      </c>
    </row>
    <row r="76" spans="2:124" x14ac:dyDescent="0.25">
      <c r="D76" s="100"/>
      <c r="E76" s="122" t="s">
        <v>69</v>
      </c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  <c r="AB76" s="124"/>
      <c r="AC76" s="125" t="s">
        <v>70</v>
      </c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126"/>
      <c r="AO76" s="126"/>
      <c r="AP76" s="126"/>
      <c r="AQ76" s="126"/>
      <c r="AR76" s="126"/>
      <c r="AS76" s="126"/>
      <c r="AT76" s="126"/>
      <c r="AU76" s="126"/>
      <c r="AV76" s="126"/>
      <c r="AW76" s="126"/>
      <c r="AX76" s="126"/>
      <c r="AY76" s="126"/>
      <c r="AZ76" s="127"/>
      <c r="BA76" s="122" t="s">
        <v>71</v>
      </c>
      <c r="BB76" s="123"/>
      <c r="BC76" s="123"/>
      <c r="BD76" s="123"/>
      <c r="BE76" s="123"/>
      <c r="BF76" s="123"/>
      <c r="BG76" s="123"/>
      <c r="BH76" s="123"/>
      <c r="BI76" s="123"/>
      <c r="BJ76" s="123"/>
      <c r="BK76" s="123"/>
      <c r="BL76" s="123"/>
      <c r="BM76" s="123"/>
      <c r="BN76" s="123"/>
      <c r="BO76" s="123"/>
      <c r="BP76" s="123"/>
      <c r="BQ76" s="123"/>
      <c r="BR76" s="123"/>
      <c r="BS76" s="123"/>
      <c r="BT76" s="123"/>
      <c r="BU76" s="123"/>
      <c r="BV76" s="123"/>
      <c r="BW76" s="123"/>
      <c r="BX76" s="124"/>
      <c r="BY76" s="125" t="s">
        <v>72</v>
      </c>
      <c r="BZ76" s="126"/>
      <c r="CA76" s="126"/>
      <c r="CB76" s="126"/>
      <c r="CC76" s="126"/>
      <c r="CD76" s="126"/>
      <c r="CE76" s="126"/>
      <c r="CF76" s="126"/>
      <c r="CG76" s="126"/>
      <c r="CH76" s="126"/>
      <c r="CI76" s="126"/>
      <c r="CJ76" s="126"/>
      <c r="CK76" s="126"/>
      <c r="CL76" s="126"/>
      <c r="CM76" s="126"/>
      <c r="CN76" s="126"/>
      <c r="CO76" s="126"/>
      <c r="CP76" s="126"/>
      <c r="CQ76" s="126"/>
      <c r="CR76" s="126"/>
      <c r="CS76" s="126"/>
      <c r="CT76" s="126"/>
      <c r="CU76" s="126"/>
      <c r="CV76" s="127"/>
      <c r="CW76" s="122" t="s">
        <v>73</v>
      </c>
      <c r="CX76" s="123"/>
      <c r="CY76" s="123"/>
      <c r="CZ76" s="123"/>
      <c r="DA76" s="123"/>
      <c r="DB76" s="123"/>
      <c r="DC76" s="123"/>
      <c r="DD76" s="123"/>
      <c r="DE76" s="123"/>
      <c r="DF76" s="123"/>
      <c r="DG76" s="123"/>
      <c r="DH76" s="123"/>
      <c r="DI76" s="123"/>
      <c r="DJ76" s="123"/>
      <c r="DK76" s="123"/>
      <c r="DL76" s="123"/>
      <c r="DM76" s="123"/>
      <c r="DN76" s="123"/>
      <c r="DO76" s="123"/>
      <c r="DP76" s="123"/>
      <c r="DQ76" s="123"/>
      <c r="DR76" s="123"/>
      <c r="DS76" s="123"/>
      <c r="DT76" s="124"/>
    </row>
    <row r="77" spans="2:124" x14ac:dyDescent="0.25">
      <c r="B77" s="4" t="s">
        <v>51</v>
      </c>
      <c r="D77" s="100"/>
      <c r="E77" s="22">
        <v>4.1666666666666664E-2</v>
      </c>
      <c r="F77" s="23">
        <v>8.3333333333333301E-2</v>
      </c>
      <c r="G77" s="23">
        <v>0.125</v>
      </c>
      <c r="H77" s="23">
        <v>0.16666666666666699</v>
      </c>
      <c r="I77" s="23">
        <v>0.20833333333333301</v>
      </c>
      <c r="J77" s="23">
        <v>0.25</v>
      </c>
      <c r="K77" s="23">
        <v>0.29166666666666702</v>
      </c>
      <c r="L77" s="23">
        <v>0.33333333333333298</v>
      </c>
      <c r="M77" s="23">
        <v>0.375</v>
      </c>
      <c r="N77" s="23">
        <v>0.41666666666666702</v>
      </c>
      <c r="O77" s="23">
        <v>0.45833333333333298</v>
      </c>
      <c r="P77" s="23">
        <v>0.5</v>
      </c>
      <c r="Q77" s="23">
        <v>0.54166666666666696</v>
      </c>
      <c r="R77" s="23">
        <v>0.58333333333333304</v>
      </c>
      <c r="S77" s="23">
        <v>0.625</v>
      </c>
      <c r="T77" s="23">
        <v>0.66666666666666696</v>
      </c>
      <c r="U77" s="23">
        <v>0.70833333333333304</v>
      </c>
      <c r="V77" s="23">
        <v>0.75</v>
      </c>
      <c r="W77" s="23">
        <v>0.79166666666666696</v>
      </c>
      <c r="X77" s="23">
        <v>0.83333333333333304</v>
      </c>
      <c r="Y77" s="23">
        <v>0.875</v>
      </c>
      <c r="Z77" s="23">
        <v>0.91666666666666696</v>
      </c>
      <c r="AA77" s="23">
        <v>0.95833333333333404</v>
      </c>
      <c r="AB77" s="57">
        <v>1</v>
      </c>
      <c r="AC77" s="22">
        <v>4.1666666666666602E-2</v>
      </c>
      <c r="AD77" s="23">
        <v>8.3333333333333301E-2</v>
      </c>
      <c r="AE77" s="23">
        <v>0.125</v>
      </c>
      <c r="AF77" s="23">
        <v>0.16666666666666699</v>
      </c>
      <c r="AG77" s="23">
        <v>0.20833333333333301</v>
      </c>
      <c r="AH77" s="23">
        <v>0.25</v>
      </c>
      <c r="AI77" s="23">
        <v>0.29166666666666702</v>
      </c>
      <c r="AJ77" s="23">
        <v>0.33333333333333298</v>
      </c>
      <c r="AK77" s="23">
        <v>0.375</v>
      </c>
      <c r="AL77" s="23">
        <v>0.41666666666666702</v>
      </c>
      <c r="AM77" s="23">
        <v>0.45833333333333298</v>
      </c>
      <c r="AN77" s="23">
        <v>0.5</v>
      </c>
      <c r="AO77" s="23">
        <v>0.54166666666666696</v>
      </c>
      <c r="AP77" s="23">
        <v>0.58333333333333304</v>
      </c>
      <c r="AQ77" s="23">
        <v>0.625</v>
      </c>
      <c r="AR77" s="23">
        <v>0.66666666666666696</v>
      </c>
      <c r="AS77" s="23">
        <v>0.70833333333333304</v>
      </c>
      <c r="AT77" s="23">
        <v>0.75</v>
      </c>
      <c r="AU77" s="23">
        <v>0.79166666666666696</v>
      </c>
      <c r="AV77" s="23">
        <v>0.83333333333333304</v>
      </c>
      <c r="AW77" s="23">
        <v>0.875</v>
      </c>
      <c r="AX77" s="23">
        <v>0.91666666666666696</v>
      </c>
      <c r="AY77" s="23">
        <v>0.95833333333333404</v>
      </c>
      <c r="AZ77" s="57">
        <v>1</v>
      </c>
      <c r="BA77" s="22">
        <v>4.1666666666666602E-2</v>
      </c>
      <c r="BB77" s="23">
        <v>8.3333333333333301E-2</v>
      </c>
      <c r="BC77" s="23">
        <v>0.125</v>
      </c>
      <c r="BD77" s="23">
        <v>0.16666666666666699</v>
      </c>
      <c r="BE77" s="23">
        <v>0.20833333333333301</v>
      </c>
      <c r="BF77" s="23">
        <v>0.25</v>
      </c>
      <c r="BG77" s="23">
        <v>0.29166666666666702</v>
      </c>
      <c r="BH77" s="23">
        <v>0.33333333333333298</v>
      </c>
      <c r="BI77" s="23">
        <v>0.375</v>
      </c>
      <c r="BJ77" s="23">
        <v>0.41666666666666702</v>
      </c>
      <c r="BK77" s="23">
        <v>0.45833333333333298</v>
      </c>
      <c r="BL77" s="23">
        <v>0.5</v>
      </c>
      <c r="BM77" s="23">
        <v>0.54166666666666696</v>
      </c>
      <c r="BN77" s="23">
        <v>0.58333333333333304</v>
      </c>
      <c r="BO77" s="23">
        <v>0.625</v>
      </c>
      <c r="BP77" s="23">
        <v>0.66666666666666696</v>
      </c>
      <c r="BQ77" s="23">
        <v>0.70833333333333304</v>
      </c>
      <c r="BR77" s="23">
        <v>0.75</v>
      </c>
      <c r="BS77" s="23">
        <v>0.79166666666666696</v>
      </c>
      <c r="BT77" s="23">
        <v>0.83333333333333304</v>
      </c>
      <c r="BU77" s="23">
        <v>0.875</v>
      </c>
      <c r="BV77" s="23">
        <v>0.91666666666666696</v>
      </c>
      <c r="BW77" s="23">
        <v>0.95833333333333404</v>
      </c>
      <c r="BX77" s="57">
        <v>1</v>
      </c>
      <c r="BY77" s="22">
        <v>4.1666666666666602E-2</v>
      </c>
      <c r="BZ77" s="23">
        <v>8.3333333333333301E-2</v>
      </c>
      <c r="CA77" s="23">
        <v>0.125</v>
      </c>
      <c r="CB77" s="23">
        <v>0.16666666666666699</v>
      </c>
      <c r="CC77" s="23">
        <v>0.20833333333333301</v>
      </c>
      <c r="CD77" s="23">
        <v>0.25</v>
      </c>
      <c r="CE77" s="23">
        <v>0.29166666666666702</v>
      </c>
      <c r="CF77" s="23">
        <v>0.33333333333333298</v>
      </c>
      <c r="CG77" s="23">
        <v>0.375</v>
      </c>
      <c r="CH77" s="23">
        <v>0.41666666666666702</v>
      </c>
      <c r="CI77" s="23">
        <v>0.45833333333333298</v>
      </c>
      <c r="CJ77" s="23">
        <v>0.5</v>
      </c>
      <c r="CK77" s="23">
        <v>0.54166666666666696</v>
      </c>
      <c r="CL77" s="23">
        <v>0.58333333333333304</v>
      </c>
      <c r="CM77" s="23">
        <v>0.625</v>
      </c>
      <c r="CN77" s="23">
        <v>0.66666666666666696</v>
      </c>
      <c r="CO77" s="23">
        <v>0.70833333333333304</v>
      </c>
      <c r="CP77" s="23">
        <v>0.75</v>
      </c>
      <c r="CQ77" s="23">
        <v>0.79166666666666696</v>
      </c>
      <c r="CR77" s="23">
        <v>0.83333333333333304</v>
      </c>
      <c r="CS77" s="23">
        <v>0.875</v>
      </c>
      <c r="CT77" s="23">
        <v>0.91666666666666696</v>
      </c>
      <c r="CU77" s="23">
        <v>0.95833333333333404</v>
      </c>
      <c r="CV77" s="57">
        <v>1</v>
      </c>
      <c r="CW77" s="22">
        <v>4.1666666666666602E-2</v>
      </c>
      <c r="CX77" s="23">
        <v>8.3333333333333301E-2</v>
      </c>
      <c r="CY77" s="23">
        <v>0.125</v>
      </c>
      <c r="CZ77" s="23">
        <v>0.16666666666666699</v>
      </c>
      <c r="DA77" s="23">
        <v>0.20833333333333301</v>
      </c>
      <c r="DB77" s="23">
        <v>0.25</v>
      </c>
      <c r="DC77" s="23">
        <v>0.29166666666666702</v>
      </c>
      <c r="DD77" s="23">
        <v>0.33333333333333298</v>
      </c>
      <c r="DE77" s="23">
        <v>0.375</v>
      </c>
      <c r="DF77" s="23">
        <v>0.41666666666666702</v>
      </c>
      <c r="DG77" s="23">
        <v>0.45833333333333298</v>
      </c>
      <c r="DH77" s="23">
        <v>0.5</v>
      </c>
      <c r="DI77" s="23">
        <v>0.54166666666666696</v>
      </c>
      <c r="DJ77" s="23">
        <v>0.58333333333333304</v>
      </c>
      <c r="DK77" s="23">
        <v>0.625</v>
      </c>
      <c r="DL77" s="23">
        <v>0.66666666666666696</v>
      </c>
      <c r="DM77" s="23">
        <v>0.70833333333333304</v>
      </c>
      <c r="DN77" s="23">
        <v>0.75</v>
      </c>
      <c r="DO77" s="23">
        <v>0.79166666666666696</v>
      </c>
      <c r="DP77" s="23">
        <v>0.83333333333333304</v>
      </c>
      <c r="DQ77" s="23">
        <v>0.875</v>
      </c>
      <c r="DR77" s="23">
        <v>0.91666666666666696</v>
      </c>
      <c r="DS77" s="23">
        <v>0.95833333333333404</v>
      </c>
      <c r="DT77" s="57">
        <v>1</v>
      </c>
    </row>
    <row r="78" spans="2:124" x14ac:dyDescent="0.25">
      <c r="B78" s="3" t="s">
        <v>52</v>
      </c>
      <c r="D78" s="100">
        <f>D51</f>
        <v>0</v>
      </c>
      <c r="E78" s="30">
        <f>E51</f>
        <v>0</v>
      </c>
      <c r="F78" s="30">
        <f>F51</f>
        <v>0</v>
      </c>
      <c r="G78" s="30">
        <f t="shared" ref="G78:AK78" si="1056">G51</f>
        <v>0</v>
      </c>
      <c r="H78" s="30">
        <f t="shared" si="1056"/>
        <v>0</v>
      </c>
      <c r="I78" s="30">
        <f t="shared" si="1056"/>
        <v>0</v>
      </c>
      <c r="J78" s="30">
        <f t="shared" si="1056"/>
        <v>1874.3987500000007</v>
      </c>
      <c r="K78" s="30">
        <f t="shared" si="1056"/>
        <v>0</v>
      </c>
      <c r="L78" s="30">
        <f t="shared" si="1056"/>
        <v>0</v>
      </c>
      <c r="M78" s="30">
        <f t="shared" si="1056"/>
        <v>0</v>
      </c>
      <c r="N78" s="30">
        <f t="shared" si="1056"/>
        <v>0</v>
      </c>
      <c r="O78" s="30">
        <f t="shared" si="1056"/>
        <v>0</v>
      </c>
      <c r="P78" s="30">
        <f t="shared" si="1056"/>
        <v>0</v>
      </c>
      <c r="Q78" s="30">
        <f t="shared" si="1056"/>
        <v>868.3916875000009</v>
      </c>
      <c r="R78" s="30">
        <f t="shared" si="1056"/>
        <v>0</v>
      </c>
      <c r="S78" s="30">
        <f t="shared" si="1056"/>
        <v>0</v>
      </c>
      <c r="T78" s="30">
        <f t="shared" si="1056"/>
        <v>0</v>
      </c>
      <c r="U78" s="30">
        <f t="shared" si="1056"/>
        <v>0</v>
      </c>
      <c r="V78" s="30">
        <f t="shared" si="1056"/>
        <v>840.58957812500034</v>
      </c>
      <c r="W78" s="30">
        <f t="shared" si="1056"/>
        <v>0</v>
      </c>
      <c r="X78" s="30">
        <f t="shared" si="1056"/>
        <v>0</v>
      </c>
      <c r="Y78" s="30">
        <f t="shared" si="1056"/>
        <v>0</v>
      </c>
      <c r="Z78" s="30">
        <f t="shared" si="1056"/>
        <v>0</v>
      </c>
      <c r="AA78" s="30">
        <f t="shared" si="1056"/>
        <v>0</v>
      </c>
      <c r="AB78" s="60">
        <f t="shared" si="1056"/>
        <v>0</v>
      </c>
      <c r="AC78" s="29">
        <f t="shared" si="1056"/>
        <v>0</v>
      </c>
      <c r="AD78" s="30">
        <f t="shared" si="1056"/>
        <v>0</v>
      </c>
      <c r="AE78" s="30">
        <f t="shared" si="1056"/>
        <v>0</v>
      </c>
      <c r="AF78" s="30">
        <f t="shared" si="1056"/>
        <v>0</v>
      </c>
      <c r="AG78" s="30">
        <f t="shared" si="1056"/>
        <v>0</v>
      </c>
      <c r="AH78" s="30">
        <f t="shared" si="1056"/>
        <v>1316.9191697916679</v>
      </c>
      <c r="AI78" s="30">
        <f t="shared" si="1056"/>
        <v>0</v>
      </c>
      <c r="AJ78" s="30">
        <f t="shared" si="1056"/>
        <v>0</v>
      </c>
      <c r="AK78" s="30">
        <f t="shared" si="1056"/>
        <v>0</v>
      </c>
      <c r="AL78" s="30">
        <f t="shared" ref="AL78:BQ78" si="1057">AL51</f>
        <v>0</v>
      </c>
      <c r="AM78" s="30">
        <f t="shared" si="1057"/>
        <v>0</v>
      </c>
      <c r="AN78" s="30">
        <f t="shared" si="1057"/>
        <v>811.07216572916627</v>
      </c>
      <c r="AO78" s="30">
        <f t="shared" si="1057"/>
        <v>0</v>
      </c>
      <c r="AP78" s="30">
        <f t="shared" si="1057"/>
        <v>0</v>
      </c>
      <c r="AQ78" s="30">
        <f t="shared" si="1057"/>
        <v>0</v>
      </c>
      <c r="AR78" s="30">
        <f t="shared" si="1057"/>
        <v>0</v>
      </c>
      <c r="AS78" s="30">
        <f t="shared" si="1057"/>
        <v>0</v>
      </c>
      <c r="AT78" s="30">
        <f t="shared" si="1057"/>
        <v>962.8262669479177</v>
      </c>
      <c r="AU78" s="30">
        <f t="shared" si="1057"/>
        <v>0</v>
      </c>
      <c r="AV78" s="30">
        <f t="shared" si="1057"/>
        <v>0</v>
      </c>
      <c r="AW78" s="30">
        <f t="shared" si="1057"/>
        <v>0</v>
      </c>
      <c r="AX78" s="30">
        <f t="shared" si="1057"/>
        <v>0</v>
      </c>
      <c r="AY78" s="30">
        <f t="shared" si="1057"/>
        <v>0</v>
      </c>
      <c r="AZ78" s="60">
        <f t="shared" si="1057"/>
        <v>0</v>
      </c>
      <c r="BA78" s="29">
        <f t="shared" si="1057"/>
        <v>0</v>
      </c>
      <c r="BB78" s="30">
        <f t="shared" si="1057"/>
        <v>0</v>
      </c>
      <c r="BC78" s="30">
        <f t="shared" si="1057"/>
        <v>0</v>
      </c>
      <c r="BD78" s="30">
        <f t="shared" si="1057"/>
        <v>0</v>
      </c>
      <c r="BE78" s="30">
        <f t="shared" si="1057"/>
        <v>0</v>
      </c>
      <c r="BF78" s="30">
        <f t="shared" si="1057"/>
        <v>1124.8563231645842</v>
      </c>
      <c r="BG78" s="30">
        <f t="shared" si="1057"/>
        <v>0</v>
      </c>
      <c r="BH78" s="30">
        <f t="shared" si="1057"/>
        <v>0</v>
      </c>
      <c r="BI78" s="30">
        <f t="shared" si="1057"/>
        <v>0</v>
      </c>
      <c r="BJ78" s="30">
        <f t="shared" si="1057"/>
        <v>0</v>
      </c>
      <c r="BK78" s="30">
        <f t="shared" si="1057"/>
        <v>0</v>
      </c>
      <c r="BL78" s="30">
        <f t="shared" si="1057"/>
        <v>868.69101971729151</v>
      </c>
      <c r="BM78" s="30">
        <f t="shared" si="1057"/>
        <v>0</v>
      </c>
      <c r="BN78" s="30">
        <f t="shared" si="1057"/>
        <v>0</v>
      </c>
      <c r="BO78" s="30">
        <f t="shared" si="1057"/>
        <v>0</v>
      </c>
      <c r="BP78" s="30">
        <f t="shared" si="1057"/>
        <v>0</v>
      </c>
      <c r="BQ78" s="30">
        <f t="shared" si="1057"/>
        <v>0</v>
      </c>
      <c r="BR78" s="30">
        <f t="shared" ref="BR78:CW78" si="1058">BR51</f>
        <v>945.54061075147979</v>
      </c>
      <c r="BS78" s="30">
        <f t="shared" si="1058"/>
        <v>0</v>
      </c>
      <c r="BT78" s="30">
        <f t="shared" si="1058"/>
        <v>0</v>
      </c>
      <c r="BU78" s="30">
        <f t="shared" si="1058"/>
        <v>0</v>
      </c>
      <c r="BV78" s="30">
        <f t="shared" si="1058"/>
        <v>0</v>
      </c>
      <c r="BW78" s="30">
        <f t="shared" si="1058"/>
        <v>0</v>
      </c>
      <c r="BX78" s="60">
        <f t="shared" si="1058"/>
        <v>0</v>
      </c>
      <c r="BY78" s="29">
        <f t="shared" si="1058"/>
        <v>0</v>
      </c>
      <c r="BZ78" s="30">
        <f t="shared" si="1058"/>
        <v>0</v>
      </c>
      <c r="CA78" s="30">
        <f t="shared" si="1058"/>
        <v>0</v>
      </c>
      <c r="CB78" s="30">
        <f t="shared" si="1058"/>
        <v>0</v>
      </c>
      <c r="CC78" s="30">
        <f t="shared" si="1058"/>
        <v>0</v>
      </c>
      <c r="CD78" s="30">
        <f t="shared" si="1058"/>
        <v>1253.9485502157793</v>
      </c>
      <c r="CE78" s="30">
        <f t="shared" si="1058"/>
        <v>0</v>
      </c>
      <c r="CF78" s="30">
        <f t="shared" si="1058"/>
        <v>0</v>
      </c>
      <c r="CG78" s="30">
        <f t="shared" si="1058"/>
        <v>0</v>
      </c>
      <c r="CH78" s="30">
        <f t="shared" si="1058"/>
        <v>0</v>
      </c>
      <c r="CI78" s="30">
        <f t="shared" si="1058"/>
        <v>0</v>
      </c>
      <c r="CJ78" s="30">
        <f t="shared" si="1058"/>
        <v>829.96335160193348</v>
      </c>
      <c r="CK78" s="30">
        <f t="shared" si="1058"/>
        <v>0</v>
      </c>
      <c r="CL78" s="30">
        <f t="shared" si="1058"/>
        <v>0</v>
      </c>
      <c r="CM78" s="30">
        <f t="shared" si="1058"/>
        <v>0</v>
      </c>
      <c r="CN78" s="30">
        <f t="shared" si="1058"/>
        <v>0</v>
      </c>
      <c r="CO78" s="30">
        <f t="shared" si="1058"/>
        <v>0</v>
      </c>
      <c r="CP78" s="30">
        <f t="shared" si="1058"/>
        <v>957.15891118608738</v>
      </c>
      <c r="CQ78" s="30">
        <f t="shared" si="1058"/>
        <v>0</v>
      </c>
      <c r="CR78" s="30">
        <f t="shared" si="1058"/>
        <v>0</v>
      </c>
      <c r="CS78" s="30">
        <f t="shared" si="1058"/>
        <v>0</v>
      </c>
      <c r="CT78" s="30">
        <f t="shared" si="1058"/>
        <v>0</v>
      </c>
      <c r="CU78" s="30">
        <f t="shared" si="1058"/>
        <v>0</v>
      </c>
      <c r="CV78" s="60">
        <f t="shared" si="1058"/>
        <v>0</v>
      </c>
      <c r="CW78" s="29">
        <f t="shared" si="1058"/>
        <v>0</v>
      </c>
      <c r="CX78" s="30">
        <f t="shared" ref="CX78:DT78" si="1059">CX51</f>
        <v>0</v>
      </c>
      <c r="CY78" s="30">
        <f t="shared" si="1059"/>
        <v>0</v>
      </c>
      <c r="CZ78" s="30">
        <f t="shared" si="1059"/>
        <v>0</v>
      </c>
      <c r="DA78" s="30">
        <f t="shared" si="1059"/>
        <v>0</v>
      </c>
      <c r="DB78" s="30">
        <f t="shared" si="1059"/>
        <v>1246.9775699550153</v>
      </c>
      <c r="DC78" s="30">
        <f t="shared" si="1059"/>
        <v>0</v>
      </c>
      <c r="DD78" s="30">
        <f t="shared" si="1059"/>
        <v>0</v>
      </c>
      <c r="DE78" s="30">
        <f t="shared" si="1059"/>
        <v>0</v>
      </c>
      <c r="DF78" s="30">
        <f t="shared" si="1059"/>
        <v>0</v>
      </c>
      <c r="DG78" s="30">
        <f t="shared" si="1059"/>
        <v>0</v>
      </c>
      <c r="DH78" s="30">
        <f t="shared" si="1059"/>
        <v>832.05464568016259</v>
      </c>
      <c r="DI78" s="30">
        <f t="shared" si="1059"/>
        <v>0</v>
      </c>
      <c r="DJ78" s="30">
        <f t="shared" si="1059"/>
        <v>0</v>
      </c>
      <c r="DK78" s="30">
        <f t="shared" si="1059"/>
        <v>0</v>
      </c>
      <c r="DL78" s="30">
        <f t="shared" si="1059"/>
        <v>0</v>
      </c>
      <c r="DM78" s="30">
        <f t="shared" si="1059"/>
        <v>0</v>
      </c>
      <c r="DN78" s="30">
        <f t="shared" si="1059"/>
        <v>956.53152296261828</v>
      </c>
      <c r="DO78" s="30">
        <f t="shared" si="1059"/>
        <v>0</v>
      </c>
      <c r="DP78" s="30">
        <f t="shared" si="1059"/>
        <v>0</v>
      </c>
      <c r="DQ78" s="30">
        <f t="shared" si="1059"/>
        <v>0</v>
      </c>
      <c r="DR78" s="30">
        <f t="shared" si="1059"/>
        <v>0</v>
      </c>
      <c r="DS78" s="30">
        <f t="shared" si="1059"/>
        <v>0</v>
      </c>
      <c r="DT78" s="60">
        <f t="shared" si="1059"/>
        <v>0</v>
      </c>
    </row>
    <row r="79" spans="2:124" x14ac:dyDescent="0.25">
      <c r="B79" s="3" t="s">
        <v>53</v>
      </c>
      <c r="D79" s="102">
        <v>1552.67</v>
      </c>
      <c r="E79" s="30">
        <f t="shared" ref="E79" si="1060">IF(E78&gt;0,E78+D79,IF(D79&gt;1,D79-D80,0))</f>
        <v>1293.8916666666667</v>
      </c>
      <c r="F79" s="30">
        <f t="shared" ref="F79" si="1061">IF(F78&gt;0,F78+E79,IF(E79&gt;1,E79-E80,0))</f>
        <v>1035.1133333333332</v>
      </c>
      <c r="G79" s="30">
        <f t="shared" ref="G79" si="1062">IF(G78&gt;0,G78+F79,IF(F79&gt;1,F79-F80,0))</f>
        <v>776.33499999999981</v>
      </c>
      <c r="H79" s="30">
        <f t="shared" ref="H79" si="1063">IF(H78&gt;0,H78+G79,IF(G79&gt;1,G79-G80,0))</f>
        <v>517.55666666666639</v>
      </c>
      <c r="I79" s="30">
        <f t="shared" ref="I79" si="1064">IF(I78&gt;0,I78+H79,IF(H79&gt;1,H79-H80,0))</f>
        <v>258.77833333333302</v>
      </c>
      <c r="J79" s="30">
        <f t="shared" ref="J79" si="1065">IF(J78&gt;0,J78+I79,IF(I79&gt;1,I79-I80,0))</f>
        <v>2133.1770833333339</v>
      </c>
      <c r="K79" s="30">
        <f t="shared" ref="K79" si="1066">IF(K78&gt;0,K78+J79,IF(J79&gt;1,J79-J80,0))</f>
        <v>1777.647569444445</v>
      </c>
      <c r="L79" s="30">
        <f t="shared" ref="L79" si="1067">IF(L78&gt;0,L78+K79,IF(K79&gt;1,K79-K80,0))</f>
        <v>1422.1180555555561</v>
      </c>
      <c r="M79" s="30">
        <f t="shared" ref="M79" si="1068">IF(M78&gt;0,M78+L79,IF(L79&gt;1,L79-L80,0))</f>
        <v>1066.5885416666672</v>
      </c>
      <c r="N79" s="30">
        <f t="shared" ref="N79" si="1069">IF(N78&gt;0,N78+M79,IF(M79&gt;1,M79-M80,0))</f>
        <v>711.05902777777828</v>
      </c>
      <c r="O79" s="30">
        <f t="shared" ref="O79" si="1070">IF(O78&gt;0,O78+N79,IF(N79&gt;1,N79-N80,0))</f>
        <v>355.52951388888931</v>
      </c>
      <c r="P79" s="30">
        <f t="shared" ref="P79" si="1071">IF(P78&gt;0,P78+O79,IF(O79&gt;1,O79-O80,0))</f>
        <v>3.4106051316484809E-13</v>
      </c>
      <c r="Q79" s="30">
        <f t="shared" ref="Q79" si="1072">IF(Q78&gt;0,Q78+P79,IF(P79&gt;1,P79-P80,0))</f>
        <v>868.39168750000124</v>
      </c>
      <c r="R79" s="30">
        <f t="shared" ref="R79" si="1073">IF(R78&gt;0,R78+Q79,IF(Q79&gt;1,Q79-Q80,0))</f>
        <v>723.65973958333439</v>
      </c>
      <c r="S79" s="30">
        <f t="shared" ref="S79" si="1074">IF(S78&gt;0,S78+R79,IF(R79&gt;1,R79-R80,0))</f>
        <v>578.92779166666753</v>
      </c>
      <c r="T79" s="30">
        <f t="shared" ref="T79" si="1075">IF(T78&gt;0,T78+S79,IF(S79&gt;1,S79-S80,0))</f>
        <v>434.19584375000068</v>
      </c>
      <c r="U79" s="30">
        <f t="shared" ref="U79" si="1076">IF(U78&gt;0,U78+T79,IF(T79&gt;1,T79-T80,0))</f>
        <v>289.46389583333382</v>
      </c>
      <c r="V79" s="30">
        <f t="shared" ref="V79" si="1077">IF(V78&gt;0,V78+U79,IF(U79&gt;1,U79-U80,0))</f>
        <v>1130.0534739583341</v>
      </c>
      <c r="W79" s="30">
        <f t="shared" ref="W79" si="1078">IF(W78&gt;0,W78+V79,IF(V79&gt;1,V79-V80,0))</f>
        <v>941.71122829861167</v>
      </c>
      <c r="X79" s="30">
        <f t="shared" ref="X79" si="1079">IF(X78&gt;0,X78+W79,IF(W79&gt;1,W79-W80,0))</f>
        <v>753.36898263888929</v>
      </c>
      <c r="Y79" s="30">
        <f t="shared" ref="Y79" si="1080">IF(Y78&gt;0,Y78+X79,IF(X79&gt;1,X79-X80,0))</f>
        <v>565.02673697916691</v>
      </c>
      <c r="Z79" s="30">
        <f t="shared" ref="Z79" si="1081">IF(Z78&gt;0,Z78+Y79,IF(Y79&gt;1,Y79-Y80,0))</f>
        <v>376.68449131944453</v>
      </c>
      <c r="AA79" s="30">
        <f t="shared" ref="AA79" si="1082">IF(AA78&gt;0,AA78+Z79,IF(Z79&gt;1,Z79-Z80,0))</f>
        <v>188.34224565972218</v>
      </c>
      <c r="AB79" s="60">
        <f t="shared" ref="AB79" si="1083">IF(AB78&gt;0,AB78+AA79,IF(AA79&gt;1,AA79-AA80,0))</f>
        <v>-1.7053025658242404E-13</v>
      </c>
      <c r="AC79" s="29">
        <f t="shared" ref="AC79" si="1084">IF(AC78&gt;0,AC78+AB79,IF(AB79&gt;1,AB79-AB80,0))</f>
        <v>0</v>
      </c>
      <c r="AD79" s="30">
        <f t="shared" ref="AD79" si="1085">IF(AD78&gt;0,AD78+AC79,IF(AC79&gt;1,AC79-AC80,0))</f>
        <v>0</v>
      </c>
      <c r="AE79" s="30">
        <f t="shared" ref="AE79" si="1086">IF(AE78&gt;0,AE78+AD79,IF(AD79&gt;1,AD79-AD80,0))</f>
        <v>0</v>
      </c>
      <c r="AF79" s="30">
        <f t="shared" ref="AF79" si="1087">IF(AF78&gt;0,AF78+AE79,IF(AE79&gt;1,AE79-AE80,0))</f>
        <v>0</v>
      </c>
      <c r="AG79" s="30">
        <f t="shared" ref="AG79" si="1088">IF(AG78&gt;0,AG78+AF79,IF(AF79&gt;1,AF79-AF80,0))</f>
        <v>0</v>
      </c>
      <c r="AH79" s="30">
        <f t="shared" ref="AH79" si="1089">IF(AH78&gt;0,AH78+AG79,IF(AG79&gt;1,AG79-AG80,0))</f>
        <v>1316.9191697916679</v>
      </c>
      <c r="AI79" s="30">
        <f t="shared" ref="AI79" si="1090">IF(AI78&gt;0,AI78+AH79,IF(AH79&gt;1,AH79-AH80,0))</f>
        <v>1097.4326414930565</v>
      </c>
      <c r="AJ79" s="30">
        <f t="shared" ref="AJ79" si="1091">IF(AJ78&gt;0,AJ78+AI79,IF(AI79&gt;1,AI79-AI80,0))</f>
        <v>877.94611319444516</v>
      </c>
      <c r="AK79" s="30">
        <f t="shared" ref="AK79" si="1092">IF(AK78&gt;0,AK78+AJ79,IF(AJ79&gt;1,AJ79-AJ80,0))</f>
        <v>658.45958489583381</v>
      </c>
      <c r="AL79" s="30">
        <f t="shared" ref="AL79" si="1093">IF(AL78&gt;0,AL78+AK79,IF(AK79&gt;1,AK79-AK80,0))</f>
        <v>438.97305659722247</v>
      </c>
      <c r="AM79" s="30">
        <f t="shared" ref="AM79" si="1094">IF(AM78&gt;0,AM78+AL79,IF(AL79&gt;1,AL79-AL80,0))</f>
        <v>219.48652829861115</v>
      </c>
      <c r="AN79" s="30">
        <f t="shared" ref="AN79" si="1095">IF(AN78&gt;0,AN78+AM79,IF(AM79&gt;1,AM79-AM80,0))</f>
        <v>1030.5586940277774</v>
      </c>
      <c r="AO79" s="30">
        <f t="shared" ref="AO79" si="1096">IF(AO78&gt;0,AO78+AN79,IF(AN79&gt;1,AN79-AN80,0))</f>
        <v>858.79891168981453</v>
      </c>
      <c r="AP79" s="30">
        <f t="shared" ref="AP79" si="1097">IF(AP78&gt;0,AP78+AO79,IF(AO79&gt;1,AO79-AO80,0))</f>
        <v>687.03912935185167</v>
      </c>
      <c r="AQ79" s="30">
        <f t="shared" ref="AQ79" si="1098">IF(AQ78&gt;0,AQ78+AP79,IF(AP79&gt;1,AP79-AP80,0))</f>
        <v>515.27934701388881</v>
      </c>
      <c r="AR79" s="30">
        <f t="shared" ref="AR79" si="1099">IF(AR78&gt;0,AR78+AQ79,IF(AQ79&gt;1,AQ79-AQ80,0))</f>
        <v>343.51956467592595</v>
      </c>
      <c r="AS79" s="30">
        <f t="shared" ref="AS79" si="1100">IF(AS78&gt;0,AS78+AR79,IF(AR79&gt;1,AR79-AR80,0))</f>
        <v>171.75978233796306</v>
      </c>
      <c r="AT79" s="30">
        <f t="shared" ref="AT79" si="1101">IF(AT78&gt;0,AT78+AS79,IF(AS79&gt;1,AS79-AS80,0))</f>
        <v>1134.5860492858808</v>
      </c>
      <c r="AU79" s="30">
        <f t="shared" ref="AU79" si="1102">IF(AU78&gt;0,AU78+AT79,IF(AT79&gt;1,AT79-AT80,0))</f>
        <v>945.4883744049007</v>
      </c>
      <c r="AV79" s="30">
        <f t="shared" ref="AV79" si="1103">IF(AV78&gt;0,AV78+AU79,IF(AU79&gt;1,AU79-AU80,0))</f>
        <v>756.3906995239206</v>
      </c>
      <c r="AW79" s="30">
        <f t="shared" ref="AW79" si="1104">IF(AW78&gt;0,AW78+AV79,IF(AV79&gt;1,AV79-AV80,0))</f>
        <v>567.29302464294051</v>
      </c>
      <c r="AX79" s="30">
        <f t="shared" ref="AX79" si="1105">IF(AX78&gt;0,AX78+AW79,IF(AW79&gt;1,AW79-AW80,0))</f>
        <v>378.19534976196041</v>
      </c>
      <c r="AY79" s="30">
        <f t="shared" ref="AY79" si="1106">IF(AY78&gt;0,AY78+AX79,IF(AX79&gt;1,AX79-AX80,0))</f>
        <v>189.09767488098029</v>
      </c>
      <c r="AZ79" s="60">
        <f t="shared" ref="AZ79" si="1107">IF(AZ78&gt;0,AZ78+AY79,IF(AY79&gt;1,AY79-AY80,0))</f>
        <v>1.7053025658242404E-13</v>
      </c>
      <c r="BA79" s="29">
        <f t="shared" ref="BA79" si="1108">IF(BA78&gt;0,BA78+AZ79,IF(AZ79&gt;1,AZ79-AZ80,0))</f>
        <v>0</v>
      </c>
      <c r="BB79" s="30">
        <f t="shared" ref="BB79" si="1109">IF(BB78&gt;0,BB78+BA79,IF(BA79&gt;1,BA79-BA80,0))</f>
        <v>0</v>
      </c>
      <c r="BC79" s="30">
        <f t="shared" ref="BC79" si="1110">IF(BC78&gt;0,BC78+BB79,IF(BB79&gt;1,BB79-BB80,0))</f>
        <v>0</v>
      </c>
      <c r="BD79" s="30">
        <f t="shared" ref="BD79" si="1111">IF(BD78&gt;0,BD78+BC79,IF(BC79&gt;1,BC79-BC80,0))</f>
        <v>0</v>
      </c>
      <c r="BE79" s="30">
        <f t="shared" ref="BE79" si="1112">IF(BE78&gt;0,BE78+BD79,IF(BD79&gt;1,BD79-BD80,0))</f>
        <v>0</v>
      </c>
      <c r="BF79" s="30">
        <f t="shared" ref="BF79" si="1113">IF(BF78&gt;0,BF78+BE79,IF(BE79&gt;1,BE79-BE80,0))</f>
        <v>1124.8563231645842</v>
      </c>
      <c r="BG79" s="30">
        <f t="shared" ref="BG79" si="1114">IF(BG78&gt;0,BG78+BF79,IF(BF79&gt;1,BF79-BF80,0))</f>
        <v>937.38026930382011</v>
      </c>
      <c r="BH79" s="30">
        <f t="shared" ref="BH79" si="1115">IF(BH78&gt;0,BH78+BG79,IF(BG79&gt;1,BG79-BG80,0))</f>
        <v>749.90421544305605</v>
      </c>
      <c r="BI79" s="30">
        <f t="shared" ref="BI79" si="1116">IF(BI78&gt;0,BI78+BH79,IF(BH79&gt;1,BH79-BH80,0))</f>
        <v>562.42816158229198</v>
      </c>
      <c r="BJ79" s="30">
        <f t="shared" ref="BJ79" si="1117">IF(BJ78&gt;0,BJ78+BI79,IF(BI79&gt;1,BI79-BI80,0))</f>
        <v>374.95210772152791</v>
      </c>
      <c r="BK79" s="30">
        <f t="shared" ref="BK79" si="1118">IF(BK78&gt;0,BK78+BJ79,IF(BJ79&gt;1,BJ79-BJ80,0))</f>
        <v>187.47605386076387</v>
      </c>
      <c r="BL79" s="30">
        <f t="shared" ref="BL79" si="1119">IF(BL78&gt;0,BL78+BK79,IF(BK79&gt;1,BK79-BK80,0))</f>
        <v>1056.1670735780554</v>
      </c>
      <c r="BM79" s="30">
        <f t="shared" ref="BM79" si="1120">IF(BM78&gt;0,BM78+BL79,IF(BL79&gt;1,BL79-BL80,0))</f>
        <v>880.13922798171279</v>
      </c>
      <c r="BN79" s="30">
        <f t="shared" ref="BN79" si="1121">IF(BN78&gt;0,BN78+BM79,IF(BM79&gt;1,BM79-BM80,0))</f>
        <v>704.11138238537023</v>
      </c>
      <c r="BO79" s="30">
        <f t="shared" ref="BO79" si="1122">IF(BO78&gt;0,BO78+BN79,IF(BN79&gt;1,BN79-BN80,0))</f>
        <v>528.08353678902768</v>
      </c>
      <c r="BP79" s="30">
        <f t="shared" ref="BP79" si="1123">IF(BP78&gt;0,BP78+BO79,IF(BO79&gt;1,BO79-BO80,0))</f>
        <v>352.05569119268512</v>
      </c>
      <c r="BQ79" s="30">
        <f t="shared" ref="BQ79" si="1124">IF(BQ78&gt;0,BQ78+BP79,IF(BP79&gt;1,BP79-BP80,0))</f>
        <v>176.02784559634256</v>
      </c>
      <c r="BR79" s="30">
        <f t="shared" ref="BR79" si="1125">IF(BR78&gt;0,BR78+BQ79,IF(BQ79&gt;1,BQ79-BQ80,0))</f>
        <v>1121.5684563478223</v>
      </c>
      <c r="BS79" s="30">
        <f t="shared" ref="BS79" si="1126">IF(BS78&gt;0,BS78+BR79,IF(BR79&gt;1,BR79-BR80,0))</f>
        <v>934.64038028985192</v>
      </c>
      <c r="BT79" s="30">
        <f t="shared" ref="BT79" si="1127">IF(BT78&gt;0,BT78+BS79,IF(BS79&gt;1,BS79-BS80,0))</f>
        <v>747.71230423188149</v>
      </c>
      <c r="BU79" s="30">
        <f t="shared" ref="BU79" si="1128">IF(BU78&gt;0,BU78+BT79,IF(BT79&gt;1,BT79-BT80,0))</f>
        <v>560.78422817391106</v>
      </c>
      <c r="BV79" s="30">
        <f t="shared" ref="BV79" si="1129">IF(BV78&gt;0,BV78+BU79,IF(BU79&gt;1,BU79-BU80,0))</f>
        <v>373.85615211594063</v>
      </c>
      <c r="BW79" s="30">
        <f t="shared" ref="BW79" si="1130">IF(BW78&gt;0,BW78+BV79,IF(BV79&gt;1,BV79-BV80,0))</f>
        <v>186.92807605797023</v>
      </c>
      <c r="BX79" s="60">
        <f t="shared" ref="BX79" si="1131">IF(BX78&gt;0,BX78+BW79,IF(BW79&gt;1,BW79-BW80,0))</f>
        <v>-1.7053025658242404E-13</v>
      </c>
      <c r="BY79" s="29">
        <f t="shared" ref="BY79" si="1132">IF(BY78&gt;0,BY78+BX79,IF(BX79&gt;1,BX79-BX80,0))</f>
        <v>0</v>
      </c>
      <c r="BZ79" s="30">
        <f t="shared" ref="BZ79" si="1133">IF(BZ78&gt;0,BZ78+BY79,IF(BY79&gt;1,BY79-BY80,0))</f>
        <v>0</v>
      </c>
      <c r="CA79" s="30">
        <f t="shared" ref="CA79" si="1134">IF(CA78&gt;0,CA78+BZ79,IF(BZ79&gt;1,BZ79-BZ80,0))</f>
        <v>0</v>
      </c>
      <c r="CB79" s="30">
        <f t="shared" ref="CB79" si="1135">IF(CB78&gt;0,CB78+CA79,IF(CA79&gt;1,CA79-CA80,0))</f>
        <v>0</v>
      </c>
      <c r="CC79" s="30">
        <f t="shared" ref="CC79" si="1136">IF(CC78&gt;0,CC78+CB79,IF(CB79&gt;1,CB79-CB80,0))</f>
        <v>0</v>
      </c>
      <c r="CD79" s="30">
        <f t="shared" ref="CD79" si="1137">IF(CD78&gt;0,CD78+CC79,IF(CC79&gt;1,CC79-CC80,0))</f>
        <v>1253.9485502157793</v>
      </c>
      <c r="CE79" s="30">
        <f t="shared" ref="CE79" si="1138">IF(CE78&gt;0,CE78+CD79,IF(CD79&gt;1,CD79-CD80,0))</f>
        <v>1044.9571251798161</v>
      </c>
      <c r="CF79" s="30">
        <f t="shared" ref="CF79" si="1139">IF(CF78&gt;0,CF78+CE79,IF(CE79&gt;1,CE79-CE80,0))</f>
        <v>835.96570014385293</v>
      </c>
      <c r="CG79" s="30">
        <f t="shared" ref="CG79" si="1140">IF(CG78&gt;0,CG78+CF79,IF(CF79&gt;1,CF79-CF80,0))</f>
        <v>626.97427510788975</v>
      </c>
      <c r="CH79" s="30">
        <f t="shared" ref="CH79" si="1141">IF(CH78&gt;0,CH78+CG79,IF(CG79&gt;1,CG79-CG80,0))</f>
        <v>417.98285007192658</v>
      </c>
      <c r="CI79" s="30">
        <f t="shared" ref="CI79" si="1142">IF(CI78&gt;0,CI78+CH79,IF(CH79&gt;1,CH79-CH80,0))</f>
        <v>208.99142503596337</v>
      </c>
      <c r="CJ79" s="30">
        <f t="shared" ref="CJ79" si="1143">IF(CJ78&gt;0,CJ78+CI79,IF(CI79&gt;1,CI79-CI80,0))</f>
        <v>1038.9547766378969</v>
      </c>
      <c r="CK79" s="30">
        <f t="shared" ref="CK79" si="1144">IF(CK78&gt;0,CK78+CJ79,IF(CJ79&gt;1,CJ79-CJ80,0))</f>
        <v>865.79564719824737</v>
      </c>
      <c r="CL79" s="30">
        <f t="shared" ref="CL79" si="1145">IF(CL78&gt;0,CL78+CK79,IF(CK79&gt;1,CK79-CK80,0))</f>
        <v>692.63651775859785</v>
      </c>
      <c r="CM79" s="30">
        <f t="shared" ref="CM79" si="1146">IF(CM78&gt;0,CM78+CL79,IF(CL79&gt;1,CL79-CL80,0))</f>
        <v>519.47738831894833</v>
      </c>
      <c r="CN79" s="30">
        <f t="shared" ref="CN79" si="1147">IF(CN78&gt;0,CN78+CM79,IF(CM79&gt;1,CM79-CM80,0))</f>
        <v>346.31825887929881</v>
      </c>
      <c r="CO79" s="30">
        <f t="shared" ref="CO79" si="1148">IF(CO78&gt;0,CO78+CN79,IF(CN79&gt;1,CN79-CN80,0))</f>
        <v>173.15912943964932</v>
      </c>
      <c r="CP79" s="30">
        <f t="shared" ref="CP79" si="1149">IF(CP78&gt;0,CP78+CO79,IF(CO79&gt;1,CO79-CO80,0))</f>
        <v>1130.3180406257368</v>
      </c>
      <c r="CQ79" s="30">
        <f t="shared" ref="CQ79" si="1150">IF(CQ78&gt;0,CQ78+CP79,IF(CP79&gt;1,CP79-CP80,0))</f>
        <v>941.93170052144728</v>
      </c>
      <c r="CR79" s="30">
        <f t="shared" ref="CR79" si="1151">IF(CR78&gt;0,CR78+CQ79,IF(CQ79&gt;1,CQ79-CQ80,0))</f>
        <v>753.54536041715778</v>
      </c>
      <c r="CS79" s="30">
        <f t="shared" ref="CS79" si="1152">IF(CS78&gt;0,CS78+CR79,IF(CR79&gt;1,CR79-CR80,0))</f>
        <v>565.15902031286828</v>
      </c>
      <c r="CT79" s="30">
        <f t="shared" ref="CT79" si="1153">IF(CT78&gt;0,CT78+CS79,IF(CS79&gt;1,CS79-CS80,0))</f>
        <v>376.77268020857878</v>
      </c>
      <c r="CU79" s="30">
        <f t="shared" ref="CU79" si="1154">IF(CU78&gt;0,CU78+CT79,IF(CT79&gt;1,CT79-CT80,0))</f>
        <v>188.3863401042893</v>
      </c>
      <c r="CV79" s="60">
        <f t="shared" ref="CV79" si="1155">IF(CV78&gt;0,CV78+CU79,IF(CU79&gt;1,CU79-CU80,0))</f>
        <v>-1.7053025658242404E-13</v>
      </c>
      <c r="CW79" s="29">
        <f t="shared" ref="CW79" si="1156">IF(CW78&gt;0,CW78+CV79,IF(CV79&gt;1,CV79-CV80,0))</f>
        <v>0</v>
      </c>
      <c r="CX79" s="30">
        <f t="shared" ref="CX79" si="1157">IF(CX78&gt;0,CX78+CW79,IF(CW79&gt;1,CW79-CW80,0))</f>
        <v>0</v>
      </c>
      <c r="CY79" s="30">
        <f t="shared" ref="CY79" si="1158">IF(CY78&gt;0,CY78+CX79,IF(CX79&gt;1,CX79-CX80,0))</f>
        <v>0</v>
      </c>
      <c r="CZ79" s="30">
        <f t="shared" ref="CZ79" si="1159">IF(CZ78&gt;0,CZ78+CY79,IF(CY79&gt;1,CY79-CY80,0))</f>
        <v>0</v>
      </c>
      <c r="DA79" s="30">
        <f t="shared" ref="DA79" si="1160">IF(DA78&gt;0,DA78+CZ79,IF(CZ79&gt;1,CZ79-CZ80,0))</f>
        <v>0</v>
      </c>
      <c r="DB79" s="30">
        <f t="shared" ref="DB79" si="1161">IF(DB78&gt;0,DB78+DA79,IF(DA79&gt;1,DA79-DA80,0))</f>
        <v>1246.9775699550153</v>
      </c>
      <c r="DC79" s="30">
        <f t="shared" ref="DC79" si="1162">IF(DC78&gt;0,DC78+DB79,IF(DB79&gt;1,DB79-DB80,0))</f>
        <v>1039.1479749625128</v>
      </c>
      <c r="DD79" s="30">
        <f t="shared" ref="DD79" si="1163">IF(DD78&gt;0,DD78+DC79,IF(DC79&gt;1,DC79-DC80,0))</f>
        <v>831.31837997001026</v>
      </c>
      <c r="DE79" s="30">
        <f t="shared" ref="DE79" si="1164">IF(DE78&gt;0,DE78+DD79,IF(DD79&gt;1,DD79-DD80,0))</f>
        <v>623.48878497750775</v>
      </c>
      <c r="DF79" s="30">
        <f t="shared" ref="DF79" si="1165">IF(DF78&gt;0,DF78+DE79,IF(DE79&gt;1,DE79-DE80,0))</f>
        <v>415.65918998500524</v>
      </c>
      <c r="DG79" s="30">
        <f t="shared" ref="DG79" si="1166">IF(DG78&gt;0,DG78+DF79,IF(DF79&gt;1,DF79-DF80,0))</f>
        <v>207.82959499250271</v>
      </c>
      <c r="DH79" s="30">
        <f t="shared" ref="DH79" si="1167">IF(DH78&gt;0,DH78+DG79,IF(DG79&gt;1,DG79-DG80,0))</f>
        <v>1039.8842406726653</v>
      </c>
      <c r="DI79" s="30">
        <f t="shared" ref="DI79" si="1168">IF(DI78&gt;0,DI78+DH79,IF(DH79&gt;1,DH79-DH80,0))</f>
        <v>866.57020056055444</v>
      </c>
      <c r="DJ79" s="30">
        <f t="shared" ref="DJ79" si="1169">IF(DJ78&gt;0,DJ78+DI79,IF(DI79&gt;1,DI79-DI80,0))</f>
        <v>693.25616044844355</v>
      </c>
      <c r="DK79" s="30">
        <f t="shared" ref="DK79" si="1170">IF(DK78&gt;0,DK78+DJ79,IF(DJ79&gt;1,DJ79-DJ80,0))</f>
        <v>519.94212033633266</v>
      </c>
      <c r="DL79" s="30">
        <f t="shared" ref="DL79" si="1171">IF(DL78&gt;0,DL78+DK79,IF(DK79&gt;1,DK79-DK80,0))</f>
        <v>346.62808022422178</v>
      </c>
      <c r="DM79" s="30">
        <f t="shared" ref="DM79" si="1172">IF(DM78&gt;0,DM78+DL79,IF(DL79&gt;1,DL79-DL80,0))</f>
        <v>173.31404011211089</v>
      </c>
      <c r="DN79" s="30">
        <f t="shared" ref="DN79" si="1173">IF(DN78&gt;0,DN78+DM79,IF(DM79&gt;1,DM79-DM80,0))</f>
        <v>1129.8455630747292</v>
      </c>
      <c r="DO79" s="30">
        <f t="shared" ref="DO79" si="1174">IF(DO78&gt;0,DO78+DN79,IF(DN79&gt;1,DN79-DN80,0))</f>
        <v>941.53796922894094</v>
      </c>
      <c r="DP79" s="30">
        <f t="shared" ref="DP79" si="1175">IF(DP78&gt;0,DP78+DO79,IF(DO79&gt;1,DO79-DO80,0))</f>
        <v>753.2303753831527</v>
      </c>
      <c r="DQ79" s="30">
        <f t="shared" ref="DQ79" si="1176">IF(DQ78&gt;0,DQ78+DP79,IF(DP79&gt;1,DP79-DP80,0))</f>
        <v>564.92278153736447</v>
      </c>
      <c r="DR79" s="30">
        <f t="shared" ref="DR79" si="1177">IF(DR78&gt;0,DR78+DQ79,IF(DQ79&gt;1,DQ79-DQ80,0))</f>
        <v>376.61518769157624</v>
      </c>
      <c r="DS79" s="30">
        <f t="shared" ref="DS79" si="1178">IF(DS78&gt;0,DS78+DR79,IF(DR79&gt;1,DR79-DR80,0))</f>
        <v>188.30759384578803</v>
      </c>
      <c r="DT79" s="60">
        <f t="shared" ref="DT79" si="1179">IF(DT78&gt;0,DT78+DS79,IF(DS79&gt;1,DS79-DS80,0))</f>
        <v>-1.7053025658242404E-13</v>
      </c>
    </row>
    <row r="80" spans="2:124" x14ac:dyDescent="0.25">
      <c r="B80" s="3" t="s">
        <v>54</v>
      </c>
      <c r="D80" s="100">
        <f>D79/6</f>
        <v>258.77833333333336</v>
      </c>
      <c r="E80" s="30">
        <f>IF(E41="B",IF(E78&gt;0,(E78+D79)/6,IF(E79&gt;0,D80,0)),IF(E78&gt;0,(E78+D79)/12,IF(E79&gt;0,D80,0)))</f>
        <v>258.77833333333336</v>
      </c>
      <c r="F80" s="30">
        <f t="shared" ref="F80:AI80" si="1180">IF(F41="B",IF(F78&gt;0,(F78+E79)/6,IF(F79&gt;0,E80,0)),IF(F78&gt;0,(F78+E79)/12,IF(F79&gt;0,E80,0)))</f>
        <v>258.77833333333336</v>
      </c>
      <c r="G80" s="30">
        <f t="shared" si="1180"/>
        <v>258.77833333333336</v>
      </c>
      <c r="H80" s="30">
        <f>IF(H41="B",IF(H78&gt;0,(H78+G79)/6,IF(H79&gt;0,G80,0)),IF(H78&gt;0,(H78+G79)/12,IF(H79&gt;0,G80,0)))</f>
        <v>258.77833333333336</v>
      </c>
      <c r="I80" s="30">
        <f t="shared" si="1180"/>
        <v>258.77833333333336</v>
      </c>
      <c r="J80" s="30">
        <f t="shared" si="1180"/>
        <v>355.52951388888897</v>
      </c>
      <c r="K80" s="30">
        <f t="shared" si="1180"/>
        <v>355.52951388888897</v>
      </c>
      <c r="L80" s="30">
        <f t="shared" si="1180"/>
        <v>355.52951388888897</v>
      </c>
      <c r="M80" s="30">
        <f t="shared" si="1180"/>
        <v>355.52951388888897</v>
      </c>
      <c r="N80" s="30">
        <f t="shared" si="1180"/>
        <v>355.52951388888897</v>
      </c>
      <c r="O80" s="30">
        <f t="shared" si="1180"/>
        <v>355.52951388888897</v>
      </c>
      <c r="P80" s="30">
        <f t="shared" si="1180"/>
        <v>355.52951388888897</v>
      </c>
      <c r="Q80" s="30">
        <f t="shared" si="1180"/>
        <v>144.73194791666688</v>
      </c>
      <c r="R80" s="30">
        <f t="shared" si="1180"/>
        <v>144.73194791666688</v>
      </c>
      <c r="S80" s="30">
        <f t="shared" si="1180"/>
        <v>144.73194791666688</v>
      </c>
      <c r="T80" s="30">
        <f t="shared" si="1180"/>
        <v>144.73194791666688</v>
      </c>
      <c r="U80" s="30">
        <f t="shared" si="1180"/>
        <v>144.73194791666688</v>
      </c>
      <c r="V80" s="30">
        <f t="shared" si="1180"/>
        <v>188.34224565972235</v>
      </c>
      <c r="W80" s="30">
        <f t="shared" si="1180"/>
        <v>188.34224565972235</v>
      </c>
      <c r="X80" s="30">
        <f t="shared" si="1180"/>
        <v>188.34224565972235</v>
      </c>
      <c r="Y80" s="30">
        <f t="shared" si="1180"/>
        <v>188.34224565972235</v>
      </c>
      <c r="Z80" s="30">
        <f t="shared" si="1180"/>
        <v>188.34224565972235</v>
      </c>
      <c r="AA80" s="30">
        <f t="shared" si="1180"/>
        <v>188.34224565972235</v>
      </c>
      <c r="AB80" s="60">
        <f t="shared" si="1180"/>
        <v>0</v>
      </c>
      <c r="AC80" s="30">
        <f t="shared" si="1180"/>
        <v>0</v>
      </c>
      <c r="AD80" s="30">
        <f t="shared" si="1180"/>
        <v>0</v>
      </c>
      <c r="AE80" s="30">
        <f t="shared" si="1180"/>
        <v>0</v>
      </c>
      <c r="AF80" s="30">
        <f t="shared" si="1180"/>
        <v>0</v>
      </c>
      <c r="AG80" s="30">
        <f t="shared" si="1180"/>
        <v>0</v>
      </c>
      <c r="AH80" s="30">
        <f t="shared" si="1180"/>
        <v>219.48652829861132</v>
      </c>
      <c r="AI80" s="30">
        <f t="shared" si="1180"/>
        <v>219.48652829861132</v>
      </c>
      <c r="AJ80" s="30">
        <f t="shared" ref="AJ80:BO80" si="1181">IF(AJ41="B",IF(AJ78&gt;0,(AJ78+AI79)/6,IF(AJ79&gt;0,AI80,0)),IF(AJ78&gt;0,(AJ78+AI79)/12,IF(AJ79&gt;0,AI80,0)))</f>
        <v>219.48652829861132</v>
      </c>
      <c r="AK80" s="30">
        <f t="shared" si="1181"/>
        <v>219.48652829861132</v>
      </c>
      <c r="AL80" s="30">
        <f t="shared" si="1181"/>
        <v>219.48652829861132</v>
      </c>
      <c r="AM80" s="30">
        <f t="shared" si="1181"/>
        <v>219.48652829861132</v>
      </c>
      <c r="AN80" s="30">
        <f t="shared" si="1181"/>
        <v>171.75978233796289</v>
      </c>
      <c r="AO80" s="30">
        <f t="shared" si="1181"/>
        <v>171.75978233796289</v>
      </c>
      <c r="AP80" s="30">
        <f t="shared" si="1181"/>
        <v>171.75978233796289</v>
      </c>
      <c r="AQ80" s="30">
        <f t="shared" si="1181"/>
        <v>171.75978233796289</v>
      </c>
      <c r="AR80" s="30">
        <f t="shared" si="1181"/>
        <v>171.75978233796289</v>
      </c>
      <c r="AS80" s="30">
        <f t="shared" si="1181"/>
        <v>171.75978233796289</v>
      </c>
      <c r="AT80" s="30">
        <f t="shared" si="1181"/>
        <v>189.09767488098012</v>
      </c>
      <c r="AU80" s="30">
        <f t="shared" si="1181"/>
        <v>189.09767488098012</v>
      </c>
      <c r="AV80" s="30">
        <f t="shared" si="1181"/>
        <v>189.09767488098012</v>
      </c>
      <c r="AW80" s="30">
        <f t="shared" si="1181"/>
        <v>189.09767488098012</v>
      </c>
      <c r="AX80" s="30">
        <f t="shared" si="1181"/>
        <v>189.09767488098012</v>
      </c>
      <c r="AY80" s="30">
        <f t="shared" si="1181"/>
        <v>189.09767488098012</v>
      </c>
      <c r="AZ80" s="60">
        <f t="shared" si="1181"/>
        <v>189.09767488098012</v>
      </c>
      <c r="BA80" s="29">
        <f t="shared" si="1181"/>
        <v>0</v>
      </c>
      <c r="BB80" s="30">
        <f t="shared" si="1181"/>
        <v>0</v>
      </c>
      <c r="BC80" s="30">
        <f t="shared" si="1181"/>
        <v>0</v>
      </c>
      <c r="BD80" s="30">
        <f t="shared" si="1181"/>
        <v>0</v>
      </c>
      <c r="BE80" s="30">
        <f t="shared" si="1181"/>
        <v>0</v>
      </c>
      <c r="BF80" s="30">
        <f t="shared" si="1181"/>
        <v>187.47605386076404</v>
      </c>
      <c r="BG80" s="30">
        <f t="shared" si="1181"/>
        <v>187.47605386076404</v>
      </c>
      <c r="BH80" s="30">
        <f t="shared" si="1181"/>
        <v>187.47605386076404</v>
      </c>
      <c r="BI80" s="30">
        <f t="shared" si="1181"/>
        <v>187.47605386076404</v>
      </c>
      <c r="BJ80" s="30">
        <f t="shared" si="1181"/>
        <v>187.47605386076404</v>
      </c>
      <c r="BK80" s="30">
        <f t="shared" si="1181"/>
        <v>187.47605386076404</v>
      </c>
      <c r="BL80" s="30">
        <f t="shared" si="1181"/>
        <v>176.02784559634256</v>
      </c>
      <c r="BM80" s="30">
        <f t="shared" si="1181"/>
        <v>176.02784559634256</v>
      </c>
      <c r="BN80" s="30">
        <f t="shared" si="1181"/>
        <v>176.02784559634256</v>
      </c>
      <c r="BO80" s="30">
        <f t="shared" si="1181"/>
        <v>176.02784559634256</v>
      </c>
      <c r="BP80" s="30">
        <f t="shared" ref="BP80:CU80" si="1182">IF(BP41="B",IF(BP78&gt;0,(BP78+BO79)/6,IF(BP79&gt;0,BO80,0)),IF(BP78&gt;0,(BP78+BO79)/12,IF(BP79&gt;0,BO80,0)))</f>
        <v>176.02784559634256</v>
      </c>
      <c r="BQ80" s="30">
        <f t="shared" si="1182"/>
        <v>176.02784559634256</v>
      </c>
      <c r="BR80" s="30">
        <f t="shared" si="1182"/>
        <v>186.9280760579704</v>
      </c>
      <c r="BS80" s="30">
        <f t="shared" si="1182"/>
        <v>186.9280760579704</v>
      </c>
      <c r="BT80" s="30">
        <f t="shared" si="1182"/>
        <v>186.9280760579704</v>
      </c>
      <c r="BU80" s="30">
        <f t="shared" si="1182"/>
        <v>186.9280760579704</v>
      </c>
      <c r="BV80" s="30">
        <f t="shared" si="1182"/>
        <v>186.9280760579704</v>
      </c>
      <c r="BW80" s="30">
        <f t="shared" si="1182"/>
        <v>186.9280760579704</v>
      </c>
      <c r="BX80" s="60">
        <f t="shared" si="1182"/>
        <v>0</v>
      </c>
      <c r="BY80" s="29">
        <f t="shared" si="1182"/>
        <v>0</v>
      </c>
      <c r="BZ80" s="30">
        <f t="shared" si="1182"/>
        <v>0</v>
      </c>
      <c r="CA80" s="30">
        <f t="shared" si="1182"/>
        <v>0</v>
      </c>
      <c r="CB80" s="30">
        <f t="shared" si="1182"/>
        <v>0</v>
      </c>
      <c r="CC80" s="30">
        <f t="shared" si="1182"/>
        <v>0</v>
      </c>
      <c r="CD80" s="30">
        <f t="shared" si="1182"/>
        <v>208.9914250359632</v>
      </c>
      <c r="CE80" s="30">
        <f t="shared" si="1182"/>
        <v>208.9914250359632</v>
      </c>
      <c r="CF80" s="30">
        <f t="shared" si="1182"/>
        <v>208.9914250359632</v>
      </c>
      <c r="CG80" s="30">
        <f t="shared" si="1182"/>
        <v>208.9914250359632</v>
      </c>
      <c r="CH80" s="30">
        <f t="shared" si="1182"/>
        <v>208.9914250359632</v>
      </c>
      <c r="CI80" s="30">
        <f t="shared" si="1182"/>
        <v>208.9914250359632</v>
      </c>
      <c r="CJ80" s="30">
        <f t="shared" si="1182"/>
        <v>173.15912943964949</v>
      </c>
      <c r="CK80" s="30">
        <f t="shared" si="1182"/>
        <v>173.15912943964949</v>
      </c>
      <c r="CL80" s="30">
        <f t="shared" si="1182"/>
        <v>173.15912943964949</v>
      </c>
      <c r="CM80" s="30">
        <f t="shared" si="1182"/>
        <v>173.15912943964949</v>
      </c>
      <c r="CN80" s="30">
        <f t="shared" si="1182"/>
        <v>173.15912943964949</v>
      </c>
      <c r="CO80" s="30">
        <f t="shared" si="1182"/>
        <v>173.15912943964949</v>
      </c>
      <c r="CP80" s="30">
        <f t="shared" si="1182"/>
        <v>188.38634010428947</v>
      </c>
      <c r="CQ80" s="30">
        <f t="shared" si="1182"/>
        <v>188.38634010428947</v>
      </c>
      <c r="CR80" s="30">
        <f t="shared" si="1182"/>
        <v>188.38634010428947</v>
      </c>
      <c r="CS80" s="30">
        <f t="shared" si="1182"/>
        <v>188.38634010428947</v>
      </c>
      <c r="CT80" s="30">
        <f t="shared" si="1182"/>
        <v>188.38634010428947</v>
      </c>
      <c r="CU80" s="30">
        <f t="shared" si="1182"/>
        <v>188.38634010428947</v>
      </c>
      <c r="CV80" s="60">
        <f t="shared" ref="CV80:DT80" si="1183">IF(CV41="B",IF(CV78&gt;0,(CV78+CU79)/6,IF(CV79&gt;0,CU80,0)),IF(CV78&gt;0,(CV78+CU79)/12,IF(CV79&gt;0,CU80,0)))</f>
        <v>0</v>
      </c>
      <c r="CW80" s="29">
        <f t="shared" si="1183"/>
        <v>0</v>
      </c>
      <c r="CX80" s="30">
        <f t="shared" si="1183"/>
        <v>0</v>
      </c>
      <c r="CY80" s="30">
        <f t="shared" si="1183"/>
        <v>0</v>
      </c>
      <c r="CZ80" s="30">
        <f t="shared" si="1183"/>
        <v>0</v>
      </c>
      <c r="DA80" s="30">
        <f t="shared" si="1183"/>
        <v>0</v>
      </c>
      <c r="DB80" s="30">
        <f t="shared" si="1183"/>
        <v>207.82959499250254</v>
      </c>
      <c r="DC80" s="30">
        <f t="shared" si="1183"/>
        <v>207.82959499250254</v>
      </c>
      <c r="DD80" s="30">
        <f t="shared" si="1183"/>
        <v>207.82959499250254</v>
      </c>
      <c r="DE80" s="30">
        <f t="shared" si="1183"/>
        <v>207.82959499250254</v>
      </c>
      <c r="DF80" s="30">
        <f t="shared" si="1183"/>
        <v>207.82959499250254</v>
      </c>
      <c r="DG80" s="30">
        <f t="shared" si="1183"/>
        <v>207.82959499250254</v>
      </c>
      <c r="DH80" s="30">
        <f t="shared" si="1183"/>
        <v>173.31404011211089</v>
      </c>
      <c r="DI80" s="30">
        <f t="shared" si="1183"/>
        <v>173.31404011211089</v>
      </c>
      <c r="DJ80" s="30">
        <f t="shared" si="1183"/>
        <v>173.31404011211089</v>
      </c>
      <c r="DK80" s="30">
        <f t="shared" si="1183"/>
        <v>173.31404011211089</v>
      </c>
      <c r="DL80" s="30">
        <f t="shared" si="1183"/>
        <v>173.31404011211089</v>
      </c>
      <c r="DM80" s="30">
        <f t="shared" si="1183"/>
        <v>173.31404011211089</v>
      </c>
      <c r="DN80" s="30">
        <f t="shared" si="1183"/>
        <v>188.3075938457882</v>
      </c>
      <c r="DO80" s="30">
        <f t="shared" si="1183"/>
        <v>188.3075938457882</v>
      </c>
      <c r="DP80" s="30">
        <f t="shared" si="1183"/>
        <v>188.3075938457882</v>
      </c>
      <c r="DQ80" s="30">
        <f t="shared" si="1183"/>
        <v>188.3075938457882</v>
      </c>
      <c r="DR80" s="30">
        <f t="shared" si="1183"/>
        <v>188.3075938457882</v>
      </c>
      <c r="DS80" s="30">
        <f t="shared" si="1183"/>
        <v>188.3075938457882</v>
      </c>
      <c r="DT80" s="60">
        <f t="shared" si="1183"/>
        <v>0</v>
      </c>
    </row>
    <row r="81" spans="2:124" x14ac:dyDescent="0.25">
      <c r="B81" s="3" t="s">
        <v>55</v>
      </c>
      <c r="D81" s="100">
        <f t="shared" ref="D81:AI81" si="1184">IF(D41="B",IF(D79&gt;=0,C81+D80/6,IF(C81&lt;=1,0,C81-C82)),IF(D79&gt;=0,C81+D80/12,IF(C81&lt;=1,0,C81-C82)))</f>
        <v>21.564861111111114</v>
      </c>
      <c r="E81" s="30">
        <f t="shared" si="1184"/>
        <v>43.129722222222227</v>
      </c>
      <c r="F81" s="30">
        <f t="shared" si="1184"/>
        <v>64.694583333333341</v>
      </c>
      <c r="G81" s="30">
        <f t="shared" si="1184"/>
        <v>86.259444444444455</v>
      </c>
      <c r="H81" s="30">
        <f t="shared" si="1184"/>
        <v>129.38916666666668</v>
      </c>
      <c r="I81" s="30">
        <f t="shared" si="1184"/>
        <v>172.51888888888891</v>
      </c>
      <c r="J81" s="30">
        <f t="shared" si="1184"/>
        <v>231.7738078703704</v>
      </c>
      <c r="K81" s="30">
        <f t="shared" si="1184"/>
        <v>291.0287268518519</v>
      </c>
      <c r="L81" s="30">
        <f t="shared" si="1184"/>
        <v>350.28364583333337</v>
      </c>
      <c r="M81" s="30">
        <f t="shared" si="1184"/>
        <v>409.53856481481489</v>
      </c>
      <c r="N81" s="30">
        <f t="shared" si="1184"/>
        <v>468.79348379629641</v>
      </c>
      <c r="O81" s="30">
        <f t="shared" si="1184"/>
        <v>528.04840277777794</v>
      </c>
      <c r="P81" s="30">
        <f t="shared" si="1184"/>
        <v>587.30332175925946</v>
      </c>
      <c r="Q81" s="30">
        <f t="shared" si="1184"/>
        <v>611.42531307870399</v>
      </c>
      <c r="R81" s="30">
        <f t="shared" si="1184"/>
        <v>635.54730439814853</v>
      </c>
      <c r="S81" s="30">
        <f t="shared" si="1184"/>
        <v>659.66929571759306</v>
      </c>
      <c r="T81" s="30">
        <f t="shared" si="1184"/>
        <v>683.79128703703759</v>
      </c>
      <c r="U81" s="30">
        <f t="shared" si="1184"/>
        <v>707.91327835648212</v>
      </c>
      <c r="V81" s="30">
        <f t="shared" si="1184"/>
        <v>739.3036526331025</v>
      </c>
      <c r="W81" s="30">
        <f t="shared" si="1184"/>
        <v>770.69402690972288</v>
      </c>
      <c r="X81" s="30">
        <f t="shared" si="1184"/>
        <v>802.08440118634326</v>
      </c>
      <c r="Y81" s="30">
        <f t="shared" si="1184"/>
        <v>833.47477546296363</v>
      </c>
      <c r="Z81" s="30">
        <f t="shared" si="1184"/>
        <v>849.16996260127382</v>
      </c>
      <c r="AA81" s="30">
        <f t="shared" si="1184"/>
        <v>864.86514973958401</v>
      </c>
      <c r="AB81" s="60">
        <f t="shared" si="1184"/>
        <v>606.7813403260036</v>
      </c>
      <c r="AC81" s="30">
        <f t="shared" si="1184"/>
        <v>606.7813403260036</v>
      </c>
      <c r="AD81" s="30">
        <f t="shared" si="1184"/>
        <v>606.7813403260036</v>
      </c>
      <c r="AE81" s="30">
        <f t="shared" si="1184"/>
        <v>606.7813403260036</v>
      </c>
      <c r="AF81" s="30">
        <f t="shared" si="1184"/>
        <v>606.7813403260036</v>
      </c>
      <c r="AG81" s="30">
        <f t="shared" si="1184"/>
        <v>606.7813403260036</v>
      </c>
      <c r="AH81" s="30">
        <f t="shared" si="1184"/>
        <v>643.3624283757722</v>
      </c>
      <c r="AI81" s="30">
        <f t="shared" si="1184"/>
        <v>679.94351642554079</v>
      </c>
      <c r="AJ81" s="30">
        <f t="shared" ref="AJ81:BO81" si="1185">IF(AJ41="B",IF(AJ79&gt;=0,AI81+AJ80/6,IF(AI81&lt;=1,0,AI81-AI82)),IF(AJ79&gt;=0,AI81+AJ80/12,IF(AI81&lt;=1,0,AI81-AI82)))</f>
        <v>716.52460447530939</v>
      </c>
      <c r="AK81" s="30">
        <f t="shared" si="1185"/>
        <v>753.10569252507798</v>
      </c>
      <c r="AL81" s="30">
        <f t="shared" si="1185"/>
        <v>789.68678057484658</v>
      </c>
      <c r="AM81" s="30">
        <f t="shared" si="1185"/>
        <v>826.26786862461518</v>
      </c>
      <c r="AN81" s="30">
        <f t="shared" si="1185"/>
        <v>854.89449901427565</v>
      </c>
      <c r="AO81" s="30">
        <f t="shared" si="1185"/>
        <v>883.52112940393613</v>
      </c>
      <c r="AP81" s="30">
        <f t="shared" si="1185"/>
        <v>912.14775979359661</v>
      </c>
      <c r="AQ81" s="30">
        <f t="shared" si="1185"/>
        <v>940.77439018325708</v>
      </c>
      <c r="AR81" s="30">
        <f t="shared" si="1185"/>
        <v>969.40102057291756</v>
      </c>
      <c r="AS81" s="30">
        <f t="shared" si="1185"/>
        <v>998.02765096257804</v>
      </c>
      <c r="AT81" s="30">
        <f t="shared" si="1185"/>
        <v>1029.5439301094082</v>
      </c>
      <c r="AU81" s="30">
        <f t="shared" si="1185"/>
        <v>1061.0602092562383</v>
      </c>
      <c r="AV81" s="30">
        <f t="shared" si="1185"/>
        <v>1092.5764884030684</v>
      </c>
      <c r="AW81" s="30">
        <f t="shared" si="1185"/>
        <v>1108.3346279764835</v>
      </c>
      <c r="AX81" s="30">
        <f t="shared" si="1185"/>
        <v>1124.0927675498986</v>
      </c>
      <c r="AY81" s="30">
        <f t="shared" si="1185"/>
        <v>1139.8509071233136</v>
      </c>
      <c r="AZ81" s="60">
        <f t="shared" si="1185"/>
        <v>1155.6090466967287</v>
      </c>
      <c r="BA81" s="30">
        <f t="shared" si="1185"/>
        <v>1155.6090466967287</v>
      </c>
      <c r="BB81" s="30">
        <f t="shared" si="1185"/>
        <v>1155.6090466967287</v>
      </c>
      <c r="BC81" s="30">
        <f t="shared" si="1185"/>
        <v>1155.6090466967287</v>
      </c>
      <c r="BD81" s="30">
        <f t="shared" si="1185"/>
        <v>1155.6090466967287</v>
      </c>
      <c r="BE81" s="30">
        <f t="shared" si="1185"/>
        <v>1155.6090466967287</v>
      </c>
      <c r="BF81" s="30">
        <f t="shared" si="1185"/>
        <v>1186.8550556735227</v>
      </c>
      <c r="BG81" s="30">
        <f t="shared" si="1185"/>
        <v>1218.1010646503166</v>
      </c>
      <c r="BH81" s="30">
        <f t="shared" si="1185"/>
        <v>1249.3470736271106</v>
      </c>
      <c r="BI81" s="30">
        <f t="shared" si="1185"/>
        <v>1280.5930826039046</v>
      </c>
      <c r="BJ81" s="30">
        <f t="shared" si="1185"/>
        <v>1311.8390915806986</v>
      </c>
      <c r="BK81" s="30">
        <f t="shared" si="1185"/>
        <v>1343.0851005574925</v>
      </c>
      <c r="BL81" s="30">
        <f t="shared" si="1185"/>
        <v>1372.4230748235495</v>
      </c>
      <c r="BM81" s="30">
        <f t="shared" si="1185"/>
        <v>1401.7610490896066</v>
      </c>
      <c r="BN81" s="30">
        <f t="shared" si="1185"/>
        <v>1431.0990233556636</v>
      </c>
      <c r="BO81" s="30">
        <f t="shared" si="1185"/>
        <v>1460.4369976217206</v>
      </c>
      <c r="BP81" s="30">
        <f t="shared" ref="BP81:CU81" si="1186">IF(BP41="B",IF(BP79&gt;=0,BO81+BP80/6,IF(BO81&lt;=1,0,BO81-BO82)),IF(BP79&gt;=0,BO81+BP80/12,IF(BO81&lt;=1,0,BO81-BO82)))</f>
        <v>1489.7749718877776</v>
      </c>
      <c r="BQ81" s="30">
        <f t="shared" si="1186"/>
        <v>1519.1129461538346</v>
      </c>
      <c r="BR81" s="30">
        <f t="shared" si="1186"/>
        <v>1550.2676254968296</v>
      </c>
      <c r="BS81" s="30">
        <f t="shared" si="1186"/>
        <v>1581.4223048398246</v>
      </c>
      <c r="BT81" s="30">
        <f t="shared" si="1186"/>
        <v>1612.5769841828196</v>
      </c>
      <c r="BU81" s="30">
        <f t="shared" si="1186"/>
        <v>1643.7316635258146</v>
      </c>
      <c r="BV81" s="30">
        <f t="shared" si="1186"/>
        <v>1659.3090031973122</v>
      </c>
      <c r="BW81" s="30">
        <f t="shared" si="1186"/>
        <v>1674.8863428688098</v>
      </c>
      <c r="BX81" s="60">
        <f t="shared" si="1186"/>
        <v>1264.1107500512574</v>
      </c>
      <c r="BY81" s="30">
        <f t="shared" si="1186"/>
        <v>1264.1107500512574</v>
      </c>
      <c r="BZ81" s="30">
        <f t="shared" si="1186"/>
        <v>1264.1107500512574</v>
      </c>
      <c r="CA81" s="30">
        <f t="shared" si="1186"/>
        <v>1264.1107500512574</v>
      </c>
      <c r="CB81" s="30">
        <f t="shared" si="1186"/>
        <v>1264.1107500512574</v>
      </c>
      <c r="CC81" s="30">
        <f t="shared" si="1186"/>
        <v>1264.1107500512574</v>
      </c>
      <c r="CD81" s="30">
        <f t="shared" si="1186"/>
        <v>1298.942654223918</v>
      </c>
      <c r="CE81" s="30">
        <f t="shared" si="1186"/>
        <v>1333.7745583965786</v>
      </c>
      <c r="CF81" s="30">
        <f t="shared" si="1186"/>
        <v>1368.6064625692393</v>
      </c>
      <c r="CG81" s="30">
        <f t="shared" si="1186"/>
        <v>1403.4383667418999</v>
      </c>
      <c r="CH81" s="30">
        <f t="shared" si="1186"/>
        <v>1438.2702709145606</v>
      </c>
      <c r="CI81" s="30">
        <f t="shared" si="1186"/>
        <v>1473.1021750872212</v>
      </c>
      <c r="CJ81" s="30">
        <f t="shared" si="1186"/>
        <v>1501.9620299938294</v>
      </c>
      <c r="CK81" s="30">
        <f t="shared" si="1186"/>
        <v>1530.8218849004377</v>
      </c>
      <c r="CL81" s="30">
        <f t="shared" si="1186"/>
        <v>1559.6817398070459</v>
      </c>
      <c r="CM81" s="30">
        <f t="shared" si="1186"/>
        <v>1588.5415947136541</v>
      </c>
      <c r="CN81" s="30">
        <f t="shared" si="1186"/>
        <v>1617.4014496202624</v>
      </c>
      <c r="CO81" s="30">
        <f t="shared" si="1186"/>
        <v>1646.2613045268706</v>
      </c>
      <c r="CP81" s="30">
        <f t="shared" si="1186"/>
        <v>1677.6590278775855</v>
      </c>
      <c r="CQ81" s="30">
        <f t="shared" si="1186"/>
        <v>1709.0567512283003</v>
      </c>
      <c r="CR81" s="30">
        <f t="shared" si="1186"/>
        <v>1740.4544745790151</v>
      </c>
      <c r="CS81" s="30">
        <f t="shared" si="1186"/>
        <v>1771.85219792973</v>
      </c>
      <c r="CT81" s="30">
        <f t="shared" si="1186"/>
        <v>1787.5510596050874</v>
      </c>
      <c r="CU81" s="30">
        <f t="shared" si="1186"/>
        <v>1803.2499212804448</v>
      </c>
      <c r="CV81" s="60">
        <f t="shared" ref="CV81:DT81" si="1187">IF(CV41="B",IF(CV79&gt;=0,CU81+CV80/6,IF(CU81&lt;=1,0,CU81-CU82)),IF(CV79&gt;=0,CU81+CV80/12,IF(CU81&lt;=1,0,CU81-CU82)))</f>
        <v>1369.3465519949518</v>
      </c>
      <c r="CW81" s="30">
        <f t="shared" si="1187"/>
        <v>1369.3465519949518</v>
      </c>
      <c r="CX81" s="30">
        <f t="shared" si="1187"/>
        <v>1369.3465519949518</v>
      </c>
      <c r="CY81" s="30">
        <f t="shared" si="1187"/>
        <v>1369.3465519949518</v>
      </c>
      <c r="CZ81" s="30">
        <f t="shared" si="1187"/>
        <v>1369.3465519949518</v>
      </c>
      <c r="DA81" s="30">
        <f t="shared" si="1187"/>
        <v>1369.3465519949518</v>
      </c>
      <c r="DB81" s="30">
        <f t="shared" si="1187"/>
        <v>1403.9848178270356</v>
      </c>
      <c r="DC81" s="30">
        <f t="shared" si="1187"/>
        <v>1438.6230836591194</v>
      </c>
      <c r="DD81" s="30">
        <f t="shared" si="1187"/>
        <v>1473.2613494912032</v>
      </c>
      <c r="DE81" s="30">
        <f t="shared" si="1187"/>
        <v>1507.899615323287</v>
      </c>
      <c r="DF81" s="30">
        <f t="shared" si="1187"/>
        <v>1542.5378811553708</v>
      </c>
      <c r="DG81" s="30">
        <f t="shared" si="1187"/>
        <v>1577.1761469874546</v>
      </c>
      <c r="DH81" s="30">
        <f t="shared" si="1187"/>
        <v>1606.0618203394731</v>
      </c>
      <c r="DI81" s="30">
        <f t="shared" si="1187"/>
        <v>1634.9474936914917</v>
      </c>
      <c r="DJ81" s="30">
        <f t="shared" si="1187"/>
        <v>1663.8331670435102</v>
      </c>
      <c r="DK81" s="30">
        <f t="shared" si="1187"/>
        <v>1692.7188403955288</v>
      </c>
      <c r="DL81" s="30">
        <f t="shared" si="1187"/>
        <v>1721.6045137475473</v>
      </c>
      <c r="DM81" s="30">
        <f t="shared" si="1187"/>
        <v>1750.4901870995659</v>
      </c>
      <c r="DN81" s="30">
        <f t="shared" si="1187"/>
        <v>1781.874786073864</v>
      </c>
      <c r="DO81" s="30">
        <f t="shared" si="1187"/>
        <v>1813.2593850481621</v>
      </c>
      <c r="DP81" s="30">
        <f t="shared" si="1187"/>
        <v>1844.6439840224602</v>
      </c>
      <c r="DQ81" s="30">
        <f t="shared" si="1187"/>
        <v>1876.0285829967584</v>
      </c>
      <c r="DR81" s="30">
        <f t="shared" si="1187"/>
        <v>1891.7208824839074</v>
      </c>
      <c r="DS81" s="30">
        <f t="shared" si="1187"/>
        <v>1907.4131819710565</v>
      </c>
      <c r="DT81" s="60">
        <f t="shared" si="1187"/>
        <v>1456.2428969606924</v>
      </c>
    </row>
    <row r="82" spans="2:124" x14ac:dyDescent="0.25">
      <c r="B82" s="3" t="s">
        <v>56</v>
      </c>
      <c r="D82" s="100">
        <f t="shared" ref="D82:AI82" si="1188">IF(D41="B",IF(D78&gt;0,(D78+C81)/6,IF(D81&gt;0,C82,0)),IF(D78&gt;0,(D78+C81)/12,IF(D81&gt;0,C82,0)))</f>
        <v>0</v>
      </c>
      <c r="E82" s="30">
        <f t="shared" si="1188"/>
        <v>0</v>
      </c>
      <c r="F82" s="30">
        <f t="shared" si="1188"/>
        <v>0</v>
      </c>
      <c r="G82" s="30">
        <f t="shared" si="1188"/>
        <v>0</v>
      </c>
      <c r="H82" s="30">
        <f t="shared" si="1188"/>
        <v>0</v>
      </c>
      <c r="I82" s="30">
        <f t="shared" si="1188"/>
        <v>0</v>
      </c>
      <c r="J82" s="30">
        <f t="shared" si="1188"/>
        <v>341.15293981481494</v>
      </c>
      <c r="K82" s="30">
        <f t="shared" si="1188"/>
        <v>341.15293981481494</v>
      </c>
      <c r="L82" s="30">
        <f t="shared" si="1188"/>
        <v>341.15293981481494</v>
      </c>
      <c r="M82" s="30">
        <f t="shared" si="1188"/>
        <v>341.15293981481494</v>
      </c>
      <c r="N82" s="30">
        <f t="shared" si="1188"/>
        <v>341.15293981481494</v>
      </c>
      <c r="O82" s="30">
        <f t="shared" si="1188"/>
        <v>341.15293981481494</v>
      </c>
      <c r="P82" s="30">
        <f t="shared" si="1188"/>
        <v>341.15293981481494</v>
      </c>
      <c r="Q82" s="30">
        <f t="shared" si="1188"/>
        <v>242.6158348765434</v>
      </c>
      <c r="R82" s="30">
        <f t="shared" si="1188"/>
        <v>242.6158348765434</v>
      </c>
      <c r="S82" s="30">
        <f t="shared" si="1188"/>
        <v>242.6158348765434</v>
      </c>
      <c r="T82" s="30">
        <f t="shared" si="1188"/>
        <v>242.6158348765434</v>
      </c>
      <c r="U82" s="30">
        <f t="shared" si="1188"/>
        <v>242.6158348765434</v>
      </c>
      <c r="V82" s="30">
        <f t="shared" si="1188"/>
        <v>258.08380941358041</v>
      </c>
      <c r="W82" s="30">
        <f t="shared" si="1188"/>
        <v>258.08380941358041</v>
      </c>
      <c r="X82" s="30">
        <f t="shared" si="1188"/>
        <v>258.08380941358041</v>
      </c>
      <c r="Y82" s="30">
        <f t="shared" si="1188"/>
        <v>258.08380941358041</v>
      </c>
      <c r="Z82" s="30">
        <f t="shared" si="1188"/>
        <v>258.08380941358041</v>
      </c>
      <c r="AA82" s="30">
        <f t="shared" si="1188"/>
        <v>258.08380941358041</v>
      </c>
      <c r="AB82" s="60">
        <f t="shared" si="1188"/>
        <v>258.08380941358041</v>
      </c>
      <c r="AC82" s="30">
        <f t="shared" si="1188"/>
        <v>258.08380941358041</v>
      </c>
      <c r="AD82" s="30">
        <f t="shared" si="1188"/>
        <v>258.08380941358041</v>
      </c>
      <c r="AE82" s="30">
        <f t="shared" si="1188"/>
        <v>258.08380941358041</v>
      </c>
      <c r="AF82" s="30">
        <f t="shared" si="1188"/>
        <v>258.08380941358041</v>
      </c>
      <c r="AG82" s="30">
        <f t="shared" si="1188"/>
        <v>258.08380941358041</v>
      </c>
      <c r="AH82" s="30">
        <f t="shared" si="1188"/>
        <v>320.61675168627858</v>
      </c>
      <c r="AI82" s="30">
        <f t="shared" si="1188"/>
        <v>320.61675168627858</v>
      </c>
      <c r="AJ82" s="30">
        <f t="shared" ref="AJ82:BO82" si="1189">IF(AJ41="B",IF(AJ78&gt;0,(AJ78+AI81)/6,IF(AJ81&gt;0,AI82,0)),IF(AJ78&gt;0,(AJ78+AI81)/12,IF(AJ81&gt;0,AI82,0)))</f>
        <v>320.61675168627858</v>
      </c>
      <c r="AK82" s="30">
        <f t="shared" si="1189"/>
        <v>320.61675168627858</v>
      </c>
      <c r="AL82" s="30">
        <f t="shared" si="1189"/>
        <v>320.61675168627858</v>
      </c>
      <c r="AM82" s="30">
        <f t="shared" si="1189"/>
        <v>320.61675168627858</v>
      </c>
      <c r="AN82" s="30">
        <f t="shared" si="1189"/>
        <v>272.89000572563026</v>
      </c>
      <c r="AO82" s="30">
        <f t="shared" si="1189"/>
        <v>272.89000572563026</v>
      </c>
      <c r="AP82" s="30">
        <f t="shared" si="1189"/>
        <v>272.89000572563026</v>
      </c>
      <c r="AQ82" s="30">
        <f t="shared" si="1189"/>
        <v>272.89000572563026</v>
      </c>
      <c r="AR82" s="30">
        <f t="shared" si="1189"/>
        <v>272.89000572563026</v>
      </c>
      <c r="AS82" s="30">
        <f t="shared" si="1189"/>
        <v>272.89000572563026</v>
      </c>
      <c r="AT82" s="30">
        <f t="shared" si="1189"/>
        <v>326.80898631841598</v>
      </c>
      <c r="AU82" s="30">
        <f t="shared" si="1189"/>
        <v>326.80898631841598</v>
      </c>
      <c r="AV82" s="30">
        <f t="shared" si="1189"/>
        <v>326.80898631841598</v>
      </c>
      <c r="AW82" s="30">
        <f t="shared" si="1189"/>
        <v>326.80898631841598</v>
      </c>
      <c r="AX82" s="30">
        <f t="shared" si="1189"/>
        <v>326.80898631841598</v>
      </c>
      <c r="AY82" s="30">
        <f t="shared" si="1189"/>
        <v>326.80898631841598</v>
      </c>
      <c r="AZ82" s="60">
        <f t="shared" si="1189"/>
        <v>326.80898631841598</v>
      </c>
      <c r="BA82" s="29">
        <f t="shared" si="1189"/>
        <v>326.80898631841598</v>
      </c>
      <c r="BB82" s="30">
        <f t="shared" si="1189"/>
        <v>326.80898631841598</v>
      </c>
      <c r="BC82" s="30">
        <f t="shared" si="1189"/>
        <v>326.80898631841598</v>
      </c>
      <c r="BD82" s="30">
        <f t="shared" si="1189"/>
        <v>326.80898631841598</v>
      </c>
      <c r="BE82" s="30">
        <f t="shared" si="1189"/>
        <v>326.80898631841598</v>
      </c>
      <c r="BF82" s="30">
        <f t="shared" si="1189"/>
        <v>380.07756164355214</v>
      </c>
      <c r="BG82" s="30">
        <f t="shared" si="1189"/>
        <v>380.07756164355214</v>
      </c>
      <c r="BH82" s="30">
        <f t="shared" si="1189"/>
        <v>380.07756164355214</v>
      </c>
      <c r="BI82" s="30">
        <f t="shared" si="1189"/>
        <v>380.07756164355214</v>
      </c>
      <c r="BJ82" s="30">
        <f t="shared" si="1189"/>
        <v>380.07756164355214</v>
      </c>
      <c r="BK82" s="30">
        <f t="shared" si="1189"/>
        <v>380.07756164355214</v>
      </c>
      <c r="BL82" s="30">
        <f t="shared" si="1189"/>
        <v>368.62935337913069</v>
      </c>
      <c r="BM82" s="30">
        <f t="shared" si="1189"/>
        <v>368.62935337913069</v>
      </c>
      <c r="BN82" s="30">
        <f t="shared" si="1189"/>
        <v>368.62935337913069</v>
      </c>
      <c r="BO82" s="30">
        <f t="shared" si="1189"/>
        <v>368.62935337913069</v>
      </c>
      <c r="BP82" s="30">
        <f t="shared" ref="BP82:CU82" si="1190">IF(BP41="B",IF(BP78&gt;0,(BP78+BO81)/6,IF(BP81&gt;0,BO82,0)),IF(BP78&gt;0,(BP78+BO81)/12,IF(BP81&gt;0,BO82,0)))</f>
        <v>368.62935337913069</v>
      </c>
      <c r="BQ82" s="30">
        <f t="shared" si="1190"/>
        <v>368.62935337913069</v>
      </c>
      <c r="BR82" s="30">
        <f t="shared" si="1190"/>
        <v>410.77559281755242</v>
      </c>
      <c r="BS82" s="30">
        <f t="shared" si="1190"/>
        <v>410.77559281755242</v>
      </c>
      <c r="BT82" s="30">
        <f t="shared" si="1190"/>
        <v>410.77559281755242</v>
      </c>
      <c r="BU82" s="30">
        <f t="shared" si="1190"/>
        <v>410.77559281755242</v>
      </c>
      <c r="BV82" s="30">
        <f t="shared" si="1190"/>
        <v>410.77559281755242</v>
      </c>
      <c r="BW82" s="30">
        <f t="shared" si="1190"/>
        <v>410.77559281755242</v>
      </c>
      <c r="BX82" s="60">
        <f t="shared" si="1190"/>
        <v>410.77559281755242</v>
      </c>
      <c r="BY82" s="29">
        <f t="shared" si="1190"/>
        <v>410.77559281755242</v>
      </c>
      <c r="BZ82" s="30">
        <f t="shared" si="1190"/>
        <v>410.77559281755242</v>
      </c>
      <c r="CA82" s="30">
        <f t="shared" si="1190"/>
        <v>410.77559281755242</v>
      </c>
      <c r="CB82" s="30">
        <f t="shared" si="1190"/>
        <v>410.77559281755242</v>
      </c>
      <c r="CC82" s="30">
        <f t="shared" si="1190"/>
        <v>410.77559281755242</v>
      </c>
      <c r="CD82" s="30">
        <f t="shared" si="1190"/>
        <v>419.67655004450609</v>
      </c>
      <c r="CE82" s="30">
        <f t="shared" si="1190"/>
        <v>419.67655004450609</v>
      </c>
      <c r="CF82" s="30">
        <f t="shared" si="1190"/>
        <v>419.67655004450609</v>
      </c>
      <c r="CG82" s="30">
        <f t="shared" si="1190"/>
        <v>419.67655004450609</v>
      </c>
      <c r="CH82" s="30">
        <f t="shared" si="1190"/>
        <v>419.67655004450609</v>
      </c>
      <c r="CI82" s="30">
        <f t="shared" si="1190"/>
        <v>419.67655004450609</v>
      </c>
      <c r="CJ82" s="30">
        <f t="shared" si="1190"/>
        <v>383.84425444819243</v>
      </c>
      <c r="CK82" s="30">
        <f t="shared" si="1190"/>
        <v>383.84425444819243</v>
      </c>
      <c r="CL82" s="30">
        <f t="shared" si="1190"/>
        <v>383.84425444819243</v>
      </c>
      <c r="CM82" s="30">
        <f t="shared" si="1190"/>
        <v>383.84425444819243</v>
      </c>
      <c r="CN82" s="30">
        <f t="shared" si="1190"/>
        <v>383.84425444819243</v>
      </c>
      <c r="CO82" s="30">
        <f t="shared" si="1190"/>
        <v>383.84425444819243</v>
      </c>
      <c r="CP82" s="30">
        <f t="shared" si="1190"/>
        <v>433.903369285493</v>
      </c>
      <c r="CQ82" s="30">
        <f t="shared" si="1190"/>
        <v>433.903369285493</v>
      </c>
      <c r="CR82" s="30">
        <f t="shared" si="1190"/>
        <v>433.903369285493</v>
      </c>
      <c r="CS82" s="30">
        <f t="shared" si="1190"/>
        <v>433.903369285493</v>
      </c>
      <c r="CT82" s="30">
        <f t="shared" si="1190"/>
        <v>433.903369285493</v>
      </c>
      <c r="CU82" s="30">
        <f t="shared" si="1190"/>
        <v>433.903369285493</v>
      </c>
      <c r="CV82" s="60">
        <f t="shared" ref="CV82:DT82" si="1191">IF(CV41="B",IF(CV78&gt;0,(CV78+CU81)/6,IF(CV81&gt;0,CU82,0)),IF(CV78&gt;0,(CV78+CU81)/12,IF(CV81&gt;0,CU82,0)))</f>
        <v>433.903369285493</v>
      </c>
      <c r="CW82" s="29">
        <f t="shared" si="1191"/>
        <v>433.903369285493</v>
      </c>
      <c r="CX82" s="30">
        <f t="shared" si="1191"/>
        <v>433.903369285493</v>
      </c>
      <c r="CY82" s="30">
        <f t="shared" si="1191"/>
        <v>433.903369285493</v>
      </c>
      <c r="CZ82" s="30">
        <f t="shared" si="1191"/>
        <v>433.903369285493</v>
      </c>
      <c r="DA82" s="30">
        <f t="shared" si="1191"/>
        <v>433.903369285493</v>
      </c>
      <c r="DB82" s="30">
        <f t="shared" si="1191"/>
        <v>436.0540203249945</v>
      </c>
      <c r="DC82" s="30">
        <f t="shared" si="1191"/>
        <v>436.0540203249945</v>
      </c>
      <c r="DD82" s="30">
        <f t="shared" si="1191"/>
        <v>436.0540203249945</v>
      </c>
      <c r="DE82" s="30">
        <f t="shared" si="1191"/>
        <v>436.0540203249945</v>
      </c>
      <c r="DF82" s="30">
        <f t="shared" si="1191"/>
        <v>436.0540203249945</v>
      </c>
      <c r="DG82" s="30">
        <f t="shared" si="1191"/>
        <v>436.0540203249945</v>
      </c>
      <c r="DH82" s="30">
        <f t="shared" si="1191"/>
        <v>401.53846544460288</v>
      </c>
      <c r="DI82" s="30">
        <f t="shared" si="1191"/>
        <v>401.53846544460288</v>
      </c>
      <c r="DJ82" s="30">
        <f t="shared" si="1191"/>
        <v>401.53846544460288</v>
      </c>
      <c r="DK82" s="30">
        <f t="shared" si="1191"/>
        <v>401.53846544460288</v>
      </c>
      <c r="DL82" s="30">
        <f t="shared" si="1191"/>
        <v>401.53846544460288</v>
      </c>
      <c r="DM82" s="30">
        <f t="shared" si="1191"/>
        <v>401.53846544460288</v>
      </c>
      <c r="DN82" s="30">
        <f t="shared" si="1191"/>
        <v>451.17028501036401</v>
      </c>
      <c r="DO82" s="30">
        <f t="shared" si="1191"/>
        <v>451.17028501036401</v>
      </c>
      <c r="DP82" s="30">
        <f t="shared" si="1191"/>
        <v>451.17028501036401</v>
      </c>
      <c r="DQ82" s="30">
        <f t="shared" si="1191"/>
        <v>451.17028501036401</v>
      </c>
      <c r="DR82" s="30">
        <f t="shared" si="1191"/>
        <v>451.17028501036401</v>
      </c>
      <c r="DS82" s="30">
        <f t="shared" si="1191"/>
        <v>451.17028501036401</v>
      </c>
      <c r="DT82" s="60">
        <f t="shared" si="1191"/>
        <v>451.17028501036401</v>
      </c>
    </row>
    <row r="83" spans="2:124" x14ac:dyDescent="0.25">
      <c r="B83" s="3" t="s">
        <v>57</v>
      </c>
      <c r="D83" s="100">
        <v>0</v>
      </c>
      <c r="E83" s="30">
        <f t="shared" ref="E83:F83" si="1192">IF(D92="BAB",D84-D85*3,IF(E81&gt;=1,D84+E82,IF(D84&lt;=1,0,D84-D85)))</f>
        <v>0</v>
      </c>
      <c r="F83" s="30">
        <f t="shared" si="1192"/>
        <v>0</v>
      </c>
      <c r="G83" s="30">
        <f t="shared" ref="G83" si="1193">IF(F92="BAB",F84-F85*3,IF(G81&gt;=1,F84+G82,IF(F84&lt;=1,0,F84-F85)))</f>
        <v>0</v>
      </c>
      <c r="H83" s="30">
        <f t="shared" ref="H83" si="1194">IF(G92="BAB",G84-G85*3,IF(H81&gt;=1,G84+H82,IF(G84&lt;=1,0,G84-G85)))</f>
        <v>0</v>
      </c>
      <c r="I83" s="30">
        <f t="shared" ref="I83" si="1195">IF(H92="BAB",H84-H85*3,IF(I81&gt;=1,H84+I82,IF(H84&lt;=1,0,H84-H85)))</f>
        <v>0</v>
      </c>
      <c r="J83" s="30">
        <f t="shared" ref="J83" si="1196">IF(I92="BAB",I84-I85*3,IF(J81&gt;=1,I84+J82,IF(I84&lt;=1,0,I84-I85)))</f>
        <v>341.15293981481494</v>
      </c>
      <c r="K83" s="30">
        <f t="shared" ref="K83" si="1197">IF(J92="BAB",J84-J85*3,IF(K81&gt;=1,J84+K82,IF(J84&lt;=1,0,J84-J85)))</f>
        <v>710.73529128086443</v>
      </c>
      <c r="L83" s="30">
        <f t="shared" ref="L83" si="1198">IF(K92="BAB",K84-K85*3,IF(L81&gt;=1,K84+L82,IF(K84&lt;=1,0,K84-K85)))</f>
        <v>1080.3176427469139</v>
      </c>
      <c r="M83" s="30">
        <f t="shared" ref="M83" si="1199">IF(L92="BAB",L84-L85*3,IF(M81&gt;=1,L84+M82,IF(L84&lt;=1,0,L84-L85)))</f>
        <v>1449.8999942129635</v>
      </c>
      <c r="N83" s="30">
        <f t="shared" ref="N83" si="1200">IF(M92="BAB",M84-M85*3,IF(N81&gt;=1,M84+N82,IF(M84&lt;=1,0,M84-M85)))</f>
        <v>1819.4823456790132</v>
      </c>
      <c r="O83" s="30">
        <f t="shared" ref="O83" si="1201">IF(N92="BAB",N84-N85*3,IF(O81&gt;=1,N84+O82,IF(N84&lt;=1,0,N84-N85)))</f>
        <v>2189.0646971450628</v>
      </c>
      <c r="P83" s="30">
        <f t="shared" ref="P83" si="1202">IF(O92="BAB",O84-O85*3,IF(P81&gt;=1,O84+P82,IF(O84&lt;=1,0,O84-O85)))</f>
        <v>2558.6470486111125</v>
      </c>
      <c r="Q83" s="30">
        <f t="shared" ref="Q83" si="1203">IF(P92="BAB",P84-P85*3,IF(Q81&gt;=1,P84+Q82,IF(P84&lt;=1,0,P84-P85)))</f>
        <v>2829.6922951388906</v>
      </c>
      <c r="R83" s="30">
        <f t="shared" ref="R83" si="1204">IF(Q92="BAB",Q84-Q85*3,IF(R81&gt;=1,Q84+R82,IF(Q84&lt;=1,0,Q84-Q85)))</f>
        <v>3092.526116255146</v>
      </c>
      <c r="S83" s="30">
        <f t="shared" ref="S83" si="1205">IF(R92="BAB",R84-R85*3,IF(S81&gt;=1,R84+S82,IF(R84&lt;=1,0,R84-R85)))</f>
        <v>3355.3599373714014</v>
      </c>
      <c r="T83" s="30">
        <f t="shared" ref="T83" si="1206">IF(S92="BAB",S84-S85*3,IF(T81&gt;=1,S84+T82,IF(S84&lt;=1,0,S84-S85)))</f>
        <v>3618.1937584876569</v>
      </c>
      <c r="U83" s="30">
        <f t="shared" ref="U83" si="1207">IF(T92="BAB",T84-T85*3,IF(U81&gt;=1,T84+U82,IF(T84&lt;=1,0,T84-T85)))</f>
        <v>3881.0275796039123</v>
      </c>
      <c r="V83" s="30">
        <f t="shared" ref="V83" si="1208">IF(U92="BAB",U84-U85*3,IF(V81&gt;=1,U84+V82,IF(U84&lt;=1,0,U84-U85)))</f>
        <v>4159.3293752572044</v>
      </c>
      <c r="W83" s="30">
        <f t="shared" ref="W83" si="1209">IF(V92="BAB",V84-V85*3,IF(W81&gt;=1,V84+W82,IF(V84&lt;=1,0,V84-V85)))</f>
        <v>4438.9201687885834</v>
      </c>
      <c r="X83" s="30">
        <f t="shared" ref="X83" si="1210">IF(W92="BAB",W84-W85*3,IF(X81&gt;=1,W84+X82,IF(W84&lt;=1,0,W84-W85)))</f>
        <v>4718.5109623199623</v>
      </c>
      <c r="Y83" s="30">
        <f t="shared" ref="Y83" si="1211">IF(X92="BAB",X84-X85*3,IF(Y81&gt;=1,X84+Y82,IF(X84&lt;=1,0,X84-X85)))</f>
        <v>4998.1017558513413</v>
      </c>
      <c r="Z83" s="30">
        <f t="shared" ref="Z83" si="1212">IF(Y92="BAB",Y84-Y85*3,IF(Z81&gt;=1,Y84+Z82,IF(Y84&lt;=1,0,Y84-Y85)))</f>
        <v>5277.6925493827202</v>
      </c>
      <c r="AA83" s="30">
        <f t="shared" ref="AA83" si="1213">IF(Z92="BAB",Z84-Z85*3,IF(AA81&gt;=1,Z84+AA82,IF(Z84&lt;=1,0,Z84-Z85)))</f>
        <v>5557.2833429140992</v>
      </c>
      <c r="AB83" s="60">
        <f t="shared" ref="AB83" si="1214">IF(AA92="BAB",AA84-AA85*3,IF(AB81&gt;=1,AA84+AB82,IF(AA84&lt;=1,0,AA84-AA85)))</f>
        <v>5826.1206443865794</v>
      </c>
      <c r="AC83" s="30">
        <f t="shared" ref="AC83" si="1215">IF(AB92="BAB",AB84-AB85*3,IF(AC81&gt;=1,AB84+AC82,IF(AB84&lt;=1,0,AB84-AB85)))</f>
        <v>6094.9579458590597</v>
      </c>
      <c r="AD83" s="30">
        <f t="shared" ref="AD83" si="1216">IF(AC92="BAB",AC84-AC85*3,IF(AD81&gt;=1,AC84+AD82,IF(AC84&lt;=1,0,AC84-AC85)))</f>
        <v>6363.7952473315399</v>
      </c>
      <c r="AE83" s="30">
        <f t="shared" ref="AE83" si="1217">IF(AD92="BAB",AD84-AD85*3,IF(AE81&gt;=1,AD84+AE82,IF(AD84&lt;=1,0,AD84-AD85)))</f>
        <v>6632.6325488040202</v>
      </c>
      <c r="AF83" s="30">
        <f t="shared" ref="AF83" si="1218">IF(AE92="BAB",AE84-AE85*3,IF(AF81&gt;=1,AE84+AF82,IF(AE84&lt;=1,0,AE84-AE85)))</f>
        <v>6901.4698502765004</v>
      </c>
      <c r="AG83" s="30">
        <f t="shared" ref="AG83" si="1219">IF(AF92="BAB",AF84-AF85*3,IF(AG81&gt;=1,AF84+AG82,IF(AF84&lt;=1,0,AF84-AF85)))</f>
        <v>7170.3071517489807</v>
      </c>
      <c r="AH83" s="30">
        <f t="shared" ref="AH83" si="1220">IF(AG92="BAB",AG84-AG85*3,IF(AH81&gt;=1,AG84+AH82,IF(AG84&lt;=1,0,AG84-AG85)))</f>
        <v>7512.4308875530578</v>
      </c>
      <c r="AI83" s="30">
        <f t="shared" ref="AI83" si="1221">IF(AH92="BAB",AH84-AH85*3,IF(AI81&gt;=1,AH84+AI82,IF(AH84&lt;=1,0,AH84-AH85)))</f>
        <v>5277.4042651355066</v>
      </c>
      <c r="AJ83" s="30">
        <f t="shared" ref="AJ83" si="1222">IF(AI92="BAB",AI84-AI85*3,IF(AJ81&gt;=1,AI84+AJ82,IF(AI84&lt;=1,0,AI84-AI85)))</f>
        <v>347.33481432680179</v>
      </c>
      <c r="AK83" s="30">
        <f t="shared" ref="AK83" si="1223">IF(AJ92="BAB",AJ84-AJ85*3,IF(AK81&gt;=1,AJ84+AK82,IF(AJ84&lt;=1,0,AJ84-AJ85)))</f>
        <v>694.66962865360358</v>
      </c>
      <c r="AL83" s="30">
        <f t="shared" ref="AL83" si="1224">IF(AK92="BAB",AK84-AK85*3,IF(AL81&gt;=1,AK84+AL82,IF(AK84&lt;=1,0,AK84-AK85)))</f>
        <v>1042.0044429804054</v>
      </c>
      <c r="AM83" s="30">
        <f t="shared" ref="AM83" si="1225">IF(AL92="BAB",AL84-AL85*3,IF(AM81&gt;=1,AL84+AM82,IF(AL84&lt;=1,0,AL84-AL85)))</f>
        <v>1389.3392573072072</v>
      </c>
      <c r="AN83" s="30">
        <f t="shared" ref="AN83" si="1226">IF(AM92="BAB",AM84-AM85*3,IF(AN81&gt;=1,AM84+AN82,IF(AM84&lt;=1,0,AM84-AM85)))</f>
        <v>1688.9473256733606</v>
      </c>
      <c r="AO83" s="30">
        <f t="shared" ref="AO83" si="1227">IF(AN92="BAB",AN84-AN85*3,IF(AO81&gt;=1,AN84+AO82,IF(AN84&lt;=1,0,AN84-AN85)))</f>
        <v>1984.5781652094602</v>
      </c>
      <c r="AP83" s="30">
        <f t="shared" ref="AP83" si="1228">IF(AO92="BAB",AO84-AO85*3,IF(AP81&gt;=1,AO84+AP82,IF(AO84&lt;=1,0,AO84-AO85)))</f>
        <v>2280.2090047455595</v>
      </c>
      <c r="AQ83" s="30">
        <f t="shared" ref="AQ83" si="1229">IF(AP92="BAB",AP84-AP85*3,IF(AQ81&gt;=1,AP84+AQ82,IF(AP84&lt;=1,0,AP84-AP85)))</f>
        <v>2575.8398442816588</v>
      </c>
      <c r="AR83" s="30">
        <f t="shared" ref="AR83" si="1230">IF(AQ92="BAB",AQ84-AQ85*3,IF(AR81&gt;=1,AQ84+AR82,IF(AQ84&lt;=1,0,AQ84-AQ85)))</f>
        <v>2871.4706838177581</v>
      </c>
      <c r="AS83" s="30">
        <f t="shared" ref="AS83" si="1231">IF(AR92="BAB",AR84-AR85*3,IF(AS81&gt;=1,AR84+AS82,IF(AR84&lt;=1,0,AR84-AR85)))</f>
        <v>3167.1015233538574</v>
      </c>
      <c r="AT83" s="30">
        <f t="shared" ref="AT83" si="1232">IF(AS92="BAB",AS84-AS85*3,IF(AT81&gt;=1,AS84+AT82,IF(AS84&lt;=1,0,AS84-AS85)))</f>
        <v>3516.6513434827425</v>
      </c>
      <c r="AU83" s="30">
        <f t="shared" ref="AU83" si="1233">IF(AT92="BAB",AT84-AT85*3,IF(AU81&gt;=1,AT84+AU82,IF(AT84&lt;=1,0,AT84-AT85)))</f>
        <v>3870.6944119943596</v>
      </c>
      <c r="AV83" s="30">
        <f t="shared" ref="AV83" si="1234">IF(AU92="BAB",AU84-AU85*3,IF(AV81&gt;=1,AU84+AV82,IF(AU84&lt;=1,0,AU84-AU85)))</f>
        <v>4224.7374805059771</v>
      </c>
      <c r="AW83" s="30">
        <f t="shared" ref="AW83" si="1235">IF(AV92="BAB",AV84-AV85*3,IF(AW81&gt;=1,AV84+AW82,IF(AV84&lt;=1,0,AV84-AV85)))</f>
        <v>4578.7805490175942</v>
      </c>
      <c r="AX83" s="30">
        <f t="shared" ref="AX83" si="1236">IF(AW92="BAB",AW84-AW85*3,IF(AX81&gt;=1,AW84+AX82,IF(AW84&lt;=1,0,AW84-AW85)))</f>
        <v>4932.8236175292113</v>
      </c>
      <c r="AY83" s="30">
        <f t="shared" ref="AY83" si="1237">IF(AX92="BAB",AX84-AX85*3,IF(AY81&gt;=1,AX84+AY82,IF(AX84&lt;=1,0,AX84-AX85)))</f>
        <v>5273.2496449442278</v>
      </c>
      <c r="AZ83" s="60">
        <f t="shared" ref="AZ83" si="1238">IF(AY92="BAB",AY84-AY85*3,IF(AZ81&gt;=1,AY84+AZ82,IF(AY84&lt;=1,0,AY84-AY85)))</f>
        <v>5613.6756723592443</v>
      </c>
      <c r="BA83" s="30">
        <f t="shared" ref="BA83" si="1239">IF(AZ92="BAB",AZ84-AZ85*3,IF(BA81&gt;=1,AZ84+BA82,IF(AZ84&lt;=1,0,AZ84-AZ85)))</f>
        <v>5954.1016997742609</v>
      </c>
      <c r="BB83" s="30">
        <f t="shared" ref="BB83" si="1240">IF(BA92="BAB",BA84-BA85*3,IF(BB81&gt;=1,BA84+BB82,IF(BA84&lt;=1,0,BA84-BA85)))</f>
        <v>6294.5277271892774</v>
      </c>
      <c r="BC83" s="30">
        <f t="shared" ref="BC83" si="1241">IF(BB92="BAB",BB84-BB85*3,IF(BC81&gt;=1,BB84+BC82,IF(BB84&lt;=1,0,BB84-BB85)))</f>
        <v>6634.9537546042939</v>
      </c>
      <c r="BD83" s="30">
        <f t="shared" ref="BD83" si="1242">IF(BC92="BAB",BC84-BC85*3,IF(BD81&gt;=1,BC84+BD82,IF(BC84&lt;=1,0,BC84-BC85)))</f>
        <v>6975.3797820193104</v>
      </c>
      <c r="BE83" s="30">
        <f t="shared" ref="BE83" si="1243">IF(BD92="BAB",BD84-BD85*3,IF(BE81&gt;=1,BD84+BE82,IF(BD84&lt;=1,0,BD84-BD85)))</f>
        <v>7315.8058094343269</v>
      </c>
      <c r="BF83" s="30">
        <f t="shared" ref="BF83" si="1244">IF(BE92="BAB",BE84-BE85*3,IF(BF81&gt;=1,BE84+BF82,IF(BE84&lt;=1,0,BE84-BE85)))</f>
        <v>7723.1174532710802</v>
      </c>
      <c r="BG83" s="30">
        <f t="shared" ref="BG83" si="1245">IF(BF92="BAB",BF84-BF85*3,IF(BG81&gt;=1,BF84+BG82,IF(BF84&lt;=1,0,BF84-BF85)))</f>
        <v>5428.3534083856302</v>
      </c>
      <c r="BH83" s="30">
        <f t="shared" ref="BH83" si="1246">IF(BG92="BAB",BG84-BG85*3,IF(BH81&gt;=1,BG84+BH82,IF(BG84&lt;=1,0,BG84-BG85)))</f>
        <v>411.75069178051484</v>
      </c>
      <c r="BI83" s="30">
        <f t="shared" ref="BI83" si="1247">IF(BH92="BAB",BH84-BH85*3,IF(BI81&gt;=1,BH84+BI82,IF(BH84&lt;=1,0,BH84-BH85)))</f>
        <v>823.50138356102968</v>
      </c>
      <c r="BJ83" s="30">
        <f t="shared" ref="BJ83" si="1248">IF(BI92="BAB",BI84-BI85*3,IF(BJ81&gt;=1,BI84+BJ82,IF(BI84&lt;=1,0,BI84-BI85)))</f>
        <v>1235.2520753415445</v>
      </c>
      <c r="BK83" s="30">
        <f t="shared" ref="BK83" si="1249">IF(BJ92="BAB",BJ84-BJ85*3,IF(BK81&gt;=1,BJ84+BK82,IF(BJ84&lt;=1,0,BJ84-BJ85)))</f>
        <v>1647.0027671220594</v>
      </c>
      <c r="BL83" s="30">
        <f t="shared" ref="BL83" si="1250">IF(BK92="BAB",BK84-BK85*3,IF(BL81&gt;=1,BK84+BL82,IF(BK84&lt;=1,0,BK84-BK85)))</f>
        <v>2047.3052506381528</v>
      </c>
      <c r="BM83" s="30">
        <f t="shared" ref="BM83" si="1251">IF(BL92="BAB",BL84-BL85*3,IF(BM81&gt;=1,BL84+BM82,IF(BL84&lt;=1,0,BL84-BL85)))</f>
        <v>2446.6537167988777</v>
      </c>
      <c r="BN83" s="30">
        <f t="shared" ref="BN83" si="1252">IF(BM92="BAB",BM84-BM85*3,IF(BN81&gt;=1,BM84+BN82,IF(BM84&lt;=1,0,BM84-BM85)))</f>
        <v>2846.0021829596026</v>
      </c>
      <c r="BO83" s="30">
        <f t="shared" ref="BO83" si="1253">IF(BN92="BAB",BN84-BN85*3,IF(BO81&gt;=1,BN84+BO82,IF(BN84&lt;=1,0,BN84-BN85)))</f>
        <v>3245.3506491203275</v>
      </c>
      <c r="BP83" s="30">
        <f t="shared" ref="BP83" si="1254">IF(BO92="BAB",BO84-BO85*3,IF(BP81&gt;=1,BO84+BP82,IF(BO84&lt;=1,0,BO84-BO85)))</f>
        <v>3644.6991152810524</v>
      </c>
      <c r="BQ83" s="30">
        <f t="shared" ref="BQ83" si="1255">IF(BP92="BAB",BP84-BP85*3,IF(BQ81&gt;=1,BP84+BQ82,IF(BP84&lt;=1,0,BP84-BP85)))</f>
        <v>4044.0475814417773</v>
      </c>
      <c r="BR83" s="30">
        <f t="shared" ref="BR83" si="1256">IF(BQ92="BAB",BQ84-BQ85*3,IF(BR81&gt;=1,BQ84+BR82,IF(BQ84&lt;=1,0,BQ84-BQ85)))</f>
        <v>4485.5422870409238</v>
      </c>
      <c r="BS83" s="30">
        <f t="shared" ref="BS83" si="1257">IF(BR92="BAB",BR84-BR85*3,IF(BS81&gt;=1,BR84+BS82,IF(BR84&lt;=1,0,BR84-BR85)))</f>
        <v>4930.5491792599387</v>
      </c>
      <c r="BT83" s="30">
        <f t="shared" ref="BT83" si="1258">IF(BS92="BAB",BS84-BS85*3,IF(BT81&gt;=1,BS84+BT82,IF(BS84&lt;=1,0,BS84-BS85)))</f>
        <v>5375.5560714789535</v>
      </c>
      <c r="BU83" s="30">
        <f t="shared" ref="BU83" si="1259">IF(BT92="BAB",BT84-BT85*3,IF(BU81&gt;=1,BT84+BU82,IF(BT84&lt;=1,0,BT84-BT85)))</f>
        <v>5820.5629636979684</v>
      </c>
      <c r="BV83" s="30">
        <f t="shared" ref="BV83" si="1260">IF(BU92="BAB",BU84-BU85*3,IF(BV81&gt;=1,BU84+BV82,IF(BU84&lt;=1,0,BU84-BU85)))</f>
        <v>6265.5698559169832</v>
      </c>
      <c r="BW83" s="30">
        <f t="shared" ref="BW83" si="1261">IF(BV92="BAB",BV84-BV85*3,IF(BW81&gt;=1,BV84+BW82,IF(BV84&lt;=1,0,BV84-BV85)))</f>
        <v>6710.5767481359981</v>
      </c>
      <c r="BX83" s="60">
        <f t="shared" ref="BX83" si="1262">IF(BW92="BAB",BW84-BW85*3,IF(BX81&gt;=1,BW84+BX82,IF(BW84&lt;=1,0,BW84-BW85)))</f>
        <v>7138.4679906542815</v>
      </c>
      <c r="BY83" s="30">
        <f t="shared" ref="BY83" si="1263">IF(BX92="BAB",BX84-BX85*3,IF(BY81&gt;=1,BX84+BY82,IF(BX84&lt;=1,0,BX84-BX85)))</f>
        <v>7566.3592331725649</v>
      </c>
      <c r="BZ83" s="30">
        <f t="shared" ref="BZ83" si="1264">IF(BY92="BAB",BY84-BY85*3,IF(BZ81&gt;=1,BY84+BZ82,IF(BY84&lt;=1,0,BY84-BY85)))</f>
        <v>7994.2504756908484</v>
      </c>
      <c r="CA83" s="30">
        <f t="shared" ref="CA83" si="1265">IF(BZ92="BAB",BZ84-BZ85*3,IF(CA81&gt;=1,BZ84+CA82,IF(BZ84&lt;=1,0,BZ84-BZ85)))</f>
        <v>8422.1417182091318</v>
      </c>
      <c r="CB83" s="30">
        <f t="shared" ref="CB83" si="1266">IF(CA92="BAB",CA84-CA85*3,IF(CB81&gt;=1,CA84+CB82,IF(CA84&lt;=1,0,CA84-CA85)))</f>
        <v>8850.0329607274143</v>
      </c>
      <c r="CC83" s="30">
        <f t="shared" ref="CC83" si="1267">IF(CB92="BAB",CB84-CB85*3,IF(CC81&gt;=1,CB84+CC82,IF(CB84&lt;=1,0,CB84-CB85)))</f>
        <v>9277.9242032456968</v>
      </c>
      <c r="CD83" s="30">
        <f t="shared" ref="CD83" si="1268">IF(CC92="BAB",CC84-CC85*3,IF(CD81&gt;=1,CC84+CD82,IF(CC84&lt;=1,0,CC84-CC85)))</f>
        <v>9731.832052691665</v>
      </c>
      <c r="CE83" s="30">
        <f t="shared" ref="CE83" si="1269">IF(CD92="BAB",CD84-CD85*3,IF(CE81&gt;=1,CD84+CE82,IF(CD84&lt;=1,0,CD84-CD85)))</f>
        <v>6836.7635689700946</v>
      </c>
      <c r="CF83" s="30">
        <f t="shared" ref="CF83" si="1270">IF(CE92="BAB",CE84-CE85*3,IF(CF81&gt;=1,CE84+CF82,IF(CE84&lt;=1,0,CE84-CE85)))</f>
        <v>454.64959588154824</v>
      </c>
      <c r="CG83" s="30">
        <f t="shared" ref="CG83" si="1271">IF(CF92="BAB",CF84-CF85*3,IF(CG81&gt;=1,CF84+CG82,IF(CF84&lt;=1,0,CF84-CF85)))</f>
        <v>909.29919176309647</v>
      </c>
      <c r="CH83" s="30">
        <f t="shared" ref="CH83" si="1272">IF(CG92="BAB",CG84-CG85*3,IF(CH81&gt;=1,CG84+CH82,IF(CG84&lt;=1,0,CG84-CG85)))</f>
        <v>1363.9487876446447</v>
      </c>
      <c r="CI83" s="30">
        <f t="shared" ref="CI83" si="1273">IF(CH92="BAB",CH84-CH85*3,IF(CI81&gt;=1,CH84+CI82,IF(CH84&lt;=1,0,CH84-CH85)))</f>
        <v>1818.5983835261929</v>
      </c>
      <c r="CJ83" s="30">
        <f t="shared" ref="CJ83" si="1274">IF(CI92="BAB",CI84-CI85*3,IF(CJ81&gt;=1,CI84+CJ82,IF(CI84&lt;=1,0,CI84-CI85)))</f>
        <v>2237.4156838114277</v>
      </c>
      <c r="CK83" s="30">
        <f t="shared" ref="CK83" si="1275">IF(CJ92="BAB",CJ84-CJ85*3,IF(CK81&gt;=1,CJ84+CK82,IF(CJ84&lt;=1,0,CJ84-CJ85)))</f>
        <v>2653.2469594636359</v>
      </c>
      <c r="CL83" s="30">
        <f t="shared" ref="CL83" si="1276">IF(CK92="BAB",CK84-CK85*3,IF(CL81&gt;=1,CK84+CL82,IF(CK84&lt;=1,0,CK84-CK85)))</f>
        <v>3069.0782351158441</v>
      </c>
      <c r="CM83" s="30">
        <f t="shared" ref="CM83" si="1277">IF(CL92="BAB",CL84-CL85*3,IF(CM81&gt;=1,CL84+CM82,IF(CL84&lt;=1,0,CL84-CL85)))</f>
        <v>3484.9095107680523</v>
      </c>
      <c r="CN83" s="30">
        <f t="shared" ref="CN83" si="1278">IF(CM92="BAB",CM84-CM85*3,IF(CN81&gt;=1,CM84+CN82,IF(CM84&lt;=1,0,CM84-CM85)))</f>
        <v>3900.7407864202605</v>
      </c>
      <c r="CO83" s="30">
        <f t="shared" ref="CO83" si="1279">IF(CN92="BAB",CN84-CN85*3,IF(CO81&gt;=1,CN84+CO82,IF(CN84&lt;=1,0,CN84-CN85)))</f>
        <v>4316.5720620724687</v>
      </c>
      <c r="CP83" s="30">
        <f t="shared" ref="CP83" si="1280">IF(CO92="BAB",CO84-CO85*3,IF(CP81&gt;=1,CO84+CP82,IF(CO84&lt;=1,0,CO84-CO85)))</f>
        <v>4782.4624525619774</v>
      </c>
      <c r="CQ83" s="30">
        <f t="shared" ref="CQ83" si="1281">IF(CP92="BAB",CP84-CP85*3,IF(CQ81&gt;=1,CP84+CQ82,IF(CP84&lt;=1,0,CP84-CP85)))</f>
        <v>5252.524435954595</v>
      </c>
      <c r="CR83" s="30">
        <f t="shared" ref="CR83" si="1282">IF(CQ92="BAB",CQ84-CQ85*3,IF(CR81&gt;=1,CQ84+CR82,IF(CQ84&lt;=1,0,CQ84-CQ85)))</f>
        <v>5722.5864193472125</v>
      </c>
      <c r="CS83" s="30">
        <f t="shared" ref="CS83" si="1283">IF(CR92="BAB",CR84-CR85*3,IF(CS81&gt;=1,CR84+CS82,IF(CR84&lt;=1,0,CR84-CR85)))</f>
        <v>6192.6484027398301</v>
      </c>
      <c r="CT83" s="30">
        <f t="shared" ref="CT83" si="1284">IF(CS92="BAB",CS84-CS85*3,IF(CT81&gt;=1,CS84+CT82,IF(CS84&lt;=1,0,CS84-CS85)))</f>
        <v>6662.7103861324476</v>
      </c>
      <c r="CU83" s="30">
        <f t="shared" ref="CU83" si="1285">IF(CT92="BAB",CT84-CT85*3,IF(CU81&gt;=1,CT84+CU82,IF(CT84&lt;=1,0,CT84-CT85)))</f>
        <v>7132.7723695250652</v>
      </c>
      <c r="CV83" s="60">
        <f t="shared" ref="CV83" si="1286">IF(CU92="BAB",CU84-CU85*3,IF(CV81&gt;=1,CU84+CV82,IF(CU84&lt;=1,0,CU84-CU85)))</f>
        <v>7584.7550458641199</v>
      </c>
      <c r="CW83" s="30">
        <f t="shared" ref="CW83" si="1287">IF(CV92="BAB",CV84-CV85*3,IF(CW81&gt;=1,CV84+CW82,IF(CV84&lt;=1,0,CV84-CV85)))</f>
        <v>8036.7377222031746</v>
      </c>
      <c r="CX83" s="30">
        <f t="shared" ref="CX83" si="1288">IF(CW92="BAB",CW84-CW85*3,IF(CX81&gt;=1,CW84+CX82,IF(CW84&lt;=1,0,CW84-CW85)))</f>
        <v>8488.7203985422293</v>
      </c>
      <c r="CY83" s="30">
        <f t="shared" ref="CY83" si="1289">IF(CX92="BAB",CX84-CX85*3,IF(CY81&gt;=1,CX84+CY82,IF(CX84&lt;=1,0,CX84-CX85)))</f>
        <v>8940.7030748812849</v>
      </c>
      <c r="CZ83" s="30">
        <f t="shared" ref="CZ83" si="1290">IF(CY92="BAB",CY84-CY85*3,IF(CZ81&gt;=1,CY84+CZ82,IF(CY84&lt;=1,0,CY84-CY85)))</f>
        <v>9392.6857512203405</v>
      </c>
      <c r="DA83" s="30">
        <f t="shared" ref="DA83" si="1291">IF(CZ92="BAB",CZ84-CZ85*3,IF(DA81&gt;=1,CZ84+DA82,IF(CZ84&lt;=1,0,CZ84-CZ85)))</f>
        <v>9844.6684275593962</v>
      </c>
      <c r="DB83" s="30">
        <f t="shared" ref="DB83" si="1292">IF(DA92="BAB",DA84-DA85*3,IF(DB81&gt;=1,DA84+DB82,IF(DA84&lt;=1,0,DA84-DA85)))</f>
        <v>10316.881061991515</v>
      </c>
      <c r="DC83" s="30">
        <f t="shared" ref="DC83" si="1293">IF(DB92="BAB",DB84-DB85*3,IF(DC81&gt;=1,DB84+DC82,IF(DB84&lt;=1,0,DB84-DB85)))</f>
        <v>7247.2532279130182</v>
      </c>
      <c r="DD83" s="30">
        <f t="shared" ref="DD83" si="1294">IF(DC92="BAB",DC84-DC85*3,IF(DD81&gt;=1,DC84+DD82,IF(DC84&lt;=1,0,DC84-DC85)))</f>
        <v>472.39185535207736</v>
      </c>
      <c r="DE83" s="30">
        <f t="shared" ref="DE83" si="1295">IF(DD92="BAB",DD84-DD85*3,IF(DE81&gt;=1,DD84+DE82,IF(DD84&lt;=1,0,DD84-DD85)))</f>
        <v>944.78371070415471</v>
      </c>
      <c r="DF83" s="30">
        <f t="shared" ref="DF83" si="1296">IF(DE92="BAB",DE84-DE85*3,IF(DF81&gt;=1,DE84+DF82,IF(DE84&lt;=1,0,DE84-DE85)))</f>
        <v>1417.1755660562321</v>
      </c>
      <c r="DG83" s="30">
        <f t="shared" ref="DG83" si="1297">IF(DF92="BAB",DF84-DF85*3,IF(DG81&gt;=1,DF84+DG82,IF(DF84&lt;=1,0,DF84-DF85)))</f>
        <v>1889.5674214083097</v>
      </c>
      <c r="DH83" s="30">
        <f t="shared" ref="DH83" si="1298">IF(DG92="BAB",DG84-DG85*3,IF(DH81&gt;=1,DG84+DH82,IF(DG84&lt;=1,0,DG84-DG85)))</f>
        <v>2327.4437218799953</v>
      </c>
      <c r="DI83" s="30">
        <f t="shared" ref="DI83" si="1299">IF(DH92="BAB",DH84-DH85*3,IF(DI81&gt;=1,DH84+DI82,IF(DH84&lt;=1,0,DH84-DH85)))</f>
        <v>2762.4437261116486</v>
      </c>
      <c r="DJ83" s="30">
        <f t="shared" ref="DJ83" si="1300">IF(DI92="BAB",DI84-DI85*3,IF(DJ81&gt;=1,DI84+DJ82,IF(DI84&lt;=1,0,DI84-DI85)))</f>
        <v>3197.4437303433019</v>
      </c>
      <c r="DK83" s="30">
        <f t="shared" ref="DK83" si="1301">IF(DJ92="BAB",DJ84-DJ85*3,IF(DK81&gt;=1,DJ84+DK82,IF(DJ84&lt;=1,0,DJ84-DJ85)))</f>
        <v>3632.4437345749552</v>
      </c>
      <c r="DL83" s="30">
        <f t="shared" ref="DL83" si="1302">IF(DK92="BAB",DK84-DK85*3,IF(DL81&gt;=1,DK84+DL82,IF(DK84&lt;=1,0,DK84-DK85)))</f>
        <v>4067.4437388066085</v>
      </c>
      <c r="DM83" s="30">
        <f t="shared" ref="DM83" si="1303">IF(DL92="BAB",DL84-DL85*3,IF(DM81&gt;=1,DL84+DM82,IF(DL84&lt;=1,0,DL84-DL85)))</f>
        <v>4502.4437430382613</v>
      </c>
      <c r="DN83" s="30">
        <f t="shared" ref="DN83" si="1304">IF(DM92="BAB",DM84-DM85*3,IF(DN81&gt;=1,DM84+DN82,IF(DM84&lt;=1,0,DM84-DM85)))</f>
        <v>4987.0755668356751</v>
      </c>
      <c r="DO83" s="30">
        <f t="shared" ref="DO83" si="1305">IF(DN92="BAB",DN84-DN85*3,IF(DO81&gt;=1,DN84+DO82,IF(DN84&lt;=1,0,DN84-DN85)))</f>
        <v>5475.8433755969027</v>
      </c>
      <c r="DP83" s="30">
        <f t="shared" ref="DP83" si="1306">IF(DO92="BAB",DO84-DO85*3,IF(DP81&gt;=1,DO84+DP82,IF(DO84&lt;=1,0,DO84-DO85)))</f>
        <v>5964.6111843581302</v>
      </c>
      <c r="DQ83" s="30">
        <f t="shared" ref="DQ83" si="1307">IF(DP92="BAB",DP84-DP85*3,IF(DQ81&gt;=1,DP84+DQ82,IF(DP84&lt;=1,0,DP84-DP85)))</f>
        <v>6453.3789931193578</v>
      </c>
      <c r="DR83" s="30">
        <f t="shared" ref="DR83" si="1308">IF(DQ92="BAB",DQ84-DQ85*3,IF(DR81&gt;=1,DQ84+DR82,IF(DQ84&lt;=1,0,DQ84-DQ85)))</f>
        <v>6942.1468018805854</v>
      </c>
      <c r="DS83" s="30">
        <f t="shared" ref="DS83" si="1309">IF(DR92="BAB",DR84-DR85*3,IF(DS81&gt;=1,DR84+DS82,IF(DR84&lt;=1,0,DR84-DR85)))</f>
        <v>7430.9146106418129</v>
      </c>
      <c r="DT83" s="60">
        <f t="shared" ref="DT83" si="1310">IF(DS92="BAB",DS84-DS85*3,IF(DT81&gt;=1,DS84+DT82,IF(DS84&lt;=1,0,DS84-DS85)))</f>
        <v>7900.8836575276082</v>
      </c>
    </row>
    <row r="84" spans="2:124" x14ac:dyDescent="0.25">
      <c r="B84" s="3" t="s">
        <v>58</v>
      </c>
      <c r="D84" s="100">
        <f>IF(A41="B",IF(C92="BAB",D83+D82/12-453.592,D83+D82/12),D83+D82/24)</f>
        <v>0</v>
      </c>
      <c r="E84" s="30">
        <f t="shared" ref="E84:AJ84" si="1311">IF(D41="B",IF(D92="BAB",E82/12,E83+E82/12),E83+E82/24)</f>
        <v>0</v>
      </c>
      <c r="F84" s="30">
        <f t="shared" si="1311"/>
        <v>0</v>
      </c>
      <c r="G84" s="30">
        <f t="shared" si="1311"/>
        <v>0</v>
      </c>
      <c r="H84" s="30">
        <f t="shared" si="1311"/>
        <v>0</v>
      </c>
      <c r="I84" s="30">
        <f t="shared" si="1311"/>
        <v>0</v>
      </c>
      <c r="J84" s="30">
        <f t="shared" si="1311"/>
        <v>369.58235146604954</v>
      </c>
      <c r="K84" s="30">
        <f t="shared" si="1311"/>
        <v>739.16470293209898</v>
      </c>
      <c r="L84" s="30">
        <f t="shared" si="1311"/>
        <v>1108.7470543981485</v>
      </c>
      <c r="M84" s="30">
        <f t="shared" si="1311"/>
        <v>1478.3294058641982</v>
      </c>
      <c r="N84" s="30">
        <f t="shared" si="1311"/>
        <v>1847.9117573302478</v>
      </c>
      <c r="O84" s="30">
        <f t="shared" si="1311"/>
        <v>2217.4941087962975</v>
      </c>
      <c r="P84" s="30">
        <f t="shared" si="1311"/>
        <v>2587.0764602623472</v>
      </c>
      <c r="Q84" s="30">
        <f t="shared" si="1311"/>
        <v>2849.9102813786026</v>
      </c>
      <c r="R84" s="30">
        <f t="shared" si="1311"/>
        <v>3112.744102494858</v>
      </c>
      <c r="S84" s="30">
        <f t="shared" si="1311"/>
        <v>3375.5779236111134</v>
      </c>
      <c r="T84" s="30">
        <f t="shared" si="1311"/>
        <v>3638.4117447273688</v>
      </c>
      <c r="U84" s="30">
        <f t="shared" si="1311"/>
        <v>3901.2455658436243</v>
      </c>
      <c r="V84" s="30">
        <f t="shared" si="1311"/>
        <v>4180.8363593750028</v>
      </c>
      <c r="W84" s="30">
        <f t="shared" si="1311"/>
        <v>4460.4271529063817</v>
      </c>
      <c r="X84" s="30">
        <f t="shared" si="1311"/>
        <v>4740.0179464377607</v>
      </c>
      <c r="Y84" s="30">
        <f t="shared" si="1311"/>
        <v>5019.6087399691396</v>
      </c>
      <c r="Z84" s="30">
        <f t="shared" si="1311"/>
        <v>5299.1995335005186</v>
      </c>
      <c r="AA84" s="30">
        <f t="shared" si="1311"/>
        <v>5568.0368349729988</v>
      </c>
      <c r="AB84" s="60">
        <f t="shared" si="1311"/>
        <v>5836.8741364454791</v>
      </c>
      <c r="AC84" s="30">
        <f t="shared" si="1311"/>
        <v>6105.7114379179593</v>
      </c>
      <c r="AD84" s="30">
        <f t="shared" si="1311"/>
        <v>6374.5487393904396</v>
      </c>
      <c r="AE84" s="30">
        <f t="shared" si="1311"/>
        <v>6643.3860408629198</v>
      </c>
      <c r="AF84" s="30">
        <f t="shared" si="1311"/>
        <v>6912.2233423354</v>
      </c>
      <c r="AG84" s="30">
        <f t="shared" si="1311"/>
        <v>7191.814135866779</v>
      </c>
      <c r="AH84" s="30">
        <f t="shared" si="1311"/>
        <v>7539.1489501935812</v>
      </c>
      <c r="AI84" s="30">
        <f t="shared" si="1311"/>
        <v>26.718062640523215</v>
      </c>
      <c r="AJ84" s="30">
        <f t="shared" si="1311"/>
        <v>374.05287696732501</v>
      </c>
      <c r="AK84" s="30">
        <f t="shared" ref="AK84:BP84" si="1312">IF(AJ41="B",IF(AJ92="BAB",AK82/12,AK83+AK82/12),AK83+AK82/24)</f>
        <v>721.38769129412685</v>
      </c>
      <c r="AL84" s="30">
        <f t="shared" si="1312"/>
        <v>1068.7225056209286</v>
      </c>
      <c r="AM84" s="30">
        <f t="shared" si="1312"/>
        <v>1416.0573199477303</v>
      </c>
      <c r="AN84" s="30">
        <f t="shared" si="1312"/>
        <v>1711.6881594838298</v>
      </c>
      <c r="AO84" s="30">
        <f t="shared" si="1312"/>
        <v>2007.3189990199294</v>
      </c>
      <c r="AP84" s="30">
        <f t="shared" si="1312"/>
        <v>2302.9498385560287</v>
      </c>
      <c r="AQ84" s="30">
        <f t="shared" si="1312"/>
        <v>2598.580678092128</v>
      </c>
      <c r="AR84" s="30">
        <f t="shared" si="1312"/>
        <v>2894.2115176282273</v>
      </c>
      <c r="AS84" s="30">
        <f t="shared" si="1312"/>
        <v>3189.8423571643266</v>
      </c>
      <c r="AT84" s="30">
        <f t="shared" si="1312"/>
        <v>3543.8854256759437</v>
      </c>
      <c r="AU84" s="30">
        <f t="shared" si="1312"/>
        <v>3897.9284941875608</v>
      </c>
      <c r="AV84" s="30">
        <f t="shared" si="1312"/>
        <v>4251.9715626991783</v>
      </c>
      <c r="AW84" s="30">
        <f t="shared" si="1312"/>
        <v>4606.0146312107954</v>
      </c>
      <c r="AX84" s="30">
        <f t="shared" si="1312"/>
        <v>4946.4406586258119</v>
      </c>
      <c r="AY84" s="30">
        <f t="shared" si="1312"/>
        <v>5286.8666860408284</v>
      </c>
      <c r="AZ84" s="60">
        <f t="shared" si="1312"/>
        <v>5627.2927134558449</v>
      </c>
      <c r="BA84" s="30">
        <f t="shared" si="1312"/>
        <v>5967.7187408708614</v>
      </c>
      <c r="BB84" s="30">
        <f t="shared" si="1312"/>
        <v>6308.1447682858779</v>
      </c>
      <c r="BC84" s="30">
        <f t="shared" si="1312"/>
        <v>6648.5707957008945</v>
      </c>
      <c r="BD84" s="30">
        <f t="shared" si="1312"/>
        <v>6988.996823115911</v>
      </c>
      <c r="BE84" s="30">
        <f t="shared" si="1312"/>
        <v>7343.039891627528</v>
      </c>
      <c r="BF84" s="30">
        <f t="shared" si="1312"/>
        <v>7754.7905834080429</v>
      </c>
      <c r="BG84" s="30">
        <f t="shared" si="1312"/>
        <v>31.67313013696268</v>
      </c>
      <c r="BH84" s="30">
        <f t="shared" si="1312"/>
        <v>443.42382191747754</v>
      </c>
      <c r="BI84" s="30">
        <f t="shared" si="1312"/>
        <v>855.17451369799232</v>
      </c>
      <c r="BJ84" s="30">
        <f t="shared" si="1312"/>
        <v>1266.9252054785072</v>
      </c>
      <c r="BK84" s="30">
        <f t="shared" si="1312"/>
        <v>1678.6758972590221</v>
      </c>
      <c r="BL84" s="30">
        <f t="shared" si="1312"/>
        <v>2078.0243634197468</v>
      </c>
      <c r="BM84" s="30">
        <f t="shared" si="1312"/>
        <v>2477.3728295804717</v>
      </c>
      <c r="BN84" s="30">
        <f t="shared" si="1312"/>
        <v>2876.7212957411966</v>
      </c>
      <c r="BO84" s="30">
        <f t="shared" si="1312"/>
        <v>3276.0697619019215</v>
      </c>
      <c r="BP84" s="30">
        <f t="shared" si="1312"/>
        <v>3675.4182280626464</v>
      </c>
      <c r="BQ84" s="30">
        <f t="shared" ref="BQ84:CV84" si="1313">IF(BP41="B",IF(BP92="BAB",BQ82/12,BQ83+BQ82/12),BQ83+BQ82/24)</f>
        <v>4074.7666942233714</v>
      </c>
      <c r="BR84" s="30">
        <f t="shared" si="1313"/>
        <v>4519.7735864423867</v>
      </c>
      <c r="BS84" s="30">
        <f t="shared" si="1313"/>
        <v>4964.7804786614015</v>
      </c>
      <c r="BT84" s="30">
        <f t="shared" si="1313"/>
        <v>5409.7873708804163</v>
      </c>
      <c r="BU84" s="30">
        <f t="shared" si="1313"/>
        <v>5854.7942630994312</v>
      </c>
      <c r="BV84" s="30">
        <f t="shared" si="1313"/>
        <v>6299.801155318446</v>
      </c>
      <c r="BW84" s="30">
        <f t="shared" si="1313"/>
        <v>6727.6923978367295</v>
      </c>
      <c r="BX84" s="60">
        <f t="shared" si="1313"/>
        <v>7155.5836403550129</v>
      </c>
      <c r="BY84" s="30">
        <f t="shared" si="1313"/>
        <v>7583.4748828732963</v>
      </c>
      <c r="BZ84" s="30">
        <f t="shared" si="1313"/>
        <v>8011.3661253915798</v>
      </c>
      <c r="CA84" s="30">
        <f t="shared" si="1313"/>
        <v>8439.2573679098623</v>
      </c>
      <c r="CB84" s="30">
        <f t="shared" si="1313"/>
        <v>8867.1486104281448</v>
      </c>
      <c r="CC84" s="30">
        <f t="shared" si="1313"/>
        <v>9312.1555026471597</v>
      </c>
      <c r="CD84" s="30">
        <f t="shared" si="1313"/>
        <v>9766.8050985287064</v>
      </c>
      <c r="CE84" s="30">
        <f t="shared" si="1313"/>
        <v>34.973045837042172</v>
      </c>
      <c r="CF84" s="30">
        <f t="shared" si="1313"/>
        <v>489.62264171859039</v>
      </c>
      <c r="CG84" s="30">
        <f t="shared" si="1313"/>
        <v>944.27223760013862</v>
      </c>
      <c r="CH84" s="30">
        <f t="shared" si="1313"/>
        <v>1398.9218334816869</v>
      </c>
      <c r="CI84" s="30">
        <f t="shared" si="1313"/>
        <v>1853.5714293632352</v>
      </c>
      <c r="CJ84" s="30">
        <f t="shared" si="1313"/>
        <v>2269.4027050154436</v>
      </c>
      <c r="CK84" s="30">
        <f t="shared" si="1313"/>
        <v>2685.2339806676518</v>
      </c>
      <c r="CL84" s="30">
        <f t="shared" si="1313"/>
        <v>3101.0652563198601</v>
      </c>
      <c r="CM84" s="30">
        <f t="shared" si="1313"/>
        <v>3516.8965319720683</v>
      </c>
      <c r="CN84" s="30">
        <f t="shared" si="1313"/>
        <v>3932.7278076242765</v>
      </c>
      <c r="CO84" s="30">
        <f t="shared" si="1313"/>
        <v>4348.5590832764847</v>
      </c>
      <c r="CP84" s="30">
        <f t="shared" si="1313"/>
        <v>4818.6210666691022</v>
      </c>
      <c r="CQ84" s="30">
        <f t="shared" si="1313"/>
        <v>5288.6830500617198</v>
      </c>
      <c r="CR84" s="30">
        <f t="shared" si="1313"/>
        <v>5758.7450334543373</v>
      </c>
      <c r="CS84" s="30">
        <f t="shared" si="1313"/>
        <v>6228.8070168469549</v>
      </c>
      <c r="CT84" s="30">
        <f t="shared" si="1313"/>
        <v>6698.8690002395724</v>
      </c>
      <c r="CU84" s="30">
        <f t="shared" si="1313"/>
        <v>7150.8516765786271</v>
      </c>
      <c r="CV84" s="60">
        <f t="shared" si="1313"/>
        <v>7602.8343529176818</v>
      </c>
      <c r="CW84" s="30">
        <f t="shared" ref="CW84:DT84" si="1314">IF(CV41="B",IF(CV92="BAB",CW82/12,CW83+CW82/12),CW83+CW82/24)</f>
        <v>8054.8170292567365</v>
      </c>
      <c r="CX84" s="30">
        <f t="shared" si="1314"/>
        <v>8506.7997055957912</v>
      </c>
      <c r="CY84" s="30">
        <f t="shared" si="1314"/>
        <v>8958.7823819348469</v>
      </c>
      <c r="CZ84" s="30">
        <f t="shared" si="1314"/>
        <v>9410.7650582739025</v>
      </c>
      <c r="DA84" s="30">
        <f t="shared" si="1314"/>
        <v>9880.82704166652</v>
      </c>
      <c r="DB84" s="30">
        <f t="shared" si="1314"/>
        <v>10353.218897018598</v>
      </c>
      <c r="DC84" s="30">
        <f t="shared" si="1314"/>
        <v>36.337835027082875</v>
      </c>
      <c r="DD84" s="30">
        <f t="shared" si="1314"/>
        <v>508.72969037916022</v>
      </c>
      <c r="DE84" s="30">
        <f t="shared" si="1314"/>
        <v>981.12154573123757</v>
      </c>
      <c r="DF84" s="30">
        <f t="shared" si="1314"/>
        <v>1453.5134010833151</v>
      </c>
      <c r="DG84" s="30">
        <f t="shared" si="1314"/>
        <v>1925.9052564353926</v>
      </c>
      <c r="DH84" s="30">
        <f t="shared" si="1314"/>
        <v>2360.9052606670457</v>
      </c>
      <c r="DI84" s="30">
        <f t="shared" si="1314"/>
        <v>2795.905264898699</v>
      </c>
      <c r="DJ84" s="30">
        <f t="shared" si="1314"/>
        <v>3230.9052691303523</v>
      </c>
      <c r="DK84" s="30">
        <f t="shared" si="1314"/>
        <v>3665.9052733620056</v>
      </c>
      <c r="DL84" s="30">
        <f t="shared" si="1314"/>
        <v>4100.9052775936589</v>
      </c>
      <c r="DM84" s="30">
        <f t="shared" si="1314"/>
        <v>4535.9052818253112</v>
      </c>
      <c r="DN84" s="30">
        <f t="shared" si="1314"/>
        <v>5024.6730905865388</v>
      </c>
      <c r="DO84" s="30">
        <f t="shared" si="1314"/>
        <v>5513.4408993477664</v>
      </c>
      <c r="DP84" s="30">
        <f t="shared" si="1314"/>
        <v>6002.208708108994</v>
      </c>
      <c r="DQ84" s="30">
        <f t="shared" si="1314"/>
        <v>6490.9765168702215</v>
      </c>
      <c r="DR84" s="30">
        <f t="shared" si="1314"/>
        <v>6979.7443256314491</v>
      </c>
      <c r="DS84" s="30">
        <f t="shared" si="1314"/>
        <v>7449.7133725172444</v>
      </c>
      <c r="DT84" s="60">
        <f t="shared" si="1314"/>
        <v>7919.6824194030396</v>
      </c>
    </row>
    <row r="85" spans="2:124" x14ac:dyDescent="0.25">
      <c r="B85" s="3" t="s">
        <v>59</v>
      </c>
      <c r="C85" s="83">
        <v>0.1</v>
      </c>
      <c r="D85" s="110">
        <f>D84*$C$85</f>
        <v>0</v>
      </c>
      <c r="E85" s="29">
        <f>E84*$C$85</f>
        <v>0</v>
      </c>
      <c r="F85" s="30">
        <f>F84*$C$85</f>
        <v>0</v>
      </c>
      <c r="G85" s="30">
        <f t="shared" ref="G85:BR85" si="1315">G84*$C$85</f>
        <v>0</v>
      </c>
      <c r="H85" s="30">
        <f t="shared" si="1315"/>
        <v>0</v>
      </c>
      <c r="I85" s="30">
        <f t="shared" si="1315"/>
        <v>0</v>
      </c>
      <c r="J85" s="30">
        <f t="shared" si="1315"/>
        <v>36.958235146604956</v>
      </c>
      <c r="K85" s="30">
        <f t="shared" si="1315"/>
        <v>73.916470293209898</v>
      </c>
      <c r="L85" s="30">
        <f t="shared" si="1315"/>
        <v>110.87470543981486</v>
      </c>
      <c r="M85" s="30">
        <f t="shared" si="1315"/>
        <v>147.83294058641982</v>
      </c>
      <c r="N85" s="30">
        <f t="shared" si="1315"/>
        <v>184.7911757330248</v>
      </c>
      <c r="O85" s="30">
        <f t="shared" si="1315"/>
        <v>221.74941087962975</v>
      </c>
      <c r="P85" s="30">
        <f t="shared" si="1315"/>
        <v>258.70764602623473</v>
      </c>
      <c r="Q85" s="30">
        <f t="shared" si="1315"/>
        <v>284.99102813786027</v>
      </c>
      <c r="R85" s="30">
        <f t="shared" si="1315"/>
        <v>311.27441024948581</v>
      </c>
      <c r="S85" s="30">
        <f t="shared" si="1315"/>
        <v>337.55779236111135</v>
      </c>
      <c r="T85" s="30">
        <f t="shared" si="1315"/>
        <v>363.8411744727369</v>
      </c>
      <c r="U85" s="30">
        <f t="shared" si="1315"/>
        <v>390.12455658436244</v>
      </c>
      <c r="V85" s="30">
        <f t="shared" si="1315"/>
        <v>418.08363593750028</v>
      </c>
      <c r="W85" s="30">
        <f t="shared" si="1315"/>
        <v>446.04271529063817</v>
      </c>
      <c r="X85" s="30">
        <f t="shared" si="1315"/>
        <v>474.00179464377607</v>
      </c>
      <c r="Y85" s="30">
        <f t="shared" si="1315"/>
        <v>501.96087399691396</v>
      </c>
      <c r="Z85" s="30">
        <f t="shared" si="1315"/>
        <v>529.91995335005186</v>
      </c>
      <c r="AA85" s="30">
        <f t="shared" si="1315"/>
        <v>556.80368349729986</v>
      </c>
      <c r="AB85" s="60">
        <f t="shared" si="1315"/>
        <v>583.68741364454797</v>
      </c>
      <c r="AC85" s="29">
        <f t="shared" si="1315"/>
        <v>610.57114379179598</v>
      </c>
      <c r="AD85" s="30">
        <f t="shared" si="1315"/>
        <v>637.45487393904398</v>
      </c>
      <c r="AE85" s="30">
        <f t="shared" si="1315"/>
        <v>664.33860408629198</v>
      </c>
      <c r="AF85" s="30">
        <f t="shared" si="1315"/>
        <v>691.2223342335401</v>
      </c>
      <c r="AG85" s="30">
        <f t="shared" si="1315"/>
        <v>719.18141358667799</v>
      </c>
      <c r="AH85" s="30">
        <f t="shared" si="1315"/>
        <v>753.91489501935814</v>
      </c>
      <c r="AI85" s="30">
        <f t="shared" si="1315"/>
        <v>2.6718062640523215</v>
      </c>
      <c r="AJ85" s="30">
        <f t="shared" si="1315"/>
        <v>37.405287696732501</v>
      </c>
      <c r="AK85" s="30">
        <f t="shared" si="1315"/>
        <v>72.138769129412694</v>
      </c>
      <c r="AL85" s="30">
        <f t="shared" si="1315"/>
        <v>106.87225056209286</v>
      </c>
      <c r="AM85" s="30">
        <f t="shared" si="1315"/>
        <v>141.60573199477304</v>
      </c>
      <c r="AN85" s="30">
        <f t="shared" si="1315"/>
        <v>171.16881594838298</v>
      </c>
      <c r="AO85" s="30">
        <f t="shared" si="1315"/>
        <v>200.73189990199296</v>
      </c>
      <c r="AP85" s="30">
        <f t="shared" si="1315"/>
        <v>230.29498385560288</v>
      </c>
      <c r="AQ85" s="30">
        <f t="shared" si="1315"/>
        <v>259.8580678092128</v>
      </c>
      <c r="AR85" s="30">
        <f t="shared" si="1315"/>
        <v>289.42115176282272</v>
      </c>
      <c r="AS85" s="30">
        <f t="shared" si="1315"/>
        <v>318.98423571643269</v>
      </c>
      <c r="AT85" s="30">
        <f t="shared" si="1315"/>
        <v>354.38854256759441</v>
      </c>
      <c r="AU85" s="30">
        <f t="shared" si="1315"/>
        <v>389.79284941875608</v>
      </c>
      <c r="AV85" s="30">
        <f t="shared" si="1315"/>
        <v>425.19715626991785</v>
      </c>
      <c r="AW85" s="30">
        <f t="shared" si="1315"/>
        <v>460.60146312107958</v>
      </c>
      <c r="AX85" s="30">
        <f t="shared" si="1315"/>
        <v>494.64406586258121</v>
      </c>
      <c r="AY85" s="30">
        <f t="shared" si="1315"/>
        <v>528.68666860408291</v>
      </c>
      <c r="AZ85" s="60">
        <f t="shared" si="1315"/>
        <v>562.72927134558449</v>
      </c>
      <c r="BA85" s="29">
        <f t="shared" si="1315"/>
        <v>596.77187408708619</v>
      </c>
      <c r="BB85" s="30">
        <f t="shared" si="1315"/>
        <v>630.81447682858789</v>
      </c>
      <c r="BC85" s="30">
        <f t="shared" si="1315"/>
        <v>664.85707957008947</v>
      </c>
      <c r="BD85" s="30">
        <f t="shared" si="1315"/>
        <v>698.89968231159116</v>
      </c>
      <c r="BE85" s="30">
        <f t="shared" si="1315"/>
        <v>734.30398916275283</v>
      </c>
      <c r="BF85" s="30">
        <f t="shared" si="1315"/>
        <v>775.47905834080439</v>
      </c>
      <c r="BG85" s="30">
        <f t="shared" si="1315"/>
        <v>3.1673130136962682</v>
      </c>
      <c r="BH85" s="30">
        <f t="shared" si="1315"/>
        <v>44.34238219174776</v>
      </c>
      <c r="BI85" s="30">
        <f t="shared" si="1315"/>
        <v>85.517451369799232</v>
      </c>
      <c r="BJ85" s="30">
        <f t="shared" si="1315"/>
        <v>126.69252054785073</v>
      </c>
      <c r="BK85" s="30">
        <f t="shared" si="1315"/>
        <v>167.86758972590223</v>
      </c>
      <c r="BL85" s="30">
        <f t="shared" si="1315"/>
        <v>207.8024363419747</v>
      </c>
      <c r="BM85" s="30">
        <f t="shared" si="1315"/>
        <v>247.73728295804719</v>
      </c>
      <c r="BN85" s="30">
        <f t="shared" si="1315"/>
        <v>287.67212957411965</v>
      </c>
      <c r="BO85" s="30">
        <f t="shared" si="1315"/>
        <v>327.6069761901922</v>
      </c>
      <c r="BP85" s="30">
        <f t="shared" si="1315"/>
        <v>367.54182280626469</v>
      </c>
      <c r="BQ85" s="30">
        <f t="shared" si="1315"/>
        <v>407.47666942233718</v>
      </c>
      <c r="BR85" s="30">
        <f t="shared" si="1315"/>
        <v>451.97735864423868</v>
      </c>
      <c r="BS85" s="30">
        <f t="shared" ref="BS85:DT85" si="1316">BS84*$C$85</f>
        <v>496.47804786614017</v>
      </c>
      <c r="BT85" s="30">
        <f t="shared" si="1316"/>
        <v>540.97873708804161</v>
      </c>
      <c r="BU85" s="30">
        <f t="shared" si="1316"/>
        <v>585.47942630994316</v>
      </c>
      <c r="BV85" s="30">
        <f t="shared" si="1316"/>
        <v>629.9801155318446</v>
      </c>
      <c r="BW85" s="30">
        <f t="shared" si="1316"/>
        <v>672.76923978367302</v>
      </c>
      <c r="BX85" s="60">
        <f t="shared" si="1316"/>
        <v>715.55836403550131</v>
      </c>
      <c r="BY85" s="29">
        <f t="shared" si="1316"/>
        <v>758.34748828732972</v>
      </c>
      <c r="BZ85" s="30">
        <f t="shared" si="1316"/>
        <v>801.13661253915802</v>
      </c>
      <c r="CA85" s="30">
        <f t="shared" si="1316"/>
        <v>843.92573679098632</v>
      </c>
      <c r="CB85" s="30">
        <f t="shared" si="1316"/>
        <v>886.7148610428145</v>
      </c>
      <c r="CC85" s="30">
        <f t="shared" si="1316"/>
        <v>931.21555026471606</v>
      </c>
      <c r="CD85" s="30">
        <f t="shared" si="1316"/>
        <v>976.68050985287073</v>
      </c>
      <c r="CE85" s="30">
        <f t="shared" si="1316"/>
        <v>3.4973045837042172</v>
      </c>
      <c r="CF85" s="30">
        <f t="shared" si="1316"/>
        <v>48.96226417185904</v>
      </c>
      <c r="CG85" s="30">
        <f t="shared" si="1316"/>
        <v>94.427223760013874</v>
      </c>
      <c r="CH85" s="30">
        <f t="shared" si="1316"/>
        <v>139.89218334816869</v>
      </c>
      <c r="CI85" s="30">
        <f t="shared" si="1316"/>
        <v>185.35714293632353</v>
      </c>
      <c r="CJ85" s="30">
        <f t="shared" si="1316"/>
        <v>226.94027050154438</v>
      </c>
      <c r="CK85" s="30">
        <f t="shared" si="1316"/>
        <v>268.5233980667652</v>
      </c>
      <c r="CL85" s="30">
        <f t="shared" si="1316"/>
        <v>310.10652563198602</v>
      </c>
      <c r="CM85" s="30">
        <f t="shared" si="1316"/>
        <v>351.68965319720684</v>
      </c>
      <c r="CN85" s="30">
        <f t="shared" si="1316"/>
        <v>393.27278076242766</v>
      </c>
      <c r="CO85" s="30">
        <f t="shared" si="1316"/>
        <v>434.85590832764848</v>
      </c>
      <c r="CP85" s="30">
        <f t="shared" si="1316"/>
        <v>481.86210666691022</v>
      </c>
      <c r="CQ85" s="30">
        <f t="shared" si="1316"/>
        <v>528.86830500617202</v>
      </c>
      <c r="CR85" s="30">
        <f t="shared" si="1316"/>
        <v>575.87450334543371</v>
      </c>
      <c r="CS85" s="30">
        <f t="shared" si="1316"/>
        <v>622.88070168469551</v>
      </c>
      <c r="CT85" s="30">
        <f t="shared" si="1316"/>
        <v>669.88690002395731</v>
      </c>
      <c r="CU85" s="30">
        <f t="shared" si="1316"/>
        <v>715.08516765786271</v>
      </c>
      <c r="CV85" s="60">
        <f t="shared" si="1316"/>
        <v>760.28343529176823</v>
      </c>
      <c r="CW85" s="29">
        <f t="shared" si="1316"/>
        <v>805.48170292567374</v>
      </c>
      <c r="CX85" s="30">
        <f t="shared" si="1316"/>
        <v>850.67997055957915</v>
      </c>
      <c r="CY85" s="30">
        <f t="shared" si="1316"/>
        <v>895.87823819348478</v>
      </c>
      <c r="CZ85" s="30">
        <f t="shared" si="1316"/>
        <v>941.07650582739029</v>
      </c>
      <c r="DA85" s="30">
        <f t="shared" si="1316"/>
        <v>988.08270416665209</v>
      </c>
      <c r="DB85" s="30">
        <f t="shared" si="1316"/>
        <v>1035.3218897018598</v>
      </c>
      <c r="DC85" s="30">
        <f t="shared" si="1316"/>
        <v>3.6337835027082876</v>
      </c>
      <c r="DD85" s="30">
        <f t="shared" si="1316"/>
        <v>50.872969037916022</v>
      </c>
      <c r="DE85" s="30">
        <f t="shared" si="1316"/>
        <v>98.11215457312376</v>
      </c>
      <c r="DF85" s="30">
        <f t="shared" si="1316"/>
        <v>145.35134010833153</v>
      </c>
      <c r="DG85" s="30">
        <f t="shared" si="1316"/>
        <v>192.59052564353928</v>
      </c>
      <c r="DH85" s="30">
        <f t="shared" si="1316"/>
        <v>236.09052606670457</v>
      </c>
      <c r="DI85" s="30">
        <f t="shared" si="1316"/>
        <v>279.59052648986989</v>
      </c>
      <c r="DJ85" s="30">
        <f t="shared" si="1316"/>
        <v>323.09052691303526</v>
      </c>
      <c r="DK85" s="30">
        <f t="shared" si="1316"/>
        <v>366.59052733620058</v>
      </c>
      <c r="DL85" s="30">
        <f t="shared" si="1316"/>
        <v>410.0905277593659</v>
      </c>
      <c r="DM85" s="30">
        <f t="shared" si="1316"/>
        <v>453.59052818253116</v>
      </c>
      <c r="DN85" s="30">
        <f t="shared" si="1316"/>
        <v>502.46730905865388</v>
      </c>
      <c r="DO85" s="30">
        <f t="shared" si="1316"/>
        <v>551.34408993477666</v>
      </c>
      <c r="DP85" s="30">
        <f t="shared" si="1316"/>
        <v>600.22087081089944</v>
      </c>
      <c r="DQ85" s="30">
        <f t="shared" si="1316"/>
        <v>649.09765168702222</v>
      </c>
      <c r="DR85" s="30">
        <f t="shared" si="1316"/>
        <v>697.974432563145</v>
      </c>
      <c r="DS85" s="30">
        <f t="shared" si="1316"/>
        <v>744.97133725172444</v>
      </c>
      <c r="DT85" s="60">
        <f t="shared" si="1316"/>
        <v>791.96824194030398</v>
      </c>
    </row>
    <row r="86" spans="2:124" x14ac:dyDescent="0.25">
      <c r="B86" s="3" t="s">
        <v>0</v>
      </c>
      <c r="D86" s="100"/>
      <c r="E86" s="29"/>
      <c r="F86" s="30"/>
      <c r="G86" s="30"/>
      <c r="H86" s="30"/>
      <c r="I86" s="30"/>
      <c r="J86" s="30" t="s">
        <v>36</v>
      </c>
      <c r="K86" s="30" t="s">
        <v>36</v>
      </c>
      <c r="L86" s="30" t="s">
        <v>36</v>
      </c>
      <c r="M86" s="30" t="s">
        <v>36</v>
      </c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60"/>
      <c r="AC86" s="29"/>
      <c r="AD86" s="30"/>
      <c r="AE86" s="30"/>
      <c r="AF86" s="30"/>
      <c r="AG86" s="30"/>
      <c r="AH86" s="30" t="s">
        <v>36</v>
      </c>
      <c r="AI86" s="30" t="s">
        <v>36</v>
      </c>
      <c r="AJ86" s="30" t="s">
        <v>36</v>
      </c>
      <c r="AK86" s="30" t="s">
        <v>36</v>
      </c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60"/>
      <c r="BA86" s="29"/>
      <c r="BB86" s="30"/>
      <c r="BC86" s="30"/>
      <c r="BD86" s="30"/>
      <c r="BE86" s="30"/>
      <c r="BF86" s="30" t="s">
        <v>36</v>
      </c>
      <c r="BG86" s="30" t="s">
        <v>36</v>
      </c>
      <c r="BH86" s="30" t="s">
        <v>36</v>
      </c>
      <c r="BI86" s="30" t="s">
        <v>36</v>
      </c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60"/>
      <c r="BY86" s="29"/>
      <c r="BZ86" s="30"/>
      <c r="CA86" s="30"/>
      <c r="CB86" s="30"/>
      <c r="CC86" s="30"/>
      <c r="CD86" s="30" t="s">
        <v>36</v>
      </c>
      <c r="CE86" s="30" t="s">
        <v>36</v>
      </c>
      <c r="CF86" s="30" t="s">
        <v>36</v>
      </c>
      <c r="CG86" s="30" t="s">
        <v>36</v>
      </c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60"/>
      <c r="CW86" s="29"/>
      <c r="CX86" s="30"/>
      <c r="CY86" s="30"/>
      <c r="CZ86" s="30"/>
      <c r="DA86" s="30"/>
      <c r="DB86" s="30" t="s">
        <v>36</v>
      </c>
      <c r="DC86" s="30" t="s">
        <v>36</v>
      </c>
      <c r="DD86" s="30" t="s">
        <v>36</v>
      </c>
      <c r="DE86" s="30" t="s">
        <v>36</v>
      </c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60"/>
    </row>
    <row r="87" spans="2:124" s="11" customFormat="1" x14ac:dyDescent="0.25">
      <c r="B87" s="27" t="s">
        <v>13</v>
      </c>
      <c r="C87" s="73"/>
      <c r="D87" s="100">
        <v>1</v>
      </c>
      <c r="E87" s="28">
        <v>1</v>
      </c>
      <c r="F87" s="11">
        <v>1</v>
      </c>
      <c r="G87" s="11">
        <v>1</v>
      </c>
      <c r="H87" s="11">
        <v>1</v>
      </c>
      <c r="I87" s="11">
        <v>1</v>
      </c>
      <c r="J87" s="11">
        <v>1</v>
      </c>
      <c r="K87" s="11">
        <v>1</v>
      </c>
      <c r="L87" s="11">
        <v>1</v>
      </c>
      <c r="M87" s="11">
        <v>1</v>
      </c>
      <c r="N87" s="11">
        <v>1</v>
      </c>
      <c r="O87" s="11">
        <v>1</v>
      </c>
      <c r="P87" s="11">
        <v>1</v>
      </c>
      <c r="Q87" s="11">
        <v>1</v>
      </c>
      <c r="R87" s="11">
        <v>1</v>
      </c>
      <c r="S87" s="11">
        <v>1</v>
      </c>
      <c r="T87" s="11">
        <v>1</v>
      </c>
      <c r="U87" s="11">
        <v>1</v>
      </c>
      <c r="V87" s="11">
        <v>1</v>
      </c>
      <c r="W87" s="11">
        <v>1</v>
      </c>
      <c r="X87" s="11">
        <v>1</v>
      </c>
      <c r="Y87" s="11">
        <v>1</v>
      </c>
      <c r="Z87" s="11">
        <v>1</v>
      </c>
      <c r="AA87" s="11">
        <v>1</v>
      </c>
      <c r="AB87" s="59">
        <v>1</v>
      </c>
      <c r="AC87" s="28">
        <v>1</v>
      </c>
      <c r="AD87" s="11">
        <v>1</v>
      </c>
      <c r="AE87" s="11">
        <v>1</v>
      </c>
      <c r="AF87" s="11">
        <v>1</v>
      </c>
      <c r="AG87" s="11">
        <v>1</v>
      </c>
      <c r="AH87" s="11">
        <v>1</v>
      </c>
      <c r="AI87" s="11">
        <v>1</v>
      </c>
      <c r="AJ87" s="11">
        <v>1</v>
      </c>
      <c r="AK87" s="11">
        <v>1</v>
      </c>
      <c r="AL87" s="11">
        <v>1</v>
      </c>
      <c r="AM87" s="11">
        <v>1</v>
      </c>
      <c r="AN87" s="11">
        <v>1</v>
      </c>
      <c r="AO87" s="11">
        <v>1</v>
      </c>
      <c r="AP87" s="11">
        <v>1</v>
      </c>
      <c r="AQ87" s="11">
        <v>1</v>
      </c>
      <c r="AR87" s="11">
        <v>1</v>
      </c>
      <c r="AS87" s="11">
        <v>1</v>
      </c>
      <c r="AT87" s="11">
        <v>1</v>
      </c>
      <c r="AU87" s="11">
        <v>1</v>
      </c>
      <c r="AV87" s="11">
        <v>1</v>
      </c>
      <c r="AW87" s="11">
        <v>1</v>
      </c>
      <c r="AX87" s="11">
        <v>1</v>
      </c>
      <c r="AY87" s="11">
        <v>1</v>
      </c>
      <c r="AZ87" s="59">
        <v>1</v>
      </c>
      <c r="BA87" s="28">
        <v>1</v>
      </c>
      <c r="BB87" s="11">
        <v>1</v>
      </c>
      <c r="BC87" s="11">
        <v>1</v>
      </c>
      <c r="BD87" s="11">
        <v>1</v>
      </c>
      <c r="BE87" s="11">
        <v>1</v>
      </c>
      <c r="BF87" s="11">
        <v>1</v>
      </c>
      <c r="BG87" s="11">
        <v>1</v>
      </c>
      <c r="BH87" s="11">
        <v>1</v>
      </c>
      <c r="BI87" s="11">
        <v>1</v>
      </c>
      <c r="BJ87" s="11">
        <v>1</v>
      </c>
      <c r="BK87" s="11">
        <v>1</v>
      </c>
      <c r="BL87" s="11">
        <v>1</v>
      </c>
      <c r="BM87" s="11">
        <v>1</v>
      </c>
      <c r="BN87" s="11">
        <v>1</v>
      </c>
      <c r="BO87" s="11">
        <v>1</v>
      </c>
      <c r="BP87" s="11">
        <v>1</v>
      </c>
      <c r="BQ87" s="11">
        <v>1</v>
      </c>
      <c r="BR87" s="11">
        <v>1</v>
      </c>
      <c r="BS87" s="11">
        <v>1</v>
      </c>
      <c r="BT87" s="11">
        <v>1</v>
      </c>
      <c r="BU87" s="11">
        <v>1</v>
      </c>
      <c r="BV87" s="11">
        <v>1</v>
      </c>
      <c r="BW87" s="11">
        <v>1</v>
      </c>
      <c r="BX87" s="59">
        <v>1</v>
      </c>
      <c r="BY87" s="28">
        <v>1</v>
      </c>
      <c r="BZ87" s="11">
        <v>1</v>
      </c>
      <c r="CA87" s="11">
        <v>1</v>
      </c>
      <c r="CB87" s="11">
        <v>1</v>
      </c>
      <c r="CC87" s="11">
        <v>1</v>
      </c>
      <c r="CD87" s="11">
        <v>1</v>
      </c>
      <c r="CE87" s="11">
        <v>1</v>
      </c>
      <c r="CF87" s="11">
        <v>1</v>
      </c>
      <c r="CG87" s="11">
        <v>1</v>
      </c>
      <c r="CH87" s="11">
        <v>1</v>
      </c>
      <c r="CI87" s="11">
        <v>1</v>
      </c>
      <c r="CJ87" s="11">
        <v>1</v>
      </c>
      <c r="CK87" s="11">
        <v>1</v>
      </c>
      <c r="CL87" s="11">
        <v>1</v>
      </c>
      <c r="CM87" s="11">
        <v>1</v>
      </c>
      <c r="CN87" s="11">
        <v>1</v>
      </c>
      <c r="CO87" s="11">
        <v>1</v>
      </c>
      <c r="CP87" s="11">
        <v>1</v>
      </c>
      <c r="CQ87" s="11">
        <v>1</v>
      </c>
      <c r="CR87" s="11">
        <v>1</v>
      </c>
      <c r="CS87" s="11">
        <v>1</v>
      </c>
      <c r="CT87" s="11">
        <v>1</v>
      </c>
      <c r="CU87" s="11">
        <v>1</v>
      </c>
      <c r="CV87" s="59">
        <v>1</v>
      </c>
      <c r="CW87" s="28">
        <v>1</v>
      </c>
      <c r="CX87" s="11">
        <v>1</v>
      </c>
      <c r="CY87" s="11">
        <v>1</v>
      </c>
      <c r="CZ87" s="11">
        <v>1</v>
      </c>
      <c r="DA87" s="11">
        <v>1</v>
      </c>
      <c r="DB87" s="11">
        <v>1</v>
      </c>
      <c r="DC87" s="11">
        <v>1</v>
      </c>
      <c r="DD87" s="11">
        <v>1</v>
      </c>
      <c r="DE87" s="11">
        <v>1</v>
      </c>
      <c r="DF87" s="11">
        <v>1</v>
      </c>
      <c r="DG87" s="11">
        <v>1</v>
      </c>
      <c r="DH87" s="11">
        <v>1</v>
      </c>
      <c r="DI87" s="11">
        <v>1</v>
      </c>
      <c r="DJ87" s="11">
        <v>1</v>
      </c>
      <c r="DK87" s="11">
        <v>1</v>
      </c>
      <c r="DL87" s="11">
        <v>1</v>
      </c>
      <c r="DM87" s="11">
        <v>1</v>
      </c>
      <c r="DN87" s="11">
        <v>1</v>
      </c>
      <c r="DO87" s="11">
        <v>1</v>
      </c>
      <c r="DP87" s="11">
        <v>1</v>
      </c>
      <c r="DQ87" s="11">
        <v>1</v>
      </c>
      <c r="DR87" s="11">
        <v>1</v>
      </c>
      <c r="DS87" s="11">
        <v>1</v>
      </c>
      <c r="DT87" s="59">
        <v>1</v>
      </c>
    </row>
    <row r="88" spans="2:124" x14ac:dyDescent="0.25">
      <c r="B88" s="3" t="s">
        <v>14</v>
      </c>
      <c r="D88" s="100">
        <v>1</v>
      </c>
      <c r="E88" s="29">
        <v>1.06</v>
      </c>
      <c r="F88" s="30">
        <v>1.06</v>
      </c>
      <c r="G88" s="30">
        <v>1.06</v>
      </c>
      <c r="H88" s="30">
        <v>1.06</v>
      </c>
      <c r="I88" s="30">
        <v>1.06</v>
      </c>
      <c r="J88" s="30">
        <v>1.06</v>
      </c>
      <c r="K88" s="30">
        <v>1.06</v>
      </c>
      <c r="L88" s="30">
        <v>1.06</v>
      </c>
      <c r="M88" s="30">
        <v>1.06</v>
      </c>
      <c r="N88" s="30">
        <v>1.06</v>
      </c>
      <c r="O88" s="30">
        <v>1.06</v>
      </c>
      <c r="P88" s="30">
        <v>1.06</v>
      </c>
      <c r="Q88" s="30">
        <v>1.06</v>
      </c>
      <c r="R88" s="30">
        <v>1.06</v>
      </c>
      <c r="S88" s="30">
        <v>1.06</v>
      </c>
      <c r="T88" s="30">
        <v>1.06</v>
      </c>
      <c r="U88" s="30">
        <v>1.06</v>
      </c>
      <c r="V88" s="30">
        <v>1.06</v>
      </c>
      <c r="W88" s="30">
        <v>1.06</v>
      </c>
      <c r="X88" s="30">
        <v>1.06</v>
      </c>
      <c r="Y88" s="30">
        <v>1.06</v>
      </c>
      <c r="Z88" s="30">
        <v>1.06</v>
      </c>
      <c r="AA88" s="30">
        <v>1.06</v>
      </c>
      <c r="AB88" s="60">
        <v>1.06</v>
      </c>
      <c r="AC88" s="29">
        <v>1.06</v>
      </c>
      <c r="AD88" s="30">
        <v>1.06</v>
      </c>
      <c r="AE88" s="30">
        <v>1.06</v>
      </c>
      <c r="AF88" s="30">
        <v>1.06</v>
      </c>
      <c r="AG88" s="30">
        <v>1.06</v>
      </c>
      <c r="AH88" s="30">
        <v>1.06</v>
      </c>
      <c r="AI88" s="30">
        <v>1.06</v>
      </c>
      <c r="AJ88" s="30">
        <v>1.06</v>
      </c>
      <c r="AK88" s="30">
        <v>1.06</v>
      </c>
      <c r="AL88" s="30">
        <v>1.06</v>
      </c>
      <c r="AM88" s="30">
        <v>1.06</v>
      </c>
      <c r="AN88" s="30">
        <v>1.06</v>
      </c>
      <c r="AO88" s="30">
        <v>1.06</v>
      </c>
      <c r="AP88" s="30">
        <v>1.06</v>
      </c>
      <c r="AQ88" s="30">
        <v>1.06</v>
      </c>
      <c r="AR88" s="30">
        <v>1.06</v>
      </c>
      <c r="AS88" s="30">
        <v>1.06</v>
      </c>
      <c r="AT88" s="30">
        <v>1.06</v>
      </c>
      <c r="AU88" s="30">
        <v>1.06</v>
      </c>
      <c r="AV88" s="30">
        <v>1.06</v>
      </c>
      <c r="AW88" s="30">
        <v>1.06</v>
      </c>
      <c r="AX88" s="30">
        <v>1.06</v>
      </c>
      <c r="AY88" s="30">
        <v>1.06</v>
      </c>
      <c r="AZ88" s="60">
        <v>1.06</v>
      </c>
      <c r="BA88" s="29">
        <v>1.06</v>
      </c>
      <c r="BB88" s="30">
        <v>1.06</v>
      </c>
      <c r="BC88" s="30">
        <v>1.06</v>
      </c>
      <c r="BD88" s="30">
        <v>1.06</v>
      </c>
      <c r="BE88" s="30">
        <v>1.06</v>
      </c>
      <c r="BF88" s="30">
        <v>1.06</v>
      </c>
      <c r="BG88" s="30">
        <v>1.06</v>
      </c>
      <c r="BH88" s="30">
        <v>1.06</v>
      </c>
      <c r="BI88" s="30">
        <v>1.06</v>
      </c>
      <c r="BJ88" s="30">
        <v>1.06</v>
      </c>
      <c r="BK88" s="30">
        <v>1.06</v>
      </c>
      <c r="BL88" s="30">
        <v>1.06</v>
      </c>
      <c r="BM88" s="30">
        <v>1.06</v>
      </c>
      <c r="BN88" s="30">
        <v>1.06</v>
      </c>
      <c r="BO88" s="30">
        <v>1.06</v>
      </c>
      <c r="BP88" s="30">
        <v>1.06</v>
      </c>
      <c r="BQ88" s="30">
        <v>1.06</v>
      </c>
      <c r="BR88" s="30">
        <v>1.06</v>
      </c>
      <c r="BS88" s="30">
        <v>1.06</v>
      </c>
      <c r="BT88" s="30">
        <v>1.06</v>
      </c>
      <c r="BU88" s="30">
        <v>1.06</v>
      </c>
      <c r="BV88" s="30">
        <v>1.06</v>
      </c>
      <c r="BW88" s="30">
        <v>1.06</v>
      </c>
      <c r="BX88" s="60">
        <v>1.06</v>
      </c>
      <c r="BY88" s="29">
        <v>1.06</v>
      </c>
      <c r="BZ88" s="30">
        <v>1.06</v>
      </c>
      <c r="CA88" s="30">
        <v>1.06</v>
      </c>
      <c r="CB88" s="30">
        <v>1.06</v>
      </c>
      <c r="CC88" s="30">
        <v>1.06</v>
      </c>
      <c r="CD88" s="30">
        <v>1.06</v>
      </c>
      <c r="CE88" s="30">
        <v>1.06</v>
      </c>
      <c r="CF88" s="30">
        <v>1.06</v>
      </c>
      <c r="CG88" s="30">
        <v>1.06</v>
      </c>
      <c r="CH88" s="30">
        <v>1.06</v>
      </c>
      <c r="CI88" s="30">
        <v>1.06</v>
      </c>
      <c r="CJ88" s="30">
        <v>1.06</v>
      </c>
      <c r="CK88" s="30">
        <v>1.06</v>
      </c>
      <c r="CL88" s="30">
        <v>1.06</v>
      </c>
      <c r="CM88" s="30">
        <v>1.06</v>
      </c>
      <c r="CN88" s="30">
        <v>1.06</v>
      </c>
      <c r="CO88" s="30">
        <v>1.06</v>
      </c>
      <c r="CP88" s="30">
        <v>1.06</v>
      </c>
      <c r="CQ88" s="30">
        <v>1.06</v>
      </c>
      <c r="CR88" s="30">
        <v>1.06</v>
      </c>
      <c r="CS88" s="30">
        <v>1.06</v>
      </c>
      <c r="CT88" s="30">
        <v>1.06</v>
      </c>
      <c r="CU88" s="30">
        <v>1.06</v>
      </c>
      <c r="CV88" s="60">
        <v>1.06</v>
      </c>
      <c r="CW88" s="29">
        <v>1.06</v>
      </c>
      <c r="CX88" s="30">
        <v>1.06</v>
      </c>
      <c r="CY88" s="30">
        <v>1.06</v>
      </c>
      <c r="CZ88" s="30">
        <v>1.06</v>
      </c>
      <c r="DA88" s="30">
        <v>1.06</v>
      </c>
      <c r="DB88" s="30">
        <v>1.06</v>
      </c>
      <c r="DC88" s="30">
        <v>1.06</v>
      </c>
      <c r="DD88" s="30">
        <v>1.06</v>
      </c>
      <c r="DE88" s="30">
        <v>1.06</v>
      </c>
      <c r="DF88" s="30">
        <v>1.06</v>
      </c>
      <c r="DG88" s="30">
        <v>1.06</v>
      </c>
      <c r="DH88" s="30">
        <v>1.06</v>
      </c>
      <c r="DI88" s="30">
        <v>1.06</v>
      </c>
      <c r="DJ88" s="30">
        <v>1.06</v>
      </c>
      <c r="DK88" s="30">
        <v>1.06</v>
      </c>
      <c r="DL88" s="30">
        <v>1.06</v>
      </c>
      <c r="DM88" s="30">
        <v>1.06</v>
      </c>
      <c r="DN88" s="30">
        <v>1.06</v>
      </c>
      <c r="DO88" s="30">
        <v>1.06</v>
      </c>
      <c r="DP88" s="30">
        <v>1.06</v>
      </c>
      <c r="DQ88" s="30">
        <v>1.06</v>
      </c>
      <c r="DR88" s="30">
        <v>1.06</v>
      </c>
      <c r="DS88" s="30">
        <v>1.06</v>
      </c>
      <c r="DT88" s="60">
        <v>1.06</v>
      </c>
    </row>
    <row r="89" spans="2:124" x14ac:dyDescent="0.25">
      <c r="B89" s="1" t="s">
        <v>60</v>
      </c>
      <c r="C89" s="75"/>
      <c r="D89" s="30">
        <f t="shared" ref="D89:BP89" si="1317">D85/24+D87*D88</f>
        <v>1</v>
      </c>
      <c r="E89" s="30">
        <f t="shared" si="1317"/>
        <v>1.06</v>
      </c>
      <c r="F89" s="30">
        <f>F85/24+F87*F88</f>
        <v>1.06</v>
      </c>
      <c r="G89" s="30">
        <f t="shared" si="1317"/>
        <v>1.06</v>
      </c>
      <c r="H89" s="30">
        <f t="shared" si="1317"/>
        <v>1.06</v>
      </c>
      <c r="I89" s="30">
        <f t="shared" si="1317"/>
        <v>1.06</v>
      </c>
      <c r="J89" s="30">
        <f t="shared" si="1317"/>
        <v>2.5999264644418734</v>
      </c>
      <c r="K89" s="30">
        <f t="shared" si="1317"/>
        <v>4.1398529288837462</v>
      </c>
      <c r="L89" s="30">
        <f t="shared" si="1317"/>
        <v>5.6797793933256191</v>
      </c>
      <c r="M89" s="30">
        <f t="shared" si="1317"/>
        <v>7.219705857767492</v>
      </c>
      <c r="N89" s="30">
        <f t="shared" si="1317"/>
        <v>8.7596323222093666</v>
      </c>
      <c r="O89" s="30">
        <f t="shared" si="1317"/>
        <v>10.299558786651239</v>
      </c>
      <c r="P89" s="30">
        <f t="shared" si="1317"/>
        <v>11.839485251093114</v>
      </c>
      <c r="Q89" s="30">
        <f t="shared" si="1317"/>
        <v>12.934626172410844</v>
      </c>
      <c r="R89" s="30">
        <f t="shared" si="1317"/>
        <v>14.029767093728577</v>
      </c>
      <c r="S89" s="30">
        <f t="shared" si="1317"/>
        <v>15.124908015046307</v>
      </c>
      <c r="T89" s="30">
        <f t="shared" si="1317"/>
        <v>16.220048936364037</v>
      </c>
      <c r="U89" s="30">
        <f t="shared" si="1317"/>
        <v>17.315189857681766</v>
      </c>
      <c r="V89" s="30">
        <f t="shared" si="1317"/>
        <v>18.480151497395845</v>
      </c>
      <c r="W89" s="30">
        <f t="shared" si="1317"/>
        <v>19.645113137109924</v>
      </c>
      <c r="X89" s="30">
        <f t="shared" si="1317"/>
        <v>20.810074776824003</v>
      </c>
      <c r="Y89" s="30">
        <f t="shared" si="1317"/>
        <v>21.975036416538082</v>
      </c>
      <c r="Z89" s="30">
        <f t="shared" si="1317"/>
        <v>23.139998056252161</v>
      </c>
      <c r="AA89" s="30">
        <f t="shared" si="1317"/>
        <v>24.260153479054161</v>
      </c>
      <c r="AB89" s="60">
        <f t="shared" si="1317"/>
        <v>25.380308901856164</v>
      </c>
      <c r="AC89" s="29">
        <f t="shared" si="1317"/>
        <v>26.500464324658164</v>
      </c>
      <c r="AD89" s="30">
        <f t="shared" si="1317"/>
        <v>27.620619747460164</v>
      </c>
      <c r="AE89" s="30">
        <f t="shared" si="1317"/>
        <v>28.740775170262165</v>
      </c>
      <c r="AF89" s="30">
        <f t="shared" si="1317"/>
        <v>29.860930593064168</v>
      </c>
      <c r="AG89" s="30">
        <f t="shared" si="1317"/>
        <v>31.025892232778247</v>
      </c>
      <c r="AH89" s="30">
        <f t="shared" si="1317"/>
        <v>32.473120625806587</v>
      </c>
      <c r="AI89" s="30">
        <f t="shared" si="1317"/>
        <v>1.17132526100218</v>
      </c>
      <c r="AJ89" s="30">
        <f t="shared" si="1317"/>
        <v>2.6185536540305208</v>
      </c>
      <c r="AK89" s="30">
        <f t="shared" si="1317"/>
        <v>4.0657820470588621</v>
      </c>
      <c r="AL89" s="30">
        <f t="shared" si="1317"/>
        <v>5.5130104400872018</v>
      </c>
      <c r="AM89" s="30">
        <f t="shared" si="1317"/>
        <v>6.9602388331155431</v>
      </c>
      <c r="AN89" s="30">
        <f t="shared" si="1317"/>
        <v>8.1920339978492915</v>
      </c>
      <c r="AO89" s="30">
        <f t="shared" si="1317"/>
        <v>9.4238291625830399</v>
      </c>
      <c r="AP89" s="30">
        <f t="shared" si="1317"/>
        <v>10.655624327316787</v>
      </c>
      <c r="AQ89" s="30">
        <f t="shared" si="1317"/>
        <v>11.887419492050533</v>
      </c>
      <c r="AR89" s="30">
        <f t="shared" si="1317"/>
        <v>13.11921465678428</v>
      </c>
      <c r="AS89" s="30">
        <f t="shared" si="1317"/>
        <v>14.35100982151803</v>
      </c>
      <c r="AT89" s="30">
        <f t="shared" si="1317"/>
        <v>15.826189273649767</v>
      </c>
      <c r="AU89" s="30">
        <f t="shared" si="1317"/>
        <v>17.301368725781501</v>
      </c>
      <c r="AV89" s="30">
        <f t="shared" si="1317"/>
        <v>18.776548177913241</v>
      </c>
      <c r="AW89" s="30">
        <f t="shared" si="1317"/>
        <v>20.251727630044982</v>
      </c>
      <c r="AX89" s="30">
        <f t="shared" si="1317"/>
        <v>21.670169410940883</v>
      </c>
      <c r="AY89" s="30">
        <f t="shared" si="1317"/>
        <v>23.088611191836787</v>
      </c>
      <c r="AZ89" s="60">
        <f t="shared" si="1317"/>
        <v>24.507052972732687</v>
      </c>
      <c r="BA89" s="29">
        <f t="shared" si="1317"/>
        <v>25.925494753628591</v>
      </c>
      <c r="BB89" s="30">
        <f t="shared" si="1317"/>
        <v>27.343936534524495</v>
      </c>
      <c r="BC89" s="30">
        <f t="shared" si="1317"/>
        <v>28.762378315420392</v>
      </c>
      <c r="BD89" s="30">
        <f t="shared" si="1317"/>
        <v>30.180820096316296</v>
      </c>
      <c r="BE89" s="30">
        <f t="shared" si="1317"/>
        <v>31.655999548448033</v>
      </c>
      <c r="BF89" s="30">
        <f t="shared" si="1317"/>
        <v>33.371627430866852</v>
      </c>
      <c r="BG89" s="30">
        <f t="shared" si="1317"/>
        <v>1.1919713755706778</v>
      </c>
      <c r="BH89" s="30">
        <f t="shared" si="1317"/>
        <v>2.90759925798949</v>
      </c>
      <c r="BI89" s="30">
        <f t="shared" si="1317"/>
        <v>4.6232271404083018</v>
      </c>
      <c r="BJ89" s="30">
        <f t="shared" si="1317"/>
        <v>6.3388550228271132</v>
      </c>
      <c r="BK89" s="30">
        <f t="shared" si="1317"/>
        <v>8.0544829052459264</v>
      </c>
      <c r="BL89" s="30">
        <f t="shared" si="1317"/>
        <v>9.7184348475822802</v>
      </c>
      <c r="BM89" s="30">
        <f t="shared" si="1317"/>
        <v>11.382386789918634</v>
      </c>
      <c r="BN89" s="30">
        <f t="shared" si="1317"/>
        <v>13.046338732254986</v>
      </c>
      <c r="BO89" s="30">
        <f t="shared" si="1317"/>
        <v>14.710290674591342</v>
      </c>
      <c r="BP89" s="30">
        <f t="shared" si="1317"/>
        <v>16.374242616927695</v>
      </c>
      <c r="BQ89" s="30">
        <f t="shared" ref="BQ89:DS89" si="1318">BQ85/24+BQ87*BQ88</f>
        <v>18.038194559264049</v>
      </c>
      <c r="BR89" s="30">
        <f t="shared" si="1318"/>
        <v>19.892389943509944</v>
      </c>
      <c r="BS89" s="30">
        <f t="shared" si="1318"/>
        <v>21.746585327755838</v>
      </c>
      <c r="BT89" s="30">
        <f t="shared" si="1318"/>
        <v>23.600780712001733</v>
      </c>
      <c r="BU89" s="30">
        <f t="shared" si="1318"/>
        <v>25.454976096247631</v>
      </c>
      <c r="BV89" s="30">
        <f t="shared" si="1318"/>
        <v>27.309171480493525</v>
      </c>
      <c r="BW89" s="30">
        <f t="shared" si="1318"/>
        <v>29.092051657653041</v>
      </c>
      <c r="BX89" s="60">
        <f t="shared" si="1318"/>
        <v>30.874931834812553</v>
      </c>
      <c r="BY89" s="29">
        <f t="shared" si="1318"/>
        <v>32.657812011972069</v>
      </c>
      <c r="BZ89" s="30">
        <f t="shared" si="1318"/>
        <v>34.440692189131589</v>
      </c>
      <c r="CA89" s="30">
        <f t="shared" si="1318"/>
        <v>36.223572366291101</v>
      </c>
      <c r="CB89" s="30">
        <f t="shared" si="1318"/>
        <v>38.006452543450607</v>
      </c>
      <c r="CC89" s="30">
        <f t="shared" si="1318"/>
        <v>39.860647927696505</v>
      </c>
      <c r="CD89" s="30">
        <f t="shared" si="1318"/>
        <v>41.755021243869614</v>
      </c>
      <c r="CE89" s="30">
        <f t="shared" si="1318"/>
        <v>1.205721024321009</v>
      </c>
      <c r="CF89" s="30">
        <f t="shared" si="1318"/>
        <v>3.1000943404941266</v>
      </c>
      <c r="CG89" s="30">
        <f t="shared" si="1318"/>
        <v>4.9944676566672452</v>
      </c>
      <c r="CH89" s="30">
        <f t="shared" si="1318"/>
        <v>6.8888409728403612</v>
      </c>
      <c r="CI89" s="30">
        <f t="shared" si="1318"/>
        <v>8.7832142890134808</v>
      </c>
      <c r="CJ89" s="30">
        <f t="shared" si="1318"/>
        <v>10.515844604231017</v>
      </c>
      <c r="CK89" s="30">
        <f t="shared" si="1318"/>
        <v>12.248474919448551</v>
      </c>
      <c r="CL89" s="30">
        <f t="shared" si="1318"/>
        <v>13.981105234666085</v>
      </c>
      <c r="CM89" s="30">
        <f t="shared" si="1318"/>
        <v>15.713735549883619</v>
      </c>
      <c r="CN89" s="30">
        <f t="shared" si="1318"/>
        <v>17.44636586510115</v>
      </c>
      <c r="CO89" s="30">
        <f t="shared" si="1318"/>
        <v>19.178996180318684</v>
      </c>
      <c r="CP89" s="30">
        <f t="shared" si="1318"/>
        <v>21.137587777787925</v>
      </c>
      <c r="CQ89" s="30">
        <f t="shared" si="1318"/>
        <v>23.096179375257165</v>
      </c>
      <c r="CR89" s="30">
        <f t="shared" si="1318"/>
        <v>25.054770972726402</v>
      </c>
      <c r="CS89" s="30">
        <f t="shared" si="1318"/>
        <v>27.013362570195646</v>
      </c>
      <c r="CT89" s="30">
        <f t="shared" si="1318"/>
        <v>28.971954167664887</v>
      </c>
      <c r="CU89" s="30">
        <f t="shared" si="1318"/>
        <v>30.855215319077612</v>
      </c>
      <c r="CV89" s="60">
        <f t="shared" si="1318"/>
        <v>32.73847647049034</v>
      </c>
      <c r="CW89" s="29">
        <f t="shared" si="1318"/>
        <v>34.621737621903073</v>
      </c>
      <c r="CX89" s="30">
        <f t="shared" si="1318"/>
        <v>36.504998773315798</v>
      </c>
      <c r="CY89" s="30">
        <f t="shared" si="1318"/>
        <v>38.388259924728537</v>
      </c>
      <c r="CZ89" s="30">
        <f t="shared" si="1318"/>
        <v>40.271521076141262</v>
      </c>
      <c r="DA89" s="30">
        <f t="shared" si="1318"/>
        <v>42.230112673610506</v>
      </c>
      <c r="DB89" s="30">
        <f t="shared" si="1318"/>
        <v>44.198412070910827</v>
      </c>
      <c r="DC89" s="30">
        <f t="shared" si="1318"/>
        <v>1.2114076459461787</v>
      </c>
      <c r="DD89" s="30">
        <f t="shared" si="1318"/>
        <v>3.1797070432465011</v>
      </c>
      <c r="DE89" s="30">
        <f t="shared" si="1318"/>
        <v>5.1480064405468227</v>
      </c>
      <c r="DF89" s="30">
        <f t="shared" si="1318"/>
        <v>7.1163058378471469</v>
      </c>
      <c r="DG89" s="30">
        <f t="shared" si="1318"/>
        <v>9.0846052351474711</v>
      </c>
      <c r="DH89" s="30">
        <f t="shared" si="1318"/>
        <v>10.897105252779358</v>
      </c>
      <c r="DI89" s="30">
        <f t="shared" si="1318"/>
        <v>12.709605270411245</v>
      </c>
      <c r="DJ89" s="30">
        <f t="shared" si="1318"/>
        <v>14.522105288043136</v>
      </c>
      <c r="DK89" s="30">
        <f t="shared" si="1318"/>
        <v>16.334605305675023</v>
      </c>
      <c r="DL89" s="30">
        <f t="shared" si="1318"/>
        <v>18.14710532330691</v>
      </c>
      <c r="DM89" s="30">
        <f t="shared" si="1318"/>
        <v>19.959605340938797</v>
      </c>
      <c r="DN89" s="30">
        <f t="shared" si="1318"/>
        <v>21.99613787744391</v>
      </c>
      <c r="DO89" s="30">
        <f t="shared" si="1318"/>
        <v>24.032670413949027</v>
      </c>
      <c r="DP89" s="30">
        <f t="shared" si="1318"/>
        <v>26.069202950454141</v>
      </c>
      <c r="DQ89" s="30">
        <f t="shared" si="1318"/>
        <v>28.105735486959258</v>
      </c>
      <c r="DR89" s="30">
        <f t="shared" si="1318"/>
        <v>30.142268023464375</v>
      </c>
      <c r="DS89" s="30">
        <f t="shared" si="1318"/>
        <v>32.100472385488516</v>
      </c>
      <c r="DT89" s="60">
        <f>DT85/24+DT87*DT88</f>
        <v>34.058676747512671</v>
      </c>
    </row>
    <row r="90" spans="2:124" x14ac:dyDescent="0.25">
      <c r="B90" s="1" t="s">
        <v>80</v>
      </c>
      <c r="C90" s="75"/>
      <c r="D90" s="24">
        <f t="shared" ref="D90:AJ90" si="1319">IF(C41="B",IF(B92="TB",IF(D86="K",IF(C92="TB",IF(D89&lt;39.08,D89,D89*0.7355),D89*0.7355),D89*0.7355),D89*0.7355),D89*0.7355)</f>
        <v>0.73550000000000004</v>
      </c>
      <c r="E90" s="24">
        <f t="shared" si="1319"/>
        <v>0.77963000000000005</v>
      </c>
      <c r="F90" s="24">
        <f t="shared" si="1319"/>
        <v>0.77963000000000005</v>
      </c>
      <c r="G90" s="24">
        <f t="shared" si="1319"/>
        <v>0.77963000000000005</v>
      </c>
      <c r="H90" s="24">
        <f t="shared" si="1319"/>
        <v>0.77963000000000005</v>
      </c>
      <c r="I90" s="24">
        <f t="shared" si="1319"/>
        <v>0.77963000000000005</v>
      </c>
      <c r="J90" s="24">
        <f t="shared" si="1319"/>
        <v>2.5999264644418734</v>
      </c>
      <c r="K90" s="24">
        <f t="shared" si="1319"/>
        <v>4.1398529288837462</v>
      </c>
      <c r="L90" s="24">
        <f t="shared" si="1319"/>
        <v>5.6797793933256191</v>
      </c>
      <c r="M90" s="24">
        <f t="shared" si="1319"/>
        <v>7.219705857767492</v>
      </c>
      <c r="N90" s="24">
        <f t="shared" si="1319"/>
        <v>6.4427095729849899</v>
      </c>
      <c r="O90" s="24">
        <f t="shared" si="1319"/>
        <v>7.5753254875819866</v>
      </c>
      <c r="P90" s="24">
        <f t="shared" si="1319"/>
        <v>8.7079414021789852</v>
      </c>
      <c r="Q90" s="24">
        <f t="shared" si="1319"/>
        <v>9.5134175498081763</v>
      </c>
      <c r="R90" s="24">
        <f t="shared" si="1319"/>
        <v>10.318893697437369</v>
      </c>
      <c r="S90" s="24">
        <f t="shared" si="1319"/>
        <v>11.124369845066559</v>
      </c>
      <c r="T90" s="24">
        <f t="shared" si="1319"/>
        <v>11.92984599269575</v>
      </c>
      <c r="U90" s="24">
        <f t="shared" si="1319"/>
        <v>12.735322140324939</v>
      </c>
      <c r="V90" s="24">
        <f t="shared" si="1319"/>
        <v>13.592151426334645</v>
      </c>
      <c r="W90" s="24">
        <f t="shared" si="1319"/>
        <v>14.448980712344349</v>
      </c>
      <c r="X90" s="24">
        <f t="shared" si="1319"/>
        <v>15.305809998354055</v>
      </c>
      <c r="Y90" s="24">
        <f t="shared" si="1319"/>
        <v>16.16263928436376</v>
      </c>
      <c r="Z90" s="24">
        <f t="shared" si="1319"/>
        <v>17.019468570373466</v>
      </c>
      <c r="AA90" s="24">
        <f t="shared" si="1319"/>
        <v>17.843342883844336</v>
      </c>
      <c r="AB90" s="55">
        <f t="shared" si="1319"/>
        <v>18.66721719731521</v>
      </c>
      <c r="AC90" s="18">
        <f t="shared" si="1319"/>
        <v>19.491091510786081</v>
      </c>
      <c r="AD90" s="24">
        <f t="shared" si="1319"/>
        <v>20.314965824256952</v>
      </c>
      <c r="AE90" s="24">
        <f t="shared" si="1319"/>
        <v>21.138840137727822</v>
      </c>
      <c r="AF90" s="24">
        <f t="shared" si="1319"/>
        <v>21.962714451198696</v>
      </c>
      <c r="AG90" s="24">
        <f t="shared" si="1319"/>
        <v>22.819543737208402</v>
      </c>
      <c r="AH90" s="24">
        <f t="shared" si="1319"/>
        <v>32.473120625806587</v>
      </c>
      <c r="AI90" s="24">
        <f t="shared" si="1319"/>
        <v>0.86150972946710347</v>
      </c>
      <c r="AJ90" s="24">
        <f t="shared" si="1319"/>
        <v>1.9259462125394482</v>
      </c>
      <c r="AK90" s="24">
        <f t="shared" ref="AK90:BP90" si="1320">IF(AJ41="B",IF(AI92="TB",IF(AK86="K",IF(AJ92="TB",IF(AK89&lt;39.08,AK89,AK89*0.7355),AK89*0.7355),AK89*0.7355),AK89*0.7355),AK89*0.7355)</f>
        <v>4.0657820470588621</v>
      </c>
      <c r="AL90" s="24">
        <f t="shared" si="1320"/>
        <v>4.054819178684137</v>
      </c>
      <c r="AM90" s="24">
        <f t="shared" si="1320"/>
        <v>5.1192556617564824</v>
      </c>
      <c r="AN90" s="24">
        <f t="shared" si="1320"/>
        <v>6.0252410054181542</v>
      </c>
      <c r="AO90" s="24">
        <f t="shared" si="1320"/>
        <v>6.931226349079826</v>
      </c>
      <c r="AP90" s="24">
        <f t="shared" si="1320"/>
        <v>7.837211692741497</v>
      </c>
      <c r="AQ90" s="24">
        <f t="shared" si="1320"/>
        <v>8.743197036403167</v>
      </c>
      <c r="AR90" s="24">
        <f t="shared" si="1320"/>
        <v>9.649182380064838</v>
      </c>
      <c r="AS90" s="24">
        <f t="shared" si="1320"/>
        <v>10.555167723726512</v>
      </c>
      <c r="AT90" s="24">
        <f t="shared" si="1320"/>
        <v>11.640162210769404</v>
      </c>
      <c r="AU90" s="24">
        <f t="shared" si="1320"/>
        <v>12.725156697812295</v>
      </c>
      <c r="AV90" s="24">
        <f t="shared" si="1320"/>
        <v>13.81015118485519</v>
      </c>
      <c r="AW90" s="24">
        <f t="shared" si="1320"/>
        <v>14.895145671898085</v>
      </c>
      <c r="AX90" s="24">
        <f t="shared" si="1320"/>
        <v>15.93840960174702</v>
      </c>
      <c r="AY90" s="24">
        <f t="shared" si="1320"/>
        <v>16.981673531595959</v>
      </c>
      <c r="AZ90" s="55">
        <f t="shared" si="1320"/>
        <v>18.024937461444893</v>
      </c>
      <c r="BA90" s="18">
        <f t="shared" si="1320"/>
        <v>19.06820139129383</v>
      </c>
      <c r="BB90" s="24">
        <f t="shared" si="1320"/>
        <v>20.111465321142767</v>
      </c>
      <c r="BC90" s="24">
        <f t="shared" si="1320"/>
        <v>21.1547292509917</v>
      </c>
      <c r="BD90" s="24">
        <f t="shared" si="1320"/>
        <v>22.197993180840637</v>
      </c>
      <c r="BE90" s="24">
        <f t="shared" si="1320"/>
        <v>23.282987667883528</v>
      </c>
      <c r="BF90" s="24">
        <f t="shared" si="1320"/>
        <v>33.371627430866852</v>
      </c>
      <c r="BG90" s="24">
        <f t="shared" si="1320"/>
        <v>0.87669494673223358</v>
      </c>
      <c r="BH90" s="24">
        <f t="shared" si="1320"/>
        <v>2.13853925425127</v>
      </c>
      <c r="BI90" s="24">
        <f t="shared" si="1320"/>
        <v>4.6232271404083018</v>
      </c>
      <c r="BJ90" s="24">
        <f t="shared" si="1320"/>
        <v>4.6622278692893424</v>
      </c>
      <c r="BK90" s="24">
        <f t="shared" si="1320"/>
        <v>5.9240721768083793</v>
      </c>
      <c r="BL90" s="24">
        <f t="shared" si="1320"/>
        <v>7.1479088303967675</v>
      </c>
      <c r="BM90" s="24">
        <f t="shared" si="1320"/>
        <v>8.3717454839851566</v>
      </c>
      <c r="BN90" s="24">
        <f t="shared" si="1320"/>
        <v>9.5955821375735422</v>
      </c>
      <c r="BO90" s="24">
        <f t="shared" si="1320"/>
        <v>10.819418791161933</v>
      </c>
      <c r="BP90" s="24">
        <f t="shared" si="1320"/>
        <v>12.04325544475032</v>
      </c>
      <c r="BQ90" s="24">
        <f t="shared" ref="BQ90:CV90" si="1321">IF(BP41="B",IF(BO92="TB",IF(BQ86="K",IF(BP92="TB",IF(BQ89&lt;39.08,BQ89,BQ89*0.7355),BQ89*0.7355),BQ89*0.7355),BQ89*0.7355),BQ89*0.7355)</f>
        <v>13.26709209833871</v>
      </c>
      <c r="BR90" s="24">
        <f t="shared" si="1321"/>
        <v>14.630852803451564</v>
      </c>
      <c r="BS90" s="24">
        <f t="shared" si="1321"/>
        <v>15.99461350856442</v>
      </c>
      <c r="BT90" s="24">
        <f t="shared" si="1321"/>
        <v>17.358374213677276</v>
      </c>
      <c r="BU90" s="24">
        <f t="shared" si="1321"/>
        <v>18.722134918790132</v>
      </c>
      <c r="BV90" s="24">
        <f t="shared" si="1321"/>
        <v>20.085895623902989</v>
      </c>
      <c r="BW90" s="24">
        <f t="shared" si="1321"/>
        <v>21.397203994203814</v>
      </c>
      <c r="BX90" s="55">
        <f t="shared" si="1321"/>
        <v>22.708512364504635</v>
      </c>
      <c r="BY90" s="18">
        <f t="shared" si="1321"/>
        <v>24.01982073480546</v>
      </c>
      <c r="BZ90" s="24">
        <f t="shared" si="1321"/>
        <v>25.331129105106285</v>
      </c>
      <c r="CA90" s="24">
        <f t="shared" si="1321"/>
        <v>26.642437475407107</v>
      </c>
      <c r="CB90" s="24">
        <f t="shared" si="1321"/>
        <v>27.953745845707921</v>
      </c>
      <c r="CC90" s="24">
        <f t="shared" si="1321"/>
        <v>29.317506550820781</v>
      </c>
      <c r="CD90" s="24">
        <f t="shared" si="1321"/>
        <v>30.710818124866101</v>
      </c>
      <c r="CE90" s="24">
        <f t="shared" si="1321"/>
        <v>0.88680781338810222</v>
      </c>
      <c r="CF90" s="24">
        <f t="shared" si="1321"/>
        <v>2.2801193874334302</v>
      </c>
      <c r="CG90" s="24">
        <f t="shared" si="1321"/>
        <v>4.9944676566672452</v>
      </c>
      <c r="CH90" s="24">
        <f t="shared" si="1321"/>
        <v>5.066742535524086</v>
      </c>
      <c r="CI90" s="24">
        <f t="shared" si="1321"/>
        <v>6.4600541095694153</v>
      </c>
      <c r="CJ90" s="24">
        <f t="shared" si="1321"/>
        <v>7.7344037064119133</v>
      </c>
      <c r="CK90" s="24">
        <f t="shared" si="1321"/>
        <v>9.0087533032544105</v>
      </c>
      <c r="CL90" s="24">
        <f t="shared" si="1321"/>
        <v>10.283102900096907</v>
      </c>
      <c r="CM90" s="24">
        <f t="shared" si="1321"/>
        <v>11.557452496939403</v>
      </c>
      <c r="CN90" s="24">
        <f t="shared" si="1321"/>
        <v>12.831802093781896</v>
      </c>
      <c r="CO90" s="24">
        <f t="shared" si="1321"/>
        <v>14.106151690624394</v>
      </c>
      <c r="CP90" s="24">
        <f t="shared" si="1321"/>
        <v>15.546695810563019</v>
      </c>
      <c r="CQ90" s="24">
        <f t="shared" si="1321"/>
        <v>16.987239930501644</v>
      </c>
      <c r="CR90" s="24">
        <f t="shared" si="1321"/>
        <v>18.42778405044027</v>
      </c>
      <c r="CS90" s="24">
        <f t="shared" si="1321"/>
        <v>19.868328170378899</v>
      </c>
      <c r="CT90" s="24">
        <f t="shared" si="1321"/>
        <v>21.308872290317524</v>
      </c>
      <c r="CU90" s="24">
        <f t="shared" si="1321"/>
        <v>22.694010867181586</v>
      </c>
      <c r="CV90" s="55">
        <f t="shared" si="1321"/>
        <v>24.079149444045647</v>
      </c>
      <c r="CW90" s="18">
        <f t="shared" ref="CW90:DT90" si="1322">IF(CV41="B",IF(CU92="TB",IF(CW86="K",IF(CV92="TB",IF(CW89&lt;39.08,CW89,CW89*0.7355),CW89*0.7355),CW89*0.7355),CW89*0.7355),CW89*0.7355)</f>
        <v>25.464288020909713</v>
      </c>
      <c r="CX90" s="24">
        <f t="shared" si="1322"/>
        <v>26.849426597773771</v>
      </c>
      <c r="CY90" s="24">
        <f t="shared" si="1322"/>
        <v>28.23456517463784</v>
      </c>
      <c r="CZ90" s="24">
        <f t="shared" si="1322"/>
        <v>29.619703751501898</v>
      </c>
      <c r="DA90" s="24">
        <f t="shared" si="1322"/>
        <v>31.060247871440531</v>
      </c>
      <c r="DB90" s="24">
        <f t="shared" si="1322"/>
        <v>32.507932078154916</v>
      </c>
      <c r="DC90" s="24">
        <f t="shared" si="1322"/>
        <v>0.89099032359341446</v>
      </c>
      <c r="DD90" s="24">
        <f t="shared" si="1322"/>
        <v>2.3386745303078018</v>
      </c>
      <c r="DE90" s="24">
        <f t="shared" si="1322"/>
        <v>5.1480064405468227</v>
      </c>
      <c r="DF90" s="24">
        <f t="shared" si="1322"/>
        <v>5.2340429437365765</v>
      </c>
      <c r="DG90" s="24">
        <f t="shared" si="1322"/>
        <v>6.681727150450965</v>
      </c>
      <c r="DH90" s="24">
        <f t="shared" si="1322"/>
        <v>8.0148209134192179</v>
      </c>
      <c r="DI90" s="24">
        <f t="shared" si="1322"/>
        <v>9.3479146763874716</v>
      </c>
      <c r="DJ90" s="24">
        <f t="shared" si="1322"/>
        <v>10.681008439355727</v>
      </c>
      <c r="DK90" s="24">
        <f t="shared" si="1322"/>
        <v>12.014102202323979</v>
      </c>
      <c r="DL90" s="24">
        <f t="shared" si="1322"/>
        <v>13.347195965292233</v>
      </c>
      <c r="DM90" s="24">
        <f t="shared" si="1322"/>
        <v>14.680289728260487</v>
      </c>
      <c r="DN90" s="24">
        <f t="shared" si="1322"/>
        <v>16.178159408859997</v>
      </c>
      <c r="DO90" s="24">
        <f t="shared" si="1322"/>
        <v>17.676029089459512</v>
      </c>
      <c r="DP90" s="24">
        <f t="shared" si="1322"/>
        <v>19.173898770059022</v>
      </c>
      <c r="DQ90" s="24">
        <f t="shared" si="1322"/>
        <v>20.671768450658536</v>
      </c>
      <c r="DR90" s="24">
        <f t="shared" si="1322"/>
        <v>22.169638131258051</v>
      </c>
      <c r="DS90" s="24">
        <f t="shared" si="1322"/>
        <v>23.609897439526804</v>
      </c>
      <c r="DT90" s="55">
        <f t="shared" si="1322"/>
        <v>25.050156747795572</v>
      </c>
    </row>
    <row r="91" spans="2:124" x14ac:dyDescent="0.25">
      <c r="B91" s="1" t="s">
        <v>79</v>
      </c>
      <c r="C91" s="75"/>
      <c r="D91" s="24">
        <f t="shared" ref="D91" si="1323">IF(D92="BAB",-D90,0)</f>
        <v>0</v>
      </c>
      <c r="E91" s="24">
        <f t="shared" ref="E91:BP91" si="1324">IF(E92="BAB",-E90,0)</f>
        <v>0</v>
      </c>
      <c r="F91" s="24">
        <f t="shared" si="1324"/>
        <v>0</v>
      </c>
      <c r="G91" s="24">
        <f t="shared" si="1324"/>
        <v>0</v>
      </c>
      <c r="H91" s="24">
        <f t="shared" si="1324"/>
        <v>0</v>
      </c>
      <c r="I91" s="24">
        <f t="shared" si="1324"/>
        <v>0</v>
      </c>
      <c r="J91" s="24">
        <f t="shared" si="1324"/>
        <v>0</v>
      </c>
      <c r="K91" s="24">
        <f t="shared" si="1324"/>
        <v>0</v>
      </c>
      <c r="L91" s="24">
        <f t="shared" si="1324"/>
        <v>0</v>
      </c>
      <c r="M91" s="24">
        <f t="shared" si="1324"/>
        <v>0</v>
      </c>
      <c r="N91" s="24">
        <f t="shared" si="1324"/>
        <v>0</v>
      </c>
      <c r="O91" s="24">
        <f t="shared" si="1324"/>
        <v>0</v>
      </c>
      <c r="P91" s="24">
        <f t="shared" si="1324"/>
        <v>0</v>
      </c>
      <c r="Q91" s="24">
        <f t="shared" si="1324"/>
        <v>0</v>
      </c>
      <c r="R91" s="24">
        <f t="shared" si="1324"/>
        <v>0</v>
      </c>
      <c r="S91" s="24">
        <f t="shared" si="1324"/>
        <v>0</v>
      </c>
      <c r="T91" s="24">
        <f t="shared" si="1324"/>
        <v>0</v>
      </c>
      <c r="U91" s="24">
        <f t="shared" si="1324"/>
        <v>0</v>
      </c>
      <c r="V91" s="24">
        <f t="shared" si="1324"/>
        <v>0</v>
      </c>
      <c r="W91" s="24">
        <f t="shared" si="1324"/>
        <v>0</v>
      </c>
      <c r="X91" s="24">
        <f t="shared" si="1324"/>
        <v>0</v>
      </c>
      <c r="Y91" s="24">
        <f t="shared" si="1324"/>
        <v>0</v>
      </c>
      <c r="Z91" s="24">
        <f t="shared" si="1324"/>
        <v>0</v>
      </c>
      <c r="AA91" s="24">
        <f t="shared" si="1324"/>
        <v>0</v>
      </c>
      <c r="AB91" s="55">
        <f t="shared" si="1324"/>
        <v>0</v>
      </c>
      <c r="AC91" s="24">
        <f t="shared" si="1324"/>
        <v>0</v>
      </c>
      <c r="AD91" s="24">
        <f t="shared" si="1324"/>
        <v>0</v>
      </c>
      <c r="AE91" s="24">
        <f t="shared" si="1324"/>
        <v>0</v>
      </c>
      <c r="AF91" s="24">
        <f t="shared" si="1324"/>
        <v>0</v>
      </c>
      <c r="AG91" s="24">
        <f t="shared" si="1324"/>
        <v>0</v>
      </c>
      <c r="AH91" s="24">
        <f t="shared" si="1324"/>
        <v>-32.473120625806587</v>
      </c>
      <c r="AI91" s="24">
        <f t="shared" si="1324"/>
        <v>0</v>
      </c>
      <c r="AJ91" s="24">
        <f t="shared" si="1324"/>
        <v>0</v>
      </c>
      <c r="AK91" s="24">
        <f t="shared" si="1324"/>
        <v>0</v>
      </c>
      <c r="AL91" s="24">
        <f t="shared" si="1324"/>
        <v>0</v>
      </c>
      <c r="AM91" s="24">
        <f t="shared" si="1324"/>
        <v>0</v>
      </c>
      <c r="AN91" s="24">
        <f t="shared" si="1324"/>
        <v>0</v>
      </c>
      <c r="AO91" s="24">
        <f t="shared" si="1324"/>
        <v>0</v>
      </c>
      <c r="AP91" s="24">
        <f t="shared" si="1324"/>
        <v>0</v>
      </c>
      <c r="AQ91" s="24">
        <f t="shared" si="1324"/>
        <v>0</v>
      </c>
      <c r="AR91" s="24">
        <f t="shared" si="1324"/>
        <v>0</v>
      </c>
      <c r="AS91" s="24">
        <f t="shared" si="1324"/>
        <v>0</v>
      </c>
      <c r="AT91" s="24">
        <f t="shared" si="1324"/>
        <v>0</v>
      </c>
      <c r="AU91" s="24">
        <f t="shared" si="1324"/>
        <v>0</v>
      </c>
      <c r="AV91" s="24">
        <f t="shared" si="1324"/>
        <v>0</v>
      </c>
      <c r="AW91" s="24">
        <f t="shared" si="1324"/>
        <v>0</v>
      </c>
      <c r="AX91" s="24">
        <f t="shared" si="1324"/>
        <v>0</v>
      </c>
      <c r="AY91" s="24">
        <f t="shared" si="1324"/>
        <v>0</v>
      </c>
      <c r="AZ91" s="55">
        <f t="shared" si="1324"/>
        <v>0</v>
      </c>
      <c r="BA91" s="24">
        <f t="shared" si="1324"/>
        <v>0</v>
      </c>
      <c r="BB91" s="24">
        <f t="shared" si="1324"/>
        <v>0</v>
      </c>
      <c r="BC91" s="24">
        <f t="shared" si="1324"/>
        <v>0</v>
      </c>
      <c r="BD91" s="24">
        <f t="shared" si="1324"/>
        <v>0</v>
      </c>
      <c r="BE91" s="24">
        <f t="shared" si="1324"/>
        <v>0</v>
      </c>
      <c r="BF91" s="24">
        <f t="shared" si="1324"/>
        <v>-33.371627430866852</v>
      </c>
      <c r="BG91" s="24">
        <f t="shared" si="1324"/>
        <v>0</v>
      </c>
      <c r="BH91" s="24">
        <f t="shared" si="1324"/>
        <v>0</v>
      </c>
      <c r="BI91" s="24">
        <f t="shared" si="1324"/>
        <v>0</v>
      </c>
      <c r="BJ91" s="24">
        <f t="shared" si="1324"/>
        <v>0</v>
      </c>
      <c r="BK91" s="24">
        <f t="shared" si="1324"/>
        <v>0</v>
      </c>
      <c r="BL91" s="24">
        <f t="shared" si="1324"/>
        <v>0</v>
      </c>
      <c r="BM91" s="24">
        <f t="shared" si="1324"/>
        <v>0</v>
      </c>
      <c r="BN91" s="24">
        <f t="shared" si="1324"/>
        <v>0</v>
      </c>
      <c r="BO91" s="24">
        <f t="shared" si="1324"/>
        <v>0</v>
      </c>
      <c r="BP91" s="24">
        <f t="shared" si="1324"/>
        <v>0</v>
      </c>
      <c r="BQ91" s="24">
        <f t="shared" ref="BQ91:CF91" si="1325">IF(BQ92="BAB",-BQ90,0)</f>
        <v>0</v>
      </c>
      <c r="BR91" s="24">
        <f t="shared" si="1325"/>
        <v>0</v>
      </c>
      <c r="BS91" s="24">
        <f t="shared" si="1325"/>
        <v>0</v>
      </c>
      <c r="BT91" s="24">
        <f t="shared" si="1325"/>
        <v>0</v>
      </c>
      <c r="BU91" s="24">
        <f t="shared" si="1325"/>
        <v>0</v>
      </c>
      <c r="BV91" s="24">
        <f t="shared" si="1325"/>
        <v>0</v>
      </c>
      <c r="BW91" s="24">
        <f t="shared" si="1325"/>
        <v>0</v>
      </c>
      <c r="BX91" s="55">
        <f t="shared" si="1325"/>
        <v>0</v>
      </c>
      <c r="BY91" s="24">
        <f t="shared" si="1325"/>
        <v>0</v>
      </c>
      <c r="BZ91" s="24">
        <f t="shared" si="1325"/>
        <v>0</v>
      </c>
      <c r="CA91" s="24">
        <f t="shared" si="1325"/>
        <v>0</v>
      </c>
      <c r="CB91" s="24">
        <f t="shared" si="1325"/>
        <v>0</v>
      </c>
      <c r="CC91" s="24">
        <f t="shared" si="1325"/>
        <v>0</v>
      </c>
      <c r="CD91" s="24">
        <f t="shared" si="1325"/>
        <v>-30.710818124866101</v>
      </c>
      <c r="CE91" s="24">
        <f t="shared" si="1325"/>
        <v>0</v>
      </c>
      <c r="CF91" s="24">
        <f t="shared" si="1325"/>
        <v>0</v>
      </c>
      <c r="CG91" s="24">
        <f>IF(CG92="BAB",-CG90,0)</f>
        <v>0</v>
      </c>
      <c r="CH91" s="24">
        <f t="shared" ref="CH91:DT91" si="1326">IF(CH92="BAB",-CH90,0)</f>
        <v>0</v>
      </c>
      <c r="CI91" s="24">
        <f t="shared" si="1326"/>
        <v>0</v>
      </c>
      <c r="CJ91" s="24">
        <f t="shared" si="1326"/>
        <v>0</v>
      </c>
      <c r="CK91" s="24">
        <f t="shared" si="1326"/>
        <v>0</v>
      </c>
      <c r="CL91" s="24">
        <f t="shared" si="1326"/>
        <v>0</v>
      </c>
      <c r="CM91" s="24">
        <f t="shared" si="1326"/>
        <v>0</v>
      </c>
      <c r="CN91" s="24">
        <f t="shared" si="1326"/>
        <v>0</v>
      </c>
      <c r="CO91" s="24">
        <f t="shared" si="1326"/>
        <v>0</v>
      </c>
      <c r="CP91" s="24">
        <f t="shared" si="1326"/>
        <v>0</v>
      </c>
      <c r="CQ91" s="24">
        <f t="shared" si="1326"/>
        <v>0</v>
      </c>
      <c r="CR91" s="24">
        <f t="shared" si="1326"/>
        <v>0</v>
      </c>
      <c r="CS91" s="24">
        <f t="shared" si="1326"/>
        <v>0</v>
      </c>
      <c r="CT91" s="24">
        <f t="shared" si="1326"/>
        <v>0</v>
      </c>
      <c r="CU91" s="24">
        <f t="shared" si="1326"/>
        <v>0</v>
      </c>
      <c r="CV91" s="55">
        <f t="shared" si="1326"/>
        <v>0</v>
      </c>
      <c r="CW91" s="24">
        <f t="shared" si="1326"/>
        <v>0</v>
      </c>
      <c r="CX91" s="24">
        <f t="shared" si="1326"/>
        <v>0</v>
      </c>
      <c r="CY91" s="24">
        <f t="shared" si="1326"/>
        <v>0</v>
      </c>
      <c r="CZ91" s="24">
        <f t="shared" si="1326"/>
        <v>0</v>
      </c>
      <c r="DA91" s="24">
        <f t="shared" si="1326"/>
        <v>0</v>
      </c>
      <c r="DB91" s="24">
        <f t="shared" si="1326"/>
        <v>-32.507932078154916</v>
      </c>
      <c r="DC91" s="24">
        <f t="shared" si="1326"/>
        <v>0</v>
      </c>
      <c r="DD91" s="24">
        <f t="shared" si="1326"/>
        <v>0</v>
      </c>
      <c r="DE91" s="24">
        <f t="shared" si="1326"/>
        <v>0</v>
      </c>
      <c r="DF91" s="24">
        <f t="shared" si="1326"/>
        <v>0</v>
      </c>
      <c r="DG91" s="24">
        <f t="shared" si="1326"/>
        <v>0</v>
      </c>
      <c r="DH91" s="24">
        <f t="shared" si="1326"/>
        <v>0</v>
      </c>
      <c r="DI91" s="24">
        <f t="shared" si="1326"/>
        <v>0</v>
      </c>
      <c r="DJ91" s="24">
        <f t="shared" si="1326"/>
        <v>0</v>
      </c>
      <c r="DK91" s="24">
        <f t="shared" si="1326"/>
        <v>0</v>
      </c>
      <c r="DL91" s="24">
        <f t="shared" si="1326"/>
        <v>0</v>
      </c>
      <c r="DM91" s="24">
        <f t="shared" si="1326"/>
        <v>0</v>
      </c>
      <c r="DN91" s="24">
        <f t="shared" si="1326"/>
        <v>0</v>
      </c>
      <c r="DO91" s="24">
        <f t="shared" si="1326"/>
        <v>0</v>
      </c>
      <c r="DP91" s="24">
        <f t="shared" si="1326"/>
        <v>0</v>
      </c>
      <c r="DQ91" s="24">
        <f t="shared" si="1326"/>
        <v>0</v>
      </c>
      <c r="DR91" s="24">
        <f t="shared" si="1326"/>
        <v>0</v>
      </c>
      <c r="DS91" s="24">
        <f t="shared" si="1326"/>
        <v>0</v>
      </c>
      <c r="DT91" s="55">
        <f t="shared" si="1326"/>
        <v>0</v>
      </c>
    </row>
    <row r="92" spans="2:124" x14ac:dyDescent="0.25">
      <c r="B92" s="3" t="s">
        <v>76</v>
      </c>
      <c r="D92" s="30" t="str">
        <f t="shared" ref="D92:AJ92" si="1327">IF(C41="B",IF(D86="K",IF(D90&gt;=23.955,"BAB",IF(D90&gt;=28.747,"BAB","TB")),"TB"),"TB")</f>
        <v>TB</v>
      </c>
      <c r="E92" s="30" t="str">
        <f t="shared" si="1327"/>
        <v>TB</v>
      </c>
      <c r="F92" s="30" t="str">
        <f t="shared" si="1327"/>
        <v>TB</v>
      </c>
      <c r="G92" s="30" t="str">
        <f t="shared" si="1327"/>
        <v>TB</v>
      </c>
      <c r="H92" s="30" t="str">
        <f t="shared" si="1327"/>
        <v>TB</v>
      </c>
      <c r="I92" s="30" t="str">
        <f t="shared" si="1327"/>
        <v>TB</v>
      </c>
      <c r="J92" s="30" t="str">
        <f t="shared" si="1327"/>
        <v>TB</v>
      </c>
      <c r="K92" s="70" t="str">
        <f t="shared" si="1327"/>
        <v>TB</v>
      </c>
      <c r="L92" s="30" t="str">
        <f t="shared" si="1327"/>
        <v>TB</v>
      </c>
      <c r="M92" s="30" t="str">
        <f t="shared" si="1327"/>
        <v>TB</v>
      </c>
      <c r="N92" s="30" t="str">
        <f t="shared" si="1327"/>
        <v>TB</v>
      </c>
      <c r="O92" s="30" t="str">
        <f t="shared" si="1327"/>
        <v>TB</v>
      </c>
      <c r="P92" s="30" t="str">
        <f t="shared" si="1327"/>
        <v>TB</v>
      </c>
      <c r="Q92" s="30" t="str">
        <f t="shared" si="1327"/>
        <v>TB</v>
      </c>
      <c r="R92" s="30" t="str">
        <f t="shared" si="1327"/>
        <v>TB</v>
      </c>
      <c r="S92" s="30" t="str">
        <f t="shared" si="1327"/>
        <v>TB</v>
      </c>
      <c r="T92" s="30" t="str">
        <f t="shared" si="1327"/>
        <v>TB</v>
      </c>
      <c r="U92" s="30" t="str">
        <f t="shared" si="1327"/>
        <v>TB</v>
      </c>
      <c r="V92" s="30" t="str">
        <f t="shared" si="1327"/>
        <v>TB</v>
      </c>
      <c r="W92" s="30" t="str">
        <f t="shared" si="1327"/>
        <v>TB</v>
      </c>
      <c r="X92" s="30" t="str">
        <f t="shared" si="1327"/>
        <v>TB</v>
      </c>
      <c r="Y92" s="30" t="str">
        <f t="shared" si="1327"/>
        <v>TB</v>
      </c>
      <c r="Z92" s="30" t="str">
        <f t="shared" si="1327"/>
        <v>TB</v>
      </c>
      <c r="AA92" s="30" t="str">
        <f t="shared" si="1327"/>
        <v>TB</v>
      </c>
      <c r="AB92" s="60" t="str">
        <f t="shared" si="1327"/>
        <v>TB</v>
      </c>
      <c r="AC92" s="60" t="str">
        <f t="shared" si="1327"/>
        <v>TB</v>
      </c>
      <c r="AD92" s="30" t="str">
        <f t="shared" si="1327"/>
        <v>TB</v>
      </c>
      <c r="AE92" s="30" t="str">
        <f t="shared" si="1327"/>
        <v>TB</v>
      </c>
      <c r="AF92" s="30" t="str">
        <f t="shared" si="1327"/>
        <v>TB</v>
      </c>
      <c r="AG92" s="30" t="str">
        <f t="shared" si="1327"/>
        <v>TB</v>
      </c>
      <c r="AH92" s="30" t="str">
        <f t="shared" si="1327"/>
        <v>BAB</v>
      </c>
      <c r="AI92" s="70" t="str">
        <f t="shared" si="1327"/>
        <v>TB</v>
      </c>
      <c r="AJ92" s="30" t="str">
        <f t="shared" si="1327"/>
        <v>TB</v>
      </c>
      <c r="AK92" s="30" t="str">
        <f t="shared" ref="AK92:BP92" si="1328">IF(AJ41="B",IF(AK86="K",IF(AK90&gt;=23.955,"BAB",IF(AK90&gt;=28.747,"BAB","TB")),"TB"),"TB")</f>
        <v>TB</v>
      </c>
      <c r="AL92" s="30" t="str">
        <f t="shared" si="1328"/>
        <v>TB</v>
      </c>
      <c r="AM92" s="30" t="str">
        <f t="shared" si="1328"/>
        <v>TB</v>
      </c>
      <c r="AN92" s="30" t="str">
        <f t="shared" si="1328"/>
        <v>TB</v>
      </c>
      <c r="AO92" s="30" t="str">
        <f t="shared" si="1328"/>
        <v>TB</v>
      </c>
      <c r="AP92" s="30" t="str">
        <f t="shared" si="1328"/>
        <v>TB</v>
      </c>
      <c r="AQ92" s="30" t="str">
        <f t="shared" si="1328"/>
        <v>TB</v>
      </c>
      <c r="AR92" s="30" t="str">
        <f t="shared" si="1328"/>
        <v>TB</v>
      </c>
      <c r="AS92" s="30" t="str">
        <f t="shared" si="1328"/>
        <v>TB</v>
      </c>
      <c r="AT92" s="30" t="str">
        <f t="shared" si="1328"/>
        <v>TB</v>
      </c>
      <c r="AU92" s="30" t="str">
        <f t="shared" si="1328"/>
        <v>TB</v>
      </c>
      <c r="AV92" s="30" t="str">
        <f t="shared" si="1328"/>
        <v>TB</v>
      </c>
      <c r="AW92" s="30" t="str">
        <f t="shared" si="1328"/>
        <v>TB</v>
      </c>
      <c r="AX92" s="30" t="str">
        <f t="shared" si="1328"/>
        <v>TB</v>
      </c>
      <c r="AY92" s="30" t="str">
        <f t="shared" si="1328"/>
        <v>TB</v>
      </c>
      <c r="AZ92" s="60" t="str">
        <f t="shared" si="1328"/>
        <v>TB</v>
      </c>
      <c r="BA92" s="29" t="str">
        <f t="shared" si="1328"/>
        <v>TB</v>
      </c>
      <c r="BB92" s="29" t="str">
        <f t="shared" si="1328"/>
        <v>TB</v>
      </c>
      <c r="BC92" s="30" t="str">
        <f t="shared" si="1328"/>
        <v>TB</v>
      </c>
      <c r="BD92" s="30" t="str">
        <f t="shared" si="1328"/>
        <v>TB</v>
      </c>
      <c r="BE92" s="30" t="str">
        <f t="shared" si="1328"/>
        <v>TB</v>
      </c>
      <c r="BF92" s="70" t="str">
        <f t="shared" si="1328"/>
        <v>BAB</v>
      </c>
      <c r="BG92" s="30" t="str">
        <f t="shared" si="1328"/>
        <v>TB</v>
      </c>
      <c r="BH92" s="30" t="str">
        <f t="shared" si="1328"/>
        <v>TB</v>
      </c>
      <c r="BI92" s="30" t="str">
        <f t="shared" si="1328"/>
        <v>TB</v>
      </c>
      <c r="BJ92" s="30" t="str">
        <f t="shared" si="1328"/>
        <v>TB</v>
      </c>
      <c r="BK92" s="30" t="str">
        <f t="shared" si="1328"/>
        <v>TB</v>
      </c>
      <c r="BL92" s="30" t="str">
        <f t="shared" si="1328"/>
        <v>TB</v>
      </c>
      <c r="BM92" s="30" t="str">
        <f t="shared" si="1328"/>
        <v>TB</v>
      </c>
      <c r="BN92" s="30" t="str">
        <f t="shared" si="1328"/>
        <v>TB</v>
      </c>
      <c r="BO92" s="30" t="str">
        <f t="shared" si="1328"/>
        <v>TB</v>
      </c>
      <c r="BP92" s="30" t="str">
        <f t="shared" si="1328"/>
        <v>TB</v>
      </c>
      <c r="BQ92" s="30" t="str">
        <f t="shared" ref="BQ92:CV92" si="1329">IF(BP41="B",IF(BQ86="K",IF(BQ90&gt;=23.955,"BAB",IF(BQ90&gt;=28.747,"BAB","TB")),"TB"),"TB")</f>
        <v>TB</v>
      </c>
      <c r="BR92" s="30" t="str">
        <f t="shared" si="1329"/>
        <v>TB</v>
      </c>
      <c r="BS92" s="30" t="str">
        <f t="shared" si="1329"/>
        <v>TB</v>
      </c>
      <c r="BT92" s="30" t="str">
        <f t="shared" si="1329"/>
        <v>TB</v>
      </c>
      <c r="BU92" s="30" t="str">
        <f t="shared" si="1329"/>
        <v>TB</v>
      </c>
      <c r="BV92" s="30" t="str">
        <f t="shared" si="1329"/>
        <v>TB</v>
      </c>
      <c r="BW92" s="30" t="str">
        <f t="shared" si="1329"/>
        <v>TB</v>
      </c>
      <c r="BX92" s="60" t="str">
        <f t="shared" si="1329"/>
        <v>TB</v>
      </c>
      <c r="BY92" s="29" t="str">
        <f t="shared" si="1329"/>
        <v>TB</v>
      </c>
      <c r="BZ92" s="29" t="str">
        <f t="shared" si="1329"/>
        <v>TB</v>
      </c>
      <c r="CA92" s="30" t="str">
        <f t="shared" si="1329"/>
        <v>TB</v>
      </c>
      <c r="CB92" s="30" t="str">
        <f t="shared" si="1329"/>
        <v>TB</v>
      </c>
      <c r="CC92" s="30" t="str">
        <f t="shared" si="1329"/>
        <v>TB</v>
      </c>
      <c r="CD92" s="70" t="str">
        <f t="shared" si="1329"/>
        <v>BAB</v>
      </c>
      <c r="CE92" s="30" t="str">
        <f t="shared" si="1329"/>
        <v>TB</v>
      </c>
      <c r="CF92" s="30" t="str">
        <f t="shared" si="1329"/>
        <v>TB</v>
      </c>
      <c r="CG92" s="30" t="str">
        <f t="shared" si="1329"/>
        <v>TB</v>
      </c>
      <c r="CH92" s="30" t="str">
        <f t="shared" si="1329"/>
        <v>TB</v>
      </c>
      <c r="CI92" s="30" t="str">
        <f t="shared" si="1329"/>
        <v>TB</v>
      </c>
      <c r="CJ92" s="30" t="str">
        <f t="shared" si="1329"/>
        <v>TB</v>
      </c>
      <c r="CK92" s="30" t="str">
        <f t="shared" si="1329"/>
        <v>TB</v>
      </c>
      <c r="CL92" s="30" t="str">
        <f t="shared" si="1329"/>
        <v>TB</v>
      </c>
      <c r="CM92" s="30" t="str">
        <f t="shared" si="1329"/>
        <v>TB</v>
      </c>
      <c r="CN92" s="30" t="str">
        <f t="shared" si="1329"/>
        <v>TB</v>
      </c>
      <c r="CO92" s="30" t="str">
        <f t="shared" si="1329"/>
        <v>TB</v>
      </c>
      <c r="CP92" s="30" t="str">
        <f t="shared" si="1329"/>
        <v>TB</v>
      </c>
      <c r="CQ92" s="30" t="str">
        <f t="shared" si="1329"/>
        <v>TB</v>
      </c>
      <c r="CR92" s="30" t="str">
        <f t="shared" si="1329"/>
        <v>TB</v>
      </c>
      <c r="CS92" s="30" t="str">
        <f t="shared" si="1329"/>
        <v>TB</v>
      </c>
      <c r="CT92" s="30" t="str">
        <f t="shared" si="1329"/>
        <v>TB</v>
      </c>
      <c r="CU92" s="30" t="str">
        <f t="shared" si="1329"/>
        <v>TB</v>
      </c>
      <c r="CV92" s="60" t="str">
        <f t="shared" si="1329"/>
        <v>TB</v>
      </c>
      <c r="CW92" s="29" t="str">
        <f t="shared" ref="CW92:DT92" si="1330">IF(CV41="B",IF(CW86="K",IF(CW90&gt;=23.955,"BAB",IF(CW90&gt;=28.747,"BAB","TB")),"TB"),"TB")</f>
        <v>TB</v>
      </c>
      <c r="CX92" s="29" t="str">
        <f t="shared" si="1330"/>
        <v>TB</v>
      </c>
      <c r="CY92" s="30" t="str">
        <f t="shared" si="1330"/>
        <v>TB</v>
      </c>
      <c r="CZ92" s="30" t="str">
        <f t="shared" si="1330"/>
        <v>TB</v>
      </c>
      <c r="DA92" s="30" t="str">
        <f t="shared" si="1330"/>
        <v>TB</v>
      </c>
      <c r="DB92" s="70" t="str">
        <f t="shared" si="1330"/>
        <v>BAB</v>
      </c>
      <c r="DC92" s="30" t="str">
        <f t="shared" si="1330"/>
        <v>TB</v>
      </c>
      <c r="DD92" s="30" t="str">
        <f t="shared" si="1330"/>
        <v>TB</v>
      </c>
      <c r="DE92" s="30" t="str">
        <f t="shared" si="1330"/>
        <v>TB</v>
      </c>
      <c r="DF92" s="30" t="str">
        <f t="shared" si="1330"/>
        <v>TB</v>
      </c>
      <c r="DG92" s="30" t="str">
        <f t="shared" si="1330"/>
        <v>TB</v>
      </c>
      <c r="DH92" s="30" t="str">
        <f t="shared" si="1330"/>
        <v>TB</v>
      </c>
      <c r="DI92" s="30" t="str">
        <f t="shared" si="1330"/>
        <v>TB</v>
      </c>
      <c r="DJ92" s="30" t="str">
        <f t="shared" si="1330"/>
        <v>TB</v>
      </c>
      <c r="DK92" s="30" t="str">
        <f t="shared" si="1330"/>
        <v>TB</v>
      </c>
      <c r="DL92" s="30" t="str">
        <f t="shared" si="1330"/>
        <v>TB</v>
      </c>
      <c r="DM92" s="30" t="str">
        <f t="shared" si="1330"/>
        <v>TB</v>
      </c>
      <c r="DN92" s="30" t="str">
        <f t="shared" si="1330"/>
        <v>TB</v>
      </c>
      <c r="DO92" s="30" t="str">
        <f t="shared" si="1330"/>
        <v>TB</v>
      </c>
      <c r="DP92" s="30" t="str">
        <f t="shared" si="1330"/>
        <v>TB</v>
      </c>
      <c r="DQ92" s="30" t="str">
        <f t="shared" si="1330"/>
        <v>TB</v>
      </c>
      <c r="DR92" s="30" t="str">
        <f t="shared" si="1330"/>
        <v>TB</v>
      </c>
      <c r="DS92" s="30" t="str">
        <f t="shared" si="1330"/>
        <v>TB</v>
      </c>
      <c r="DT92" s="60" t="str">
        <f t="shared" si="1330"/>
        <v>TB</v>
      </c>
    </row>
    <row r="93" spans="2:124" s="16" customFormat="1" ht="15.75" thickBot="1" x14ac:dyDescent="0.3">
      <c r="B93" s="20" t="s">
        <v>61</v>
      </c>
      <c r="C93" s="74"/>
      <c r="D93" s="21">
        <f t="shared" ref="D93:AG93" si="1331">IF(D90/28.747*10&lt;=10,D90/28.747*10,10)</f>
        <v>0.25585278463839706</v>
      </c>
      <c r="E93" s="21">
        <f t="shared" si="1331"/>
        <v>0.27120395171670092</v>
      </c>
      <c r="F93" s="21">
        <f t="shared" si="1331"/>
        <v>0.27120395171670092</v>
      </c>
      <c r="G93" s="21">
        <f t="shared" si="1331"/>
        <v>0.27120395171670092</v>
      </c>
      <c r="H93" s="21">
        <f t="shared" si="1331"/>
        <v>0.27120395171670092</v>
      </c>
      <c r="I93" s="21">
        <f t="shared" si="1331"/>
        <v>0.27120395171670092</v>
      </c>
      <c r="J93" s="21">
        <f t="shared" si="1331"/>
        <v>0.90441662240994658</v>
      </c>
      <c r="K93" s="21">
        <f t="shared" si="1331"/>
        <v>1.4400991160412377</v>
      </c>
      <c r="L93" s="21">
        <f t="shared" si="1331"/>
        <v>1.9757816096725289</v>
      </c>
      <c r="M93" s="21">
        <f t="shared" si="1331"/>
        <v>2.5114641033038203</v>
      </c>
      <c r="N93" s="21">
        <f t="shared" si="1331"/>
        <v>2.2411763220457752</v>
      </c>
      <c r="O93" s="21">
        <f t="shared" si="1331"/>
        <v>2.6351707961115896</v>
      </c>
      <c r="P93" s="21">
        <f t="shared" si="1331"/>
        <v>3.0291652701774048</v>
      </c>
      <c r="Q93" s="21">
        <f t="shared" si="1331"/>
        <v>3.309360124468006</v>
      </c>
      <c r="R93" s="21">
        <f t="shared" si="1331"/>
        <v>3.5895549787586081</v>
      </c>
      <c r="S93" s="21">
        <f t="shared" si="1331"/>
        <v>3.8697498330492079</v>
      </c>
      <c r="T93" s="21">
        <f t="shared" si="1331"/>
        <v>4.1499446873398096</v>
      </c>
      <c r="U93" s="21">
        <f t="shared" si="1331"/>
        <v>4.4301395416304103</v>
      </c>
      <c r="V93" s="21">
        <f t="shared" si="1331"/>
        <v>4.7281982211481708</v>
      </c>
      <c r="W93" s="21">
        <f t="shared" si="1331"/>
        <v>5.0262569006659295</v>
      </c>
      <c r="X93" s="21">
        <f t="shared" si="1331"/>
        <v>5.3243155801836908</v>
      </c>
      <c r="Y93" s="21">
        <f t="shared" si="1331"/>
        <v>5.6223742597014503</v>
      </c>
      <c r="Z93" s="21">
        <f t="shared" si="1331"/>
        <v>5.9204329392192108</v>
      </c>
      <c r="AA93" s="21">
        <f t="shared" si="1331"/>
        <v>6.2070278233709031</v>
      </c>
      <c r="AB93" s="56">
        <f t="shared" si="1331"/>
        <v>6.4936227075225972</v>
      </c>
      <c r="AC93" s="21">
        <f t="shared" si="1331"/>
        <v>6.7802175916742904</v>
      </c>
      <c r="AD93" s="21">
        <f t="shared" si="1331"/>
        <v>7.0668124758259818</v>
      </c>
      <c r="AE93" s="21">
        <f t="shared" si="1331"/>
        <v>7.353407359977675</v>
      </c>
      <c r="AF93" s="21">
        <f t="shared" si="1331"/>
        <v>7.6400022441293691</v>
      </c>
      <c r="AG93" s="21">
        <f t="shared" si="1331"/>
        <v>7.9380609236471287</v>
      </c>
      <c r="AH93" s="21">
        <f>IF(AH90/28.747*10&lt;=10,AH90/28.747*10,10)</f>
        <v>10</v>
      </c>
      <c r="AI93" s="21">
        <f t="shared" ref="AI93:CT93" si="1332">IF(AI90/28.747*10&lt;=10,AI90/28.747*10,10)</f>
        <v>0.29968682974470501</v>
      </c>
      <c r="AJ93" s="21">
        <f t="shared" si="1332"/>
        <v>0.66996424410875854</v>
      </c>
      <c r="AK93" s="21">
        <f t="shared" si="1332"/>
        <v>1.4143326423831573</v>
      </c>
      <c r="AL93" s="21">
        <f t="shared" si="1332"/>
        <v>1.4105190728368655</v>
      </c>
      <c r="AM93" s="21">
        <f t="shared" si="1332"/>
        <v>1.7807964872009192</v>
      </c>
      <c r="AN93" s="21">
        <f t="shared" si="1332"/>
        <v>2.0959547102021618</v>
      </c>
      <c r="AO93" s="21">
        <f t="shared" si="1332"/>
        <v>2.4111129332034045</v>
      </c>
      <c r="AP93" s="21">
        <f t="shared" si="1332"/>
        <v>2.7262711562046467</v>
      </c>
      <c r="AQ93" s="21">
        <f t="shared" si="1332"/>
        <v>3.0414293792058884</v>
      </c>
      <c r="AR93" s="21">
        <f t="shared" si="1332"/>
        <v>3.3565876022071306</v>
      </c>
      <c r="AS93" s="21">
        <f t="shared" si="1332"/>
        <v>3.6717458252083741</v>
      </c>
      <c r="AT93" s="21">
        <f t="shared" si="1332"/>
        <v>4.0491745958776235</v>
      </c>
      <c r="AU93" s="21">
        <f t="shared" si="1332"/>
        <v>4.4266033665468729</v>
      </c>
      <c r="AV93" s="21">
        <f t="shared" si="1332"/>
        <v>4.8040321372161232</v>
      </c>
      <c r="AW93" s="21">
        <f t="shared" si="1332"/>
        <v>5.1814609078853744</v>
      </c>
      <c r="AX93" s="21">
        <f t="shared" si="1332"/>
        <v>5.5443731873750384</v>
      </c>
      <c r="AY93" s="21">
        <f t="shared" si="1332"/>
        <v>5.9072854668647024</v>
      </c>
      <c r="AZ93" s="56">
        <f t="shared" si="1332"/>
        <v>6.2701977463543646</v>
      </c>
      <c r="BA93" s="21">
        <f t="shared" si="1332"/>
        <v>6.6331100258440294</v>
      </c>
      <c r="BB93" s="21">
        <f t="shared" si="1332"/>
        <v>6.9960223053336925</v>
      </c>
      <c r="BC93" s="21">
        <f t="shared" si="1332"/>
        <v>7.3589345848233556</v>
      </c>
      <c r="BD93" s="21">
        <f t="shared" si="1332"/>
        <v>7.7218468643130187</v>
      </c>
      <c r="BE93" s="21">
        <f t="shared" si="1332"/>
        <v>8.0992756349822699</v>
      </c>
      <c r="BF93" s="21">
        <f t="shared" si="1332"/>
        <v>10</v>
      </c>
      <c r="BG93" s="21">
        <f t="shared" si="1332"/>
        <v>0.30496919564901853</v>
      </c>
      <c r="BH93" s="21">
        <f t="shared" si="1332"/>
        <v>0.7439173667691481</v>
      </c>
      <c r="BI93" s="21">
        <f t="shared" si="1332"/>
        <v>1.6082468224191402</v>
      </c>
      <c r="BJ93" s="21">
        <f t="shared" si="1332"/>
        <v>1.6218137090094071</v>
      </c>
      <c r="BK93" s="21">
        <f t="shared" si="1332"/>
        <v>2.0607618801295366</v>
      </c>
      <c r="BL93" s="21">
        <f t="shared" si="1332"/>
        <v>2.4864886180807626</v>
      </c>
      <c r="BM93" s="21">
        <f t="shared" si="1332"/>
        <v>2.9122153560319881</v>
      </c>
      <c r="BN93" s="21">
        <f t="shared" si="1332"/>
        <v>3.3379420939832127</v>
      </c>
      <c r="BO93" s="21">
        <f t="shared" si="1332"/>
        <v>3.7636688319344396</v>
      </c>
      <c r="BP93" s="21">
        <f t="shared" si="1332"/>
        <v>4.1893955698856651</v>
      </c>
      <c r="BQ93" s="21">
        <f t="shared" si="1332"/>
        <v>4.6151223078368906</v>
      </c>
      <c r="BR93" s="21">
        <f t="shared" si="1332"/>
        <v>5.0895233601598653</v>
      </c>
      <c r="BS93" s="21">
        <f t="shared" si="1332"/>
        <v>5.56392441248284</v>
      </c>
      <c r="BT93" s="21">
        <f t="shared" si="1332"/>
        <v>6.0383254648058147</v>
      </c>
      <c r="BU93" s="21">
        <f t="shared" si="1332"/>
        <v>6.5127265171287894</v>
      </c>
      <c r="BV93" s="21">
        <f t="shared" si="1332"/>
        <v>6.9871275694517649</v>
      </c>
      <c r="BW93" s="21">
        <f t="shared" si="1332"/>
        <v>7.4432824274546263</v>
      </c>
      <c r="BX93" s="56">
        <f t="shared" si="1332"/>
        <v>7.8994372854574859</v>
      </c>
      <c r="BY93" s="21">
        <f t="shared" si="1332"/>
        <v>8.3555921434603473</v>
      </c>
      <c r="BZ93" s="21">
        <f t="shared" si="1332"/>
        <v>8.8117470014632087</v>
      </c>
      <c r="CA93" s="21">
        <f t="shared" si="1332"/>
        <v>9.2679018594660683</v>
      </c>
      <c r="CB93" s="21">
        <f t="shared" si="1332"/>
        <v>9.7240567174689261</v>
      </c>
      <c r="CC93" s="21">
        <f t="shared" si="1332"/>
        <v>10</v>
      </c>
      <c r="CD93" s="21">
        <f t="shared" si="1332"/>
        <v>10</v>
      </c>
      <c r="CE93" s="21">
        <f t="shared" si="1332"/>
        <v>0.30848708156959065</v>
      </c>
      <c r="CF93" s="21">
        <f t="shared" si="1332"/>
        <v>0.7931677696571573</v>
      </c>
      <c r="CG93" s="21">
        <f t="shared" si="1332"/>
        <v>1.7373874340512907</v>
      </c>
      <c r="CH93" s="21">
        <f t="shared" si="1332"/>
        <v>1.7625291458322905</v>
      </c>
      <c r="CI93" s="21">
        <f t="shared" si="1332"/>
        <v>2.2472098339198578</v>
      </c>
      <c r="CJ93" s="21">
        <f t="shared" si="1332"/>
        <v>2.6905081248171681</v>
      </c>
      <c r="CK93" s="21">
        <f t="shared" si="1332"/>
        <v>3.1338064157144787</v>
      </c>
      <c r="CL93" s="21">
        <f t="shared" si="1332"/>
        <v>3.577104706611788</v>
      </c>
      <c r="CM93" s="21">
        <f t="shared" si="1332"/>
        <v>4.0204029975090974</v>
      </c>
      <c r="CN93" s="21">
        <f t="shared" si="1332"/>
        <v>4.4637012884064058</v>
      </c>
      <c r="CO93" s="21">
        <f t="shared" si="1332"/>
        <v>4.906999579303716</v>
      </c>
      <c r="CP93" s="21">
        <f t="shared" si="1332"/>
        <v>5.4081106934855878</v>
      </c>
      <c r="CQ93" s="21">
        <f t="shared" si="1332"/>
        <v>5.9092218076674587</v>
      </c>
      <c r="CR93" s="21">
        <f t="shared" si="1332"/>
        <v>6.4103329218493297</v>
      </c>
      <c r="CS93" s="21">
        <f t="shared" si="1332"/>
        <v>6.9114440360312024</v>
      </c>
      <c r="CT93" s="21">
        <f t="shared" si="1332"/>
        <v>7.4125551502130733</v>
      </c>
      <c r="CU93" s="21">
        <f t="shared" ref="CU93:DT93" si="1333">IF(CU90/28.747*10&lt;=10,CU90/28.747*10,10)</f>
        <v>7.8943927600033348</v>
      </c>
      <c r="CV93" s="56">
        <f t="shared" si="1333"/>
        <v>8.3762303697935945</v>
      </c>
      <c r="CW93" s="21">
        <f t="shared" si="1333"/>
        <v>8.8580679795838577</v>
      </c>
      <c r="CX93" s="21">
        <f t="shared" si="1333"/>
        <v>9.3399055893741156</v>
      </c>
      <c r="CY93" s="21">
        <f t="shared" si="1333"/>
        <v>9.8217431991643789</v>
      </c>
      <c r="CZ93" s="21">
        <f t="shared" si="1333"/>
        <v>10</v>
      </c>
      <c r="DA93" s="21">
        <f t="shared" si="1333"/>
        <v>10</v>
      </c>
      <c r="DB93" s="21">
        <f t="shared" si="1333"/>
        <v>10</v>
      </c>
      <c r="DC93" s="21">
        <f t="shared" si="1333"/>
        <v>0.30994201954757522</v>
      </c>
      <c r="DD93" s="21">
        <f t="shared" si="1333"/>
        <v>0.81353690134894141</v>
      </c>
      <c r="DE93" s="21">
        <f t="shared" si="1333"/>
        <v>1.7907978016999417</v>
      </c>
      <c r="DF93" s="21">
        <f t="shared" si="1333"/>
        <v>1.8207266649516738</v>
      </c>
      <c r="DG93" s="21">
        <f t="shared" si="1333"/>
        <v>2.3243215467530405</v>
      </c>
      <c r="DH93" s="21">
        <f t="shared" si="1333"/>
        <v>2.7880547234213022</v>
      </c>
      <c r="DI93" s="21">
        <f t="shared" si="1333"/>
        <v>3.2517879000895649</v>
      </c>
      <c r="DJ93" s="21">
        <f t="shared" si="1333"/>
        <v>3.7155210767578279</v>
      </c>
      <c r="DK93" s="21">
        <f t="shared" si="1333"/>
        <v>4.1792542534260892</v>
      </c>
      <c r="DL93" s="21">
        <f t="shared" si="1333"/>
        <v>4.6429874300943519</v>
      </c>
      <c r="DM93" s="21">
        <f t="shared" si="1333"/>
        <v>5.1067206067626136</v>
      </c>
      <c r="DN93" s="21">
        <f t="shared" si="1333"/>
        <v>5.6277731272341462</v>
      </c>
      <c r="DO93" s="21">
        <f t="shared" si="1333"/>
        <v>6.148825647705678</v>
      </c>
      <c r="DP93" s="21">
        <f t="shared" si="1333"/>
        <v>6.6698781681772088</v>
      </c>
      <c r="DQ93" s="21">
        <f t="shared" si="1333"/>
        <v>7.1909306886487414</v>
      </c>
      <c r="DR93" s="21">
        <f t="shared" si="1333"/>
        <v>7.7119832091202731</v>
      </c>
      <c r="DS93" s="21">
        <f t="shared" si="1333"/>
        <v>8.212995248035206</v>
      </c>
      <c r="DT93" s="56">
        <f t="shared" si="1333"/>
        <v>8.7140072869501424</v>
      </c>
    </row>
    <row r="94" spans="2:124" x14ac:dyDescent="0.25">
      <c r="D94" s="100"/>
      <c r="E94" s="122" t="s">
        <v>69</v>
      </c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  <c r="AB94" s="124"/>
      <c r="AC94" s="125" t="s">
        <v>70</v>
      </c>
      <c r="AD94" s="126"/>
      <c r="AE94" s="126"/>
      <c r="AF94" s="126"/>
      <c r="AG94" s="126"/>
      <c r="AH94" s="126"/>
      <c r="AI94" s="126"/>
      <c r="AJ94" s="126"/>
      <c r="AK94" s="126"/>
      <c r="AL94" s="126"/>
      <c r="AM94" s="126"/>
      <c r="AN94" s="126"/>
      <c r="AO94" s="126"/>
      <c r="AP94" s="126"/>
      <c r="AQ94" s="126"/>
      <c r="AR94" s="126"/>
      <c r="AS94" s="126"/>
      <c r="AT94" s="126"/>
      <c r="AU94" s="126"/>
      <c r="AV94" s="126"/>
      <c r="AW94" s="126"/>
      <c r="AX94" s="126"/>
      <c r="AY94" s="126"/>
      <c r="AZ94" s="127"/>
      <c r="BA94" s="122" t="s">
        <v>71</v>
      </c>
      <c r="BB94" s="123"/>
      <c r="BC94" s="123"/>
      <c r="BD94" s="123"/>
      <c r="BE94" s="123"/>
      <c r="BF94" s="123"/>
      <c r="BG94" s="123"/>
      <c r="BH94" s="123"/>
      <c r="BI94" s="123"/>
      <c r="BJ94" s="123"/>
      <c r="BK94" s="123"/>
      <c r="BL94" s="123"/>
      <c r="BM94" s="123"/>
      <c r="BN94" s="123"/>
      <c r="BO94" s="123"/>
      <c r="BP94" s="123"/>
      <c r="BQ94" s="123"/>
      <c r="BR94" s="123"/>
      <c r="BS94" s="123"/>
      <c r="BT94" s="123"/>
      <c r="BU94" s="123"/>
      <c r="BV94" s="123"/>
      <c r="BW94" s="123"/>
      <c r="BX94" s="124"/>
      <c r="BY94" s="125" t="s">
        <v>72</v>
      </c>
      <c r="BZ94" s="126"/>
      <c r="CA94" s="126"/>
      <c r="CB94" s="126"/>
      <c r="CC94" s="126"/>
      <c r="CD94" s="126"/>
      <c r="CE94" s="126"/>
      <c r="CF94" s="126"/>
      <c r="CG94" s="126"/>
      <c r="CH94" s="126"/>
      <c r="CI94" s="126"/>
      <c r="CJ94" s="126"/>
      <c r="CK94" s="126"/>
      <c r="CL94" s="126"/>
      <c r="CM94" s="126"/>
      <c r="CN94" s="126"/>
      <c r="CO94" s="126"/>
      <c r="CP94" s="126"/>
      <c r="CQ94" s="126"/>
      <c r="CR94" s="126"/>
      <c r="CS94" s="126"/>
      <c r="CT94" s="126"/>
      <c r="CU94" s="126"/>
      <c r="CV94" s="127"/>
      <c r="CW94" s="122" t="s">
        <v>73</v>
      </c>
      <c r="CX94" s="123"/>
      <c r="CY94" s="123"/>
      <c r="CZ94" s="123"/>
      <c r="DA94" s="123"/>
      <c r="DB94" s="123"/>
      <c r="DC94" s="123"/>
      <c r="DD94" s="123"/>
      <c r="DE94" s="123"/>
      <c r="DF94" s="123"/>
      <c r="DG94" s="123"/>
      <c r="DH94" s="123"/>
      <c r="DI94" s="123"/>
      <c r="DJ94" s="123"/>
      <c r="DK94" s="123"/>
      <c r="DL94" s="123"/>
      <c r="DM94" s="123"/>
      <c r="DN94" s="123"/>
      <c r="DO94" s="123"/>
      <c r="DP94" s="123"/>
      <c r="DQ94" s="123"/>
      <c r="DR94" s="123"/>
      <c r="DS94" s="123"/>
      <c r="DT94" s="124"/>
    </row>
    <row r="95" spans="2:124" x14ac:dyDescent="0.25">
      <c r="B95" s="4" t="s">
        <v>62</v>
      </c>
      <c r="D95" s="100"/>
      <c r="E95" s="22">
        <v>4.1666666666666664E-2</v>
      </c>
      <c r="F95" s="23">
        <v>8.3333333333333301E-2</v>
      </c>
      <c r="G95" s="23">
        <v>0.125</v>
      </c>
      <c r="H95" s="23">
        <v>0.16666666666666699</v>
      </c>
      <c r="I95" s="23">
        <v>0.20833333333333301</v>
      </c>
      <c r="J95" s="23">
        <v>0.25</v>
      </c>
      <c r="K95" s="23">
        <v>0.29166666666666702</v>
      </c>
      <c r="L95" s="23">
        <v>0.33333333333333298</v>
      </c>
      <c r="M95" s="23">
        <v>0.375</v>
      </c>
      <c r="N95" s="23">
        <v>0.41666666666666702</v>
      </c>
      <c r="O95" s="23">
        <v>0.45833333333333298</v>
      </c>
      <c r="P95" s="23">
        <v>0.5</v>
      </c>
      <c r="Q95" s="23">
        <v>0.54166666666666696</v>
      </c>
      <c r="R95" s="23">
        <v>0.58333333333333304</v>
      </c>
      <c r="S95" s="23">
        <v>0.625</v>
      </c>
      <c r="T95" s="23">
        <v>0.66666666666666696</v>
      </c>
      <c r="U95" s="23">
        <v>0.70833333333333304</v>
      </c>
      <c r="V95" s="23">
        <v>0.75</v>
      </c>
      <c r="W95" s="23">
        <v>0.79166666666666696</v>
      </c>
      <c r="X95" s="23">
        <v>0.83333333333333304</v>
      </c>
      <c r="Y95" s="23">
        <v>0.875</v>
      </c>
      <c r="Z95" s="23">
        <v>0.91666666666666696</v>
      </c>
      <c r="AA95" s="23">
        <v>0.95833333333333404</v>
      </c>
      <c r="AB95" s="57">
        <v>1</v>
      </c>
      <c r="AC95" s="22">
        <v>1.0416666666666701</v>
      </c>
      <c r="AD95" s="23">
        <v>1.0833333333333299</v>
      </c>
      <c r="AE95" s="23">
        <v>0.125</v>
      </c>
      <c r="AF95" s="23">
        <v>0.16666666666666699</v>
      </c>
      <c r="AG95" s="23">
        <v>0.20833333333333301</v>
      </c>
      <c r="AH95" s="23">
        <v>0.25</v>
      </c>
      <c r="AI95" s="23">
        <v>0.29166666666666702</v>
      </c>
      <c r="AJ95" s="23">
        <v>0.33333333333333298</v>
      </c>
      <c r="AK95" s="23">
        <v>0.375</v>
      </c>
      <c r="AL95" s="23">
        <v>0.41666666666666702</v>
      </c>
      <c r="AM95" s="23">
        <v>0.45833333333333298</v>
      </c>
      <c r="AN95" s="23">
        <v>0.5</v>
      </c>
      <c r="AO95" s="23">
        <v>0.54166666666666696</v>
      </c>
      <c r="AP95" s="23">
        <v>0.58333333333333304</v>
      </c>
      <c r="AQ95" s="23">
        <v>0.625</v>
      </c>
      <c r="AR95" s="23">
        <v>0.66666666666666696</v>
      </c>
      <c r="AS95" s="23">
        <v>0.70833333333333304</v>
      </c>
      <c r="AT95" s="23">
        <v>0.75</v>
      </c>
      <c r="AU95" s="23">
        <v>0.79166666666666696</v>
      </c>
      <c r="AV95" s="23">
        <v>0.83333333333333304</v>
      </c>
      <c r="AW95" s="23">
        <v>0.875</v>
      </c>
      <c r="AX95" s="23">
        <v>0.91666666666666696</v>
      </c>
      <c r="AY95" s="23">
        <v>0.95833333333333404</v>
      </c>
      <c r="AZ95" s="57">
        <v>1</v>
      </c>
      <c r="BA95" s="22">
        <v>1.0416666666666701</v>
      </c>
      <c r="BB95" s="23">
        <v>1.0833333333333299</v>
      </c>
      <c r="BC95" s="23">
        <v>0.125</v>
      </c>
      <c r="BD95" s="23">
        <v>0.16666666666666699</v>
      </c>
      <c r="BE95" s="23">
        <v>0.20833333333333301</v>
      </c>
      <c r="BF95" s="23">
        <v>0.25</v>
      </c>
      <c r="BG95" s="23">
        <v>0.29166666666666702</v>
      </c>
      <c r="BH95" s="23">
        <v>0.33333333333333298</v>
      </c>
      <c r="BI95" s="23">
        <v>0.375</v>
      </c>
      <c r="BJ95" s="23">
        <v>0.41666666666666702</v>
      </c>
      <c r="BK95" s="23">
        <v>0.45833333333333298</v>
      </c>
      <c r="BL95" s="23">
        <v>0.5</v>
      </c>
      <c r="BM95" s="23">
        <v>0.54166666666666696</v>
      </c>
      <c r="BN95" s="23">
        <v>0.58333333333333304</v>
      </c>
      <c r="BO95" s="23">
        <v>0.625</v>
      </c>
      <c r="BP95" s="23">
        <v>0.66666666666666696</v>
      </c>
      <c r="BQ95" s="23">
        <v>0.70833333333333304</v>
      </c>
      <c r="BR95" s="23">
        <v>0.75</v>
      </c>
      <c r="BS95" s="23">
        <v>0.79166666666666696</v>
      </c>
      <c r="BT95" s="23">
        <v>0.83333333333333304</v>
      </c>
      <c r="BU95" s="23">
        <v>0.875</v>
      </c>
      <c r="BV95" s="23">
        <v>0.91666666666666696</v>
      </c>
      <c r="BW95" s="23">
        <v>0.95833333333333404</v>
      </c>
      <c r="BX95" s="57">
        <v>1</v>
      </c>
      <c r="BY95" s="22">
        <v>1.0416666666666701</v>
      </c>
      <c r="BZ95" s="23">
        <v>1.0833333333333299</v>
      </c>
      <c r="CA95" s="23">
        <v>0.125</v>
      </c>
      <c r="CB95" s="23">
        <v>0.16666666666666699</v>
      </c>
      <c r="CC95" s="23">
        <v>0.20833333333333301</v>
      </c>
      <c r="CD95" s="23">
        <v>0.25</v>
      </c>
      <c r="CE95" s="23">
        <v>0.29166666666666702</v>
      </c>
      <c r="CF95" s="23">
        <v>0.33333333333333298</v>
      </c>
      <c r="CG95" s="23">
        <v>0.375</v>
      </c>
      <c r="CH95" s="23">
        <v>0.41666666666666702</v>
      </c>
      <c r="CI95" s="23">
        <v>0.45833333333333298</v>
      </c>
      <c r="CJ95" s="23">
        <v>0.5</v>
      </c>
      <c r="CK95" s="23">
        <v>0.54166666666666696</v>
      </c>
      <c r="CL95" s="23">
        <v>0.58333333333333304</v>
      </c>
      <c r="CM95" s="23">
        <v>0.625</v>
      </c>
      <c r="CN95" s="23">
        <v>0.66666666666666696</v>
      </c>
      <c r="CO95" s="23">
        <v>0.70833333333333304</v>
      </c>
      <c r="CP95" s="23">
        <v>0.75</v>
      </c>
      <c r="CQ95" s="23">
        <v>0.79166666666666696</v>
      </c>
      <c r="CR95" s="23">
        <v>0.83333333333333304</v>
      </c>
      <c r="CS95" s="23">
        <v>0.875</v>
      </c>
      <c r="CT95" s="23">
        <v>0.91666666666666696</v>
      </c>
      <c r="CU95" s="23">
        <v>0.95833333333333404</v>
      </c>
      <c r="CV95" s="57">
        <v>1</v>
      </c>
      <c r="CW95" s="22">
        <v>1.0416666666666701</v>
      </c>
      <c r="CX95" s="23">
        <v>1.0833333333333299</v>
      </c>
      <c r="CY95" s="23">
        <v>0.125</v>
      </c>
      <c r="CZ95" s="23">
        <v>0.16666666666666699</v>
      </c>
      <c r="DA95" s="23">
        <v>0.20833333333333301</v>
      </c>
      <c r="DB95" s="23">
        <v>0.25</v>
      </c>
      <c r="DC95" s="23">
        <v>0.29166666666666702</v>
      </c>
      <c r="DD95" s="23">
        <v>0.33333333333333298</v>
      </c>
      <c r="DE95" s="23">
        <v>0.375</v>
      </c>
      <c r="DF95" s="23">
        <v>0.41666666666666702</v>
      </c>
      <c r="DG95" s="23">
        <v>0.45833333333333298</v>
      </c>
      <c r="DH95" s="23">
        <v>0.5</v>
      </c>
      <c r="DI95" s="23">
        <v>0.54166666666666696</v>
      </c>
      <c r="DJ95" s="23">
        <v>0.58333333333333304</v>
      </c>
      <c r="DK95" s="23">
        <v>0.625</v>
      </c>
      <c r="DL95" s="23">
        <v>0.66666666666666696</v>
      </c>
      <c r="DM95" s="23">
        <v>0.70833333333333304</v>
      </c>
      <c r="DN95" s="23">
        <v>0.75</v>
      </c>
      <c r="DO95" s="23">
        <v>0.79166666666666696</v>
      </c>
      <c r="DP95" s="23">
        <v>0.83333333333333304</v>
      </c>
      <c r="DQ95" s="23">
        <v>0.875</v>
      </c>
      <c r="DR95" s="23">
        <v>0.91666666666666696</v>
      </c>
      <c r="DS95" s="23">
        <v>0.95833333333333404</v>
      </c>
      <c r="DT95" s="57">
        <v>1</v>
      </c>
    </row>
    <row r="96" spans="2:124" x14ac:dyDescent="0.25">
      <c r="B96" s="3" t="s">
        <v>63</v>
      </c>
      <c r="D96" s="102">
        <v>2</v>
      </c>
      <c r="E96" s="47">
        <f>D103</f>
        <v>3.083333333333333</v>
      </c>
      <c r="F96" s="24">
        <f t="shared" ref="F96:BQ96" si="1334">E103</f>
        <v>3.3995833333333332</v>
      </c>
      <c r="G96" s="24">
        <f t="shared" si="1334"/>
        <v>3.7158333333333333</v>
      </c>
      <c r="H96" s="24">
        <f t="shared" si="1334"/>
        <v>4.0320833333333335</v>
      </c>
      <c r="I96" s="24">
        <f t="shared" si="1334"/>
        <v>4.5983333333333336</v>
      </c>
      <c r="J96" s="24">
        <f t="shared" si="1334"/>
        <v>5.2308333333333339</v>
      </c>
      <c r="K96" s="24">
        <f t="shared" si="1334"/>
        <v>8.8633333333333333</v>
      </c>
      <c r="L96" s="24">
        <f t="shared" si="1334"/>
        <v>0</v>
      </c>
      <c r="M96" s="24">
        <f t="shared" si="1334"/>
        <v>0.63250000000000006</v>
      </c>
      <c r="N96" s="24">
        <f t="shared" si="1334"/>
        <v>1.2650000000000001</v>
      </c>
      <c r="O96" s="24">
        <f t="shared" si="1334"/>
        <v>1.8975000000000002</v>
      </c>
      <c r="P96" s="24">
        <f t="shared" si="1334"/>
        <v>2.5300000000000002</v>
      </c>
      <c r="Q96" s="24">
        <f t="shared" si="1334"/>
        <v>3.1625000000000001</v>
      </c>
      <c r="R96" s="24">
        <f t="shared" si="1334"/>
        <v>3.7949999999999999</v>
      </c>
      <c r="S96" s="24">
        <f t="shared" si="1334"/>
        <v>4.4275000000000002</v>
      </c>
      <c r="T96" s="24">
        <f t="shared" si="1334"/>
        <v>8.06</v>
      </c>
      <c r="U96" s="24">
        <f t="shared" si="1334"/>
        <v>0</v>
      </c>
      <c r="V96" s="24">
        <f t="shared" si="1334"/>
        <v>0.63250000000000006</v>
      </c>
      <c r="W96" s="24">
        <f t="shared" si="1334"/>
        <v>1.2650000000000001</v>
      </c>
      <c r="X96" s="24">
        <f t="shared" si="1334"/>
        <v>1.8975000000000002</v>
      </c>
      <c r="Y96" s="24">
        <f t="shared" si="1334"/>
        <v>2.5300000000000002</v>
      </c>
      <c r="Z96" s="24">
        <f t="shared" si="1334"/>
        <v>3.1625000000000001</v>
      </c>
      <c r="AA96" s="24">
        <f t="shared" si="1334"/>
        <v>3.5449999999999999</v>
      </c>
      <c r="AB96" s="55">
        <f t="shared" si="1334"/>
        <v>3.8612500000000001</v>
      </c>
      <c r="AC96" s="18">
        <f t="shared" si="1334"/>
        <v>4.1775000000000002</v>
      </c>
      <c r="AD96" s="24">
        <f t="shared" si="1334"/>
        <v>4.4937500000000004</v>
      </c>
      <c r="AE96" s="24">
        <f t="shared" si="1334"/>
        <v>4.8100000000000005</v>
      </c>
      <c r="AF96" s="24">
        <f t="shared" si="1334"/>
        <v>5.1262500000000006</v>
      </c>
      <c r="AG96" s="24">
        <f t="shared" si="1334"/>
        <v>5.6925000000000008</v>
      </c>
      <c r="AH96" s="24">
        <f t="shared" si="1334"/>
        <v>9.3250000000000011</v>
      </c>
      <c r="AI96" s="24">
        <f t="shared" si="1334"/>
        <v>0</v>
      </c>
      <c r="AJ96" s="24">
        <f t="shared" si="1334"/>
        <v>0.63250000000000006</v>
      </c>
      <c r="AK96" s="24">
        <f t="shared" si="1334"/>
        <v>1.2650000000000001</v>
      </c>
      <c r="AL96" s="24">
        <f t="shared" si="1334"/>
        <v>1.8975000000000002</v>
      </c>
      <c r="AM96" s="24">
        <f t="shared" si="1334"/>
        <v>2.5300000000000002</v>
      </c>
      <c r="AN96" s="24">
        <f t="shared" si="1334"/>
        <v>3.1625000000000001</v>
      </c>
      <c r="AO96" s="24">
        <f t="shared" si="1334"/>
        <v>3.7949999999999999</v>
      </c>
      <c r="AP96" s="24">
        <f t="shared" si="1334"/>
        <v>4.4275000000000002</v>
      </c>
      <c r="AQ96" s="24">
        <f t="shared" si="1334"/>
        <v>5.0600000000000005</v>
      </c>
      <c r="AR96" s="24">
        <f t="shared" si="1334"/>
        <v>5.6925000000000008</v>
      </c>
      <c r="AS96" s="24">
        <f t="shared" si="1334"/>
        <v>6.3250000000000011</v>
      </c>
      <c r="AT96" s="24">
        <f t="shared" si="1334"/>
        <v>6.9575000000000014</v>
      </c>
      <c r="AU96" s="24">
        <f t="shared" si="1334"/>
        <v>10.590000000000002</v>
      </c>
      <c r="AV96" s="24">
        <f t="shared" si="1334"/>
        <v>0</v>
      </c>
      <c r="AW96" s="24">
        <f t="shared" si="1334"/>
        <v>0.63250000000000006</v>
      </c>
      <c r="AX96" s="24">
        <f t="shared" si="1334"/>
        <v>1.0150000000000001</v>
      </c>
      <c r="AY96" s="24">
        <f t="shared" si="1334"/>
        <v>1.33125</v>
      </c>
      <c r="AZ96" s="55">
        <f t="shared" si="1334"/>
        <v>1.6475</v>
      </c>
      <c r="BA96" s="18">
        <f t="shared" si="1334"/>
        <v>1.9637499999999999</v>
      </c>
      <c r="BB96" s="24">
        <f t="shared" si="1334"/>
        <v>2.2799999999999998</v>
      </c>
      <c r="BC96" s="24">
        <f t="shared" si="1334"/>
        <v>2.5962499999999999</v>
      </c>
      <c r="BD96" s="24">
        <f t="shared" si="1334"/>
        <v>2.9125000000000001</v>
      </c>
      <c r="BE96" s="24">
        <f t="shared" si="1334"/>
        <v>3.4787500000000002</v>
      </c>
      <c r="BF96" s="24">
        <f t="shared" si="1334"/>
        <v>7.1112500000000001</v>
      </c>
      <c r="BG96" s="24">
        <f t="shared" si="1334"/>
        <v>10.74375</v>
      </c>
      <c r="BH96" s="24">
        <f t="shared" si="1334"/>
        <v>0</v>
      </c>
      <c r="BI96" s="24">
        <f t="shared" si="1334"/>
        <v>0.63250000000000006</v>
      </c>
      <c r="BJ96" s="24">
        <f t="shared" si="1334"/>
        <v>1.2650000000000001</v>
      </c>
      <c r="BK96" s="24">
        <f t="shared" si="1334"/>
        <v>1.8975000000000002</v>
      </c>
      <c r="BL96" s="24">
        <f t="shared" si="1334"/>
        <v>2.5300000000000002</v>
      </c>
      <c r="BM96" s="24">
        <f t="shared" si="1334"/>
        <v>3.1625000000000001</v>
      </c>
      <c r="BN96" s="24">
        <f t="shared" si="1334"/>
        <v>3.7949999999999999</v>
      </c>
      <c r="BO96" s="24">
        <f t="shared" si="1334"/>
        <v>4.4275000000000002</v>
      </c>
      <c r="BP96" s="24">
        <f t="shared" si="1334"/>
        <v>5.0600000000000005</v>
      </c>
      <c r="BQ96" s="24">
        <f t="shared" si="1334"/>
        <v>5.6925000000000008</v>
      </c>
      <c r="BR96" s="24">
        <f t="shared" ref="BR96:DT96" si="1335">BQ103</f>
        <v>6.3250000000000011</v>
      </c>
      <c r="BS96" s="24">
        <f t="shared" si="1335"/>
        <v>9.9575000000000014</v>
      </c>
      <c r="BT96" s="24">
        <f t="shared" si="1335"/>
        <v>0</v>
      </c>
      <c r="BU96" s="24">
        <f t="shared" si="1335"/>
        <v>0.63250000000000006</v>
      </c>
      <c r="BV96" s="24">
        <f t="shared" si="1335"/>
        <v>1.2650000000000001</v>
      </c>
      <c r="BW96" s="24">
        <f t="shared" si="1335"/>
        <v>1.6475000000000002</v>
      </c>
      <c r="BX96" s="55">
        <f t="shared" si="1335"/>
        <v>1.9637500000000001</v>
      </c>
      <c r="BY96" s="18">
        <f t="shared" si="1335"/>
        <v>2.2800000000000002</v>
      </c>
      <c r="BZ96" s="24">
        <f t="shared" si="1335"/>
        <v>2.5962500000000004</v>
      </c>
      <c r="CA96" s="24">
        <f t="shared" si="1335"/>
        <v>2.9125000000000005</v>
      </c>
      <c r="CB96" s="24">
        <f t="shared" si="1335"/>
        <v>3.2287500000000007</v>
      </c>
      <c r="CC96" s="24">
        <f t="shared" si="1335"/>
        <v>3.7950000000000008</v>
      </c>
      <c r="CD96" s="24">
        <f t="shared" si="1335"/>
        <v>7.4275000000000002</v>
      </c>
      <c r="CE96" s="24">
        <f t="shared" si="1335"/>
        <v>0</v>
      </c>
      <c r="CF96" s="24">
        <f t="shared" si="1335"/>
        <v>0.63250000000000006</v>
      </c>
      <c r="CG96" s="24">
        <f t="shared" si="1335"/>
        <v>1.2650000000000001</v>
      </c>
      <c r="CH96" s="24">
        <f t="shared" si="1335"/>
        <v>1.8975000000000002</v>
      </c>
      <c r="CI96" s="24">
        <f t="shared" si="1335"/>
        <v>2.5300000000000002</v>
      </c>
      <c r="CJ96" s="24">
        <f t="shared" si="1335"/>
        <v>3.1625000000000001</v>
      </c>
      <c r="CK96" s="24">
        <f t="shared" si="1335"/>
        <v>3.7949999999999999</v>
      </c>
      <c r="CL96" s="24">
        <f t="shared" si="1335"/>
        <v>4.4275000000000002</v>
      </c>
      <c r="CM96" s="24">
        <f t="shared" si="1335"/>
        <v>5.0600000000000005</v>
      </c>
      <c r="CN96" s="24">
        <f t="shared" si="1335"/>
        <v>5.6925000000000008</v>
      </c>
      <c r="CO96" s="24">
        <f t="shared" si="1335"/>
        <v>6.3250000000000011</v>
      </c>
      <c r="CP96" s="24">
        <f t="shared" si="1335"/>
        <v>6.9575000000000014</v>
      </c>
      <c r="CQ96" s="24">
        <f t="shared" si="1335"/>
        <v>10.590000000000002</v>
      </c>
      <c r="CR96" s="24">
        <f t="shared" si="1335"/>
        <v>0</v>
      </c>
      <c r="CS96" s="24">
        <f t="shared" si="1335"/>
        <v>0.63250000000000006</v>
      </c>
      <c r="CT96" s="24">
        <f t="shared" si="1335"/>
        <v>1.2650000000000001</v>
      </c>
      <c r="CU96" s="24">
        <f t="shared" si="1335"/>
        <v>1.6475000000000002</v>
      </c>
      <c r="CV96" s="55">
        <f t="shared" si="1335"/>
        <v>1.9637500000000001</v>
      </c>
      <c r="CW96" s="18">
        <f t="shared" si="1335"/>
        <v>2.2800000000000002</v>
      </c>
      <c r="CX96" s="24">
        <f t="shared" si="1335"/>
        <v>2.5962500000000004</v>
      </c>
      <c r="CY96" s="24">
        <f t="shared" si="1335"/>
        <v>2.9125000000000005</v>
      </c>
      <c r="CZ96" s="24">
        <f t="shared" si="1335"/>
        <v>3.2287500000000007</v>
      </c>
      <c r="DA96" s="24">
        <f t="shared" si="1335"/>
        <v>3.7950000000000008</v>
      </c>
      <c r="DB96" s="24">
        <f t="shared" si="1335"/>
        <v>7.4275000000000002</v>
      </c>
      <c r="DC96" s="24">
        <f t="shared" si="1335"/>
        <v>0</v>
      </c>
      <c r="DD96" s="24">
        <f t="shared" si="1335"/>
        <v>0.63250000000000006</v>
      </c>
      <c r="DE96" s="24">
        <f t="shared" si="1335"/>
        <v>1.2650000000000001</v>
      </c>
      <c r="DF96" s="24">
        <f t="shared" si="1335"/>
        <v>1.8975000000000002</v>
      </c>
      <c r="DG96" s="24">
        <f t="shared" si="1335"/>
        <v>2.5300000000000002</v>
      </c>
      <c r="DH96" s="24">
        <f t="shared" si="1335"/>
        <v>3.1625000000000001</v>
      </c>
      <c r="DI96" s="24">
        <f t="shared" si="1335"/>
        <v>3.7949999999999999</v>
      </c>
      <c r="DJ96" s="24">
        <f t="shared" si="1335"/>
        <v>4.4275000000000002</v>
      </c>
      <c r="DK96" s="24">
        <f t="shared" si="1335"/>
        <v>5.0600000000000005</v>
      </c>
      <c r="DL96" s="24">
        <f t="shared" si="1335"/>
        <v>5.6925000000000008</v>
      </c>
      <c r="DM96" s="24">
        <f t="shared" si="1335"/>
        <v>6.3250000000000011</v>
      </c>
      <c r="DN96" s="24">
        <f t="shared" si="1335"/>
        <v>6.9575000000000014</v>
      </c>
      <c r="DO96" s="24">
        <f t="shared" si="1335"/>
        <v>10.590000000000002</v>
      </c>
      <c r="DP96" s="24">
        <f t="shared" si="1335"/>
        <v>0</v>
      </c>
      <c r="DQ96" s="24">
        <f t="shared" si="1335"/>
        <v>0.63250000000000006</v>
      </c>
      <c r="DR96" s="24">
        <f t="shared" si="1335"/>
        <v>1.2650000000000001</v>
      </c>
      <c r="DS96" s="24">
        <f t="shared" si="1335"/>
        <v>1.6475000000000002</v>
      </c>
      <c r="DT96" s="55">
        <f t="shared" si="1335"/>
        <v>1.9637500000000001</v>
      </c>
    </row>
    <row r="97" spans="2:124" x14ac:dyDescent="0.25">
      <c r="B97" s="94" t="s">
        <v>64</v>
      </c>
      <c r="C97" s="93">
        <f>10/24</f>
        <v>0.41666666666666669</v>
      </c>
      <c r="D97" s="111">
        <f>IF(C41="T",$C$97*0.15,$C$97*0.3)</f>
        <v>6.25E-2</v>
      </c>
      <c r="E97" s="29">
        <f>IF(D41="T",$C$97*0.15,$C$97*0.3)</f>
        <v>6.25E-2</v>
      </c>
      <c r="F97" s="29">
        <f t="shared" ref="F97:BQ97" si="1336">IF(E41="T",$C$97*0.15,$C$97*0.3)</f>
        <v>6.25E-2</v>
      </c>
      <c r="G97" s="29">
        <f t="shared" si="1336"/>
        <v>6.25E-2</v>
      </c>
      <c r="H97" s="29">
        <f t="shared" si="1336"/>
        <v>6.25E-2</v>
      </c>
      <c r="I97" s="29">
        <f t="shared" si="1336"/>
        <v>0.125</v>
      </c>
      <c r="J97" s="29">
        <f t="shared" si="1336"/>
        <v>0.125</v>
      </c>
      <c r="K97" s="29">
        <f t="shared" si="1336"/>
        <v>0.125</v>
      </c>
      <c r="L97" s="29">
        <f t="shared" si="1336"/>
        <v>0.125</v>
      </c>
      <c r="M97" s="29">
        <f t="shared" si="1336"/>
        <v>0.125</v>
      </c>
      <c r="N97" s="29">
        <f t="shared" si="1336"/>
        <v>0.125</v>
      </c>
      <c r="O97" s="29">
        <f t="shared" si="1336"/>
        <v>0.125</v>
      </c>
      <c r="P97" s="29">
        <f t="shared" si="1336"/>
        <v>0.125</v>
      </c>
      <c r="Q97" s="29">
        <f t="shared" si="1336"/>
        <v>0.125</v>
      </c>
      <c r="R97" s="29">
        <f t="shared" si="1336"/>
        <v>0.125</v>
      </c>
      <c r="S97" s="29">
        <f t="shared" si="1336"/>
        <v>0.125</v>
      </c>
      <c r="T97" s="29">
        <f t="shared" si="1336"/>
        <v>0.125</v>
      </c>
      <c r="U97" s="29">
        <f t="shared" si="1336"/>
        <v>0.125</v>
      </c>
      <c r="V97" s="29">
        <f t="shared" si="1336"/>
        <v>0.125</v>
      </c>
      <c r="W97" s="29">
        <f t="shared" si="1336"/>
        <v>0.125</v>
      </c>
      <c r="X97" s="29">
        <f t="shared" si="1336"/>
        <v>0.125</v>
      </c>
      <c r="Y97" s="29">
        <f t="shared" si="1336"/>
        <v>0.125</v>
      </c>
      <c r="Z97" s="29">
        <f t="shared" si="1336"/>
        <v>0.125</v>
      </c>
      <c r="AA97" s="29">
        <f t="shared" si="1336"/>
        <v>6.25E-2</v>
      </c>
      <c r="AB97" s="60">
        <f t="shared" si="1336"/>
        <v>6.25E-2</v>
      </c>
      <c r="AC97" s="29">
        <f t="shared" si="1336"/>
        <v>6.25E-2</v>
      </c>
      <c r="AD97" s="29">
        <f t="shared" si="1336"/>
        <v>6.25E-2</v>
      </c>
      <c r="AE97" s="29">
        <f t="shared" si="1336"/>
        <v>6.25E-2</v>
      </c>
      <c r="AF97" s="29">
        <f t="shared" si="1336"/>
        <v>6.25E-2</v>
      </c>
      <c r="AG97" s="29">
        <f t="shared" si="1336"/>
        <v>0.125</v>
      </c>
      <c r="AH97" s="29">
        <f t="shared" si="1336"/>
        <v>0.125</v>
      </c>
      <c r="AI97" s="29">
        <f t="shared" si="1336"/>
        <v>0.125</v>
      </c>
      <c r="AJ97" s="29">
        <f t="shared" si="1336"/>
        <v>0.125</v>
      </c>
      <c r="AK97" s="29">
        <f t="shared" si="1336"/>
        <v>0.125</v>
      </c>
      <c r="AL97" s="29">
        <f t="shared" si="1336"/>
        <v>0.125</v>
      </c>
      <c r="AM97" s="29">
        <f t="shared" si="1336"/>
        <v>0.125</v>
      </c>
      <c r="AN97" s="29">
        <f t="shared" si="1336"/>
        <v>0.125</v>
      </c>
      <c r="AO97" s="29">
        <f t="shared" si="1336"/>
        <v>0.125</v>
      </c>
      <c r="AP97" s="29">
        <f t="shared" si="1336"/>
        <v>0.125</v>
      </c>
      <c r="AQ97" s="29">
        <f t="shared" si="1336"/>
        <v>0.125</v>
      </c>
      <c r="AR97" s="29">
        <f t="shared" si="1336"/>
        <v>0.125</v>
      </c>
      <c r="AS97" s="29">
        <f t="shared" si="1336"/>
        <v>0.125</v>
      </c>
      <c r="AT97" s="29">
        <f t="shared" si="1336"/>
        <v>0.125</v>
      </c>
      <c r="AU97" s="29">
        <f t="shared" si="1336"/>
        <v>0.125</v>
      </c>
      <c r="AV97" s="29">
        <f t="shared" si="1336"/>
        <v>0.125</v>
      </c>
      <c r="AW97" s="29">
        <f t="shared" si="1336"/>
        <v>0.125</v>
      </c>
      <c r="AX97" s="29">
        <f t="shared" si="1336"/>
        <v>6.25E-2</v>
      </c>
      <c r="AY97" s="29">
        <f t="shared" si="1336"/>
        <v>6.25E-2</v>
      </c>
      <c r="AZ97" s="60">
        <f t="shared" si="1336"/>
        <v>6.25E-2</v>
      </c>
      <c r="BA97" s="29">
        <f t="shared" si="1336"/>
        <v>6.25E-2</v>
      </c>
      <c r="BB97" s="29">
        <f t="shared" si="1336"/>
        <v>6.25E-2</v>
      </c>
      <c r="BC97" s="29">
        <f t="shared" si="1336"/>
        <v>6.25E-2</v>
      </c>
      <c r="BD97" s="29">
        <f t="shared" si="1336"/>
        <v>6.25E-2</v>
      </c>
      <c r="BE97" s="29">
        <f t="shared" si="1336"/>
        <v>0.125</v>
      </c>
      <c r="BF97" s="29">
        <f t="shared" si="1336"/>
        <v>0.125</v>
      </c>
      <c r="BG97" s="29">
        <f t="shared" si="1336"/>
        <v>0.125</v>
      </c>
      <c r="BH97" s="29">
        <f t="shared" si="1336"/>
        <v>0.125</v>
      </c>
      <c r="BI97" s="29">
        <f t="shared" si="1336"/>
        <v>0.125</v>
      </c>
      <c r="BJ97" s="29">
        <f t="shared" si="1336"/>
        <v>0.125</v>
      </c>
      <c r="BK97" s="29">
        <f t="shared" si="1336"/>
        <v>0.125</v>
      </c>
      <c r="BL97" s="29">
        <f t="shared" si="1336"/>
        <v>0.125</v>
      </c>
      <c r="BM97" s="29">
        <f t="shared" si="1336"/>
        <v>0.125</v>
      </c>
      <c r="BN97" s="29">
        <f t="shared" si="1336"/>
        <v>0.125</v>
      </c>
      <c r="BO97" s="29">
        <f t="shared" si="1336"/>
        <v>0.125</v>
      </c>
      <c r="BP97" s="29">
        <f t="shared" si="1336"/>
        <v>0.125</v>
      </c>
      <c r="BQ97" s="29">
        <f t="shared" si="1336"/>
        <v>0.125</v>
      </c>
      <c r="BR97" s="29">
        <f t="shared" ref="BR97:DT97" si="1337">IF(BQ41="T",$C$97*0.15,$C$97*0.3)</f>
        <v>0.125</v>
      </c>
      <c r="BS97" s="29">
        <f t="shared" si="1337"/>
        <v>0.125</v>
      </c>
      <c r="BT97" s="29">
        <f t="shared" si="1337"/>
        <v>0.125</v>
      </c>
      <c r="BU97" s="29">
        <f t="shared" si="1337"/>
        <v>0.125</v>
      </c>
      <c r="BV97" s="29">
        <f t="shared" si="1337"/>
        <v>0.125</v>
      </c>
      <c r="BW97" s="29">
        <f t="shared" si="1337"/>
        <v>6.25E-2</v>
      </c>
      <c r="BX97" s="60">
        <f t="shared" si="1337"/>
        <v>6.25E-2</v>
      </c>
      <c r="BY97" s="29">
        <f t="shared" si="1337"/>
        <v>6.25E-2</v>
      </c>
      <c r="BZ97" s="29">
        <f t="shared" si="1337"/>
        <v>6.25E-2</v>
      </c>
      <c r="CA97" s="29">
        <f t="shared" si="1337"/>
        <v>6.25E-2</v>
      </c>
      <c r="CB97" s="29">
        <f t="shared" si="1337"/>
        <v>6.25E-2</v>
      </c>
      <c r="CC97" s="29">
        <f t="shared" si="1337"/>
        <v>0.125</v>
      </c>
      <c r="CD97" s="29">
        <f t="shared" si="1337"/>
        <v>0.125</v>
      </c>
      <c r="CE97" s="29">
        <f t="shared" si="1337"/>
        <v>0.125</v>
      </c>
      <c r="CF97" s="29">
        <f t="shared" si="1337"/>
        <v>0.125</v>
      </c>
      <c r="CG97" s="29">
        <f t="shared" si="1337"/>
        <v>0.125</v>
      </c>
      <c r="CH97" s="29">
        <f t="shared" si="1337"/>
        <v>0.125</v>
      </c>
      <c r="CI97" s="29">
        <f t="shared" si="1337"/>
        <v>0.125</v>
      </c>
      <c r="CJ97" s="29">
        <f t="shared" si="1337"/>
        <v>0.125</v>
      </c>
      <c r="CK97" s="29">
        <f t="shared" si="1337"/>
        <v>0.125</v>
      </c>
      <c r="CL97" s="29">
        <f t="shared" si="1337"/>
        <v>0.125</v>
      </c>
      <c r="CM97" s="29">
        <f t="shared" si="1337"/>
        <v>0.125</v>
      </c>
      <c r="CN97" s="29">
        <f t="shared" si="1337"/>
        <v>0.125</v>
      </c>
      <c r="CO97" s="29">
        <f t="shared" si="1337"/>
        <v>0.125</v>
      </c>
      <c r="CP97" s="29">
        <f t="shared" si="1337"/>
        <v>0.125</v>
      </c>
      <c r="CQ97" s="29">
        <f t="shared" si="1337"/>
        <v>0.125</v>
      </c>
      <c r="CR97" s="29">
        <f t="shared" si="1337"/>
        <v>0.125</v>
      </c>
      <c r="CS97" s="29">
        <f t="shared" si="1337"/>
        <v>0.125</v>
      </c>
      <c r="CT97" s="29">
        <f t="shared" si="1337"/>
        <v>0.125</v>
      </c>
      <c r="CU97" s="29">
        <f t="shared" si="1337"/>
        <v>6.25E-2</v>
      </c>
      <c r="CV97" s="60">
        <f t="shared" si="1337"/>
        <v>6.25E-2</v>
      </c>
      <c r="CW97" s="29">
        <f t="shared" si="1337"/>
        <v>6.25E-2</v>
      </c>
      <c r="CX97" s="29">
        <f t="shared" si="1337"/>
        <v>6.25E-2</v>
      </c>
      <c r="CY97" s="29">
        <f t="shared" si="1337"/>
        <v>6.25E-2</v>
      </c>
      <c r="CZ97" s="29">
        <f t="shared" si="1337"/>
        <v>6.25E-2</v>
      </c>
      <c r="DA97" s="29">
        <f t="shared" si="1337"/>
        <v>0.125</v>
      </c>
      <c r="DB97" s="29">
        <f t="shared" si="1337"/>
        <v>0.125</v>
      </c>
      <c r="DC97" s="29">
        <f t="shared" si="1337"/>
        <v>0.125</v>
      </c>
      <c r="DD97" s="29">
        <f t="shared" si="1337"/>
        <v>0.125</v>
      </c>
      <c r="DE97" s="29">
        <f t="shared" si="1337"/>
        <v>0.125</v>
      </c>
      <c r="DF97" s="29">
        <f t="shared" si="1337"/>
        <v>0.125</v>
      </c>
      <c r="DG97" s="29">
        <f t="shared" si="1337"/>
        <v>0.125</v>
      </c>
      <c r="DH97" s="29">
        <f t="shared" si="1337"/>
        <v>0.125</v>
      </c>
      <c r="DI97" s="29">
        <f t="shared" si="1337"/>
        <v>0.125</v>
      </c>
      <c r="DJ97" s="29">
        <f t="shared" si="1337"/>
        <v>0.125</v>
      </c>
      <c r="DK97" s="29">
        <f t="shared" si="1337"/>
        <v>0.125</v>
      </c>
      <c r="DL97" s="29">
        <f t="shared" si="1337"/>
        <v>0.125</v>
      </c>
      <c r="DM97" s="29">
        <f t="shared" si="1337"/>
        <v>0.125</v>
      </c>
      <c r="DN97" s="29">
        <f t="shared" si="1337"/>
        <v>0.125</v>
      </c>
      <c r="DO97" s="29">
        <f t="shared" si="1337"/>
        <v>0.125</v>
      </c>
      <c r="DP97" s="29">
        <f t="shared" si="1337"/>
        <v>0.125</v>
      </c>
      <c r="DQ97" s="29">
        <f t="shared" si="1337"/>
        <v>0.125</v>
      </c>
      <c r="DR97" s="29">
        <f t="shared" si="1337"/>
        <v>0.125</v>
      </c>
      <c r="DS97" s="29">
        <f t="shared" si="1337"/>
        <v>6.25E-2</v>
      </c>
      <c r="DT97" s="60">
        <f t="shared" si="1337"/>
        <v>6.25E-2</v>
      </c>
    </row>
    <row r="98" spans="2:124" x14ac:dyDescent="0.25">
      <c r="B98" s="3" t="s">
        <v>13</v>
      </c>
      <c r="D98" s="100">
        <f t="shared" ref="D98:AJ98" si="1338">IF(D41="B",0.5,0.25)</f>
        <v>0.25</v>
      </c>
      <c r="E98" s="95">
        <f t="shared" si="1338"/>
        <v>0.25</v>
      </c>
      <c r="F98" s="96">
        <f t="shared" si="1338"/>
        <v>0.25</v>
      </c>
      <c r="G98" s="96">
        <f t="shared" si="1338"/>
        <v>0.25</v>
      </c>
      <c r="H98" s="96">
        <f t="shared" si="1338"/>
        <v>0.5</v>
      </c>
      <c r="I98" s="96">
        <f t="shared" si="1338"/>
        <v>0.5</v>
      </c>
      <c r="J98" s="96">
        <f t="shared" si="1338"/>
        <v>0.5</v>
      </c>
      <c r="K98" s="96">
        <f t="shared" si="1338"/>
        <v>0.5</v>
      </c>
      <c r="L98" s="96">
        <f t="shared" si="1338"/>
        <v>0.5</v>
      </c>
      <c r="M98" s="96">
        <f t="shared" si="1338"/>
        <v>0.5</v>
      </c>
      <c r="N98" s="96">
        <f t="shared" si="1338"/>
        <v>0.5</v>
      </c>
      <c r="O98" s="24">
        <f t="shared" si="1338"/>
        <v>0.5</v>
      </c>
      <c r="P98" s="24">
        <f t="shared" si="1338"/>
        <v>0.5</v>
      </c>
      <c r="Q98" s="24">
        <f t="shared" si="1338"/>
        <v>0.5</v>
      </c>
      <c r="R98" s="24">
        <f t="shared" si="1338"/>
        <v>0.5</v>
      </c>
      <c r="S98" s="24">
        <f t="shared" si="1338"/>
        <v>0.5</v>
      </c>
      <c r="T98" s="24">
        <f t="shared" si="1338"/>
        <v>0.5</v>
      </c>
      <c r="U98" s="24">
        <f t="shared" si="1338"/>
        <v>0.5</v>
      </c>
      <c r="V98" s="24">
        <f t="shared" si="1338"/>
        <v>0.5</v>
      </c>
      <c r="W98" s="24">
        <f t="shared" si="1338"/>
        <v>0.5</v>
      </c>
      <c r="X98" s="24">
        <f t="shared" si="1338"/>
        <v>0.5</v>
      </c>
      <c r="Y98" s="24">
        <f t="shared" si="1338"/>
        <v>0.5</v>
      </c>
      <c r="Z98" s="24">
        <f t="shared" si="1338"/>
        <v>0.25</v>
      </c>
      <c r="AA98" s="24">
        <f t="shared" si="1338"/>
        <v>0.25</v>
      </c>
      <c r="AB98" s="55">
        <f t="shared" si="1338"/>
        <v>0.25</v>
      </c>
      <c r="AC98" s="18">
        <f t="shared" si="1338"/>
        <v>0.25</v>
      </c>
      <c r="AD98" s="24">
        <f t="shared" si="1338"/>
        <v>0.25</v>
      </c>
      <c r="AE98" s="24">
        <f t="shared" si="1338"/>
        <v>0.25</v>
      </c>
      <c r="AF98" s="24">
        <f t="shared" si="1338"/>
        <v>0.5</v>
      </c>
      <c r="AG98" s="24">
        <f t="shared" si="1338"/>
        <v>0.5</v>
      </c>
      <c r="AH98" s="24">
        <f t="shared" si="1338"/>
        <v>0.5</v>
      </c>
      <c r="AI98" s="24">
        <f t="shared" si="1338"/>
        <v>0.5</v>
      </c>
      <c r="AJ98" s="24">
        <f t="shared" si="1338"/>
        <v>0.5</v>
      </c>
      <c r="AK98" s="24">
        <f t="shared" ref="AK98:BP98" si="1339">IF(AK41="B",0.5,0.25)</f>
        <v>0.5</v>
      </c>
      <c r="AL98" s="24">
        <f t="shared" si="1339"/>
        <v>0.5</v>
      </c>
      <c r="AM98" s="24">
        <f t="shared" si="1339"/>
        <v>0.5</v>
      </c>
      <c r="AN98" s="24">
        <f t="shared" si="1339"/>
        <v>0.5</v>
      </c>
      <c r="AO98" s="24">
        <f t="shared" si="1339"/>
        <v>0.5</v>
      </c>
      <c r="AP98" s="24">
        <f t="shared" si="1339"/>
        <v>0.5</v>
      </c>
      <c r="AQ98" s="24">
        <f t="shared" si="1339"/>
        <v>0.5</v>
      </c>
      <c r="AR98" s="24">
        <f t="shared" si="1339"/>
        <v>0.5</v>
      </c>
      <c r="AS98" s="24">
        <f t="shared" si="1339"/>
        <v>0.5</v>
      </c>
      <c r="AT98" s="24">
        <f t="shared" si="1339"/>
        <v>0.5</v>
      </c>
      <c r="AU98" s="24">
        <f t="shared" si="1339"/>
        <v>0.5</v>
      </c>
      <c r="AV98" s="24">
        <f t="shared" si="1339"/>
        <v>0.5</v>
      </c>
      <c r="AW98" s="24">
        <f t="shared" si="1339"/>
        <v>0.25</v>
      </c>
      <c r="AX98" s="24">
        <f t="shared" si="1339"/>
        <v>0.25</v>
      </c>
      <c r="AY98" s="24">
        <f t="shared" si="1339"/>
        <v>0.25</v>
      </c>
      <c r="AZ98" s="55">
        <f t="shared" si="1339"/>
        <v>0.25</v>
      </c>
      <c r="BA98" s="18">
        <f t="shared" si="1339"/>
        <v>0.25</v>
      </c>
      <c r="BB98" s="24">
        <f t="shared" si="1339"/>
        <v>0.25</v>
      </c>
      <c r="BC98" s="24">
        <f t="shared" si="1339"/>
        <v>0.25</v>
      </c>
      <c r="BD98" s="24">
        <f t="shared" si="1339"/>
        <v>0.5</v>
      </c>
      <c r="BE98" s="24">
        <f t="shared" si="1339"/>
        <v>0.5</v>
      </c>
      <c r="BF98" s="24">
        <f t="shared" si="1339"/>
        <v>0.5</v>
      </c>
      <c r="BG98" s="24">
        <f t="shared" si="1339"/>
        <v>0.5</v>
      </c>
      <c r="BH98" s="24">
        <f t="shared" si="1339"/>
        <v>0.5</v>
      </c>
      <c r="BI98" s="24">
        <f t="shared" si="1339"/>
        <v>0.5</v>
      </c>
      <c r="BJ98" s="24">
        <f t="shared" si="1339"/>
        <v>0.5</v>
      </c>
      <c r="BK98" s="24">
        <f t="shared" si="1339"/>
        <v>0.5</v>
      </c>
      <c r="BL98" s="24">
        <f t="shared" si="1339"/>
        <v>0.5</v>
      </c>
      <c r="BM98" s="24">
        <f t="shared" si="1339"/>
        <v>0.5</v>
      </c>
      <c r="BN98" s="24">
        <f t="shared" si="1339"/>
        <v>0.5</v>
      </c>
      <c r="BO98" s="24">
        <f t="shared" si="1339"/>
        <v>0.5</v>
      </c>
      <c r="BP98" s="24">
        <f t="shared" si="1339"/>
        <v>0.5</v>
      </c>
      <c r="BQ98" s="24">
        <f t="shared" ref="BQ98:CV98" si="1340">IF(BQ41="B",0.5,0.25)</f>
        <v>0.5</v>
      </c>
      <c r="BR98" s="24">
        <f t="shared" si="1340"/>
        <v>0.5</v>
      </c>
      <c r="BS98" s="24">
        <f t="shared" si="1340"/>
        <v>0.5</v>
      </c>
      <c r="BT98" s="24">
        <f t="shared" si="1340"/>
        <v>0.5</v>
      </c>
      <c r="BU98" s="24">
        <f t="shared" si="1340"/>
        <v>0.5</v>
      </c>
      <c r="BV98" s="24">
        <f t="shared" si="1340"/>
        <v>0.25</v>
      </c>
      <c r="BW98" s="24">
        <f t="shared" si="1340"/>
        <v>0.25</v>
      </c>
      <c r="BX98" s="55">
        <f t="shared" si="1340"/>
        <v>0.25</v>
      </c>
      <c r="BY98" s="18">
        <f t="shared" si="1340"/>
        <v>0.25</v>
      </c>
      <c r="BZ98" s="24">
        <f t="shared" si="1340"/>
        <v>0.25</v>
      </c>
      <c r="CA98" s="24">
        <f t="shared" si="1340"/>
        <v>0.25</v>
      </c>
      <c r="CB98" s="24">
        <f t="shared" si="1340"/>
        <v>0.5</v>
      </c>
      <c r="CC98" s="24">
        <f t="shared" si="1340"/>
        <v>0.5</v>
      </c>
      <c r="CD98" s="24">
        <f t="shared" si="1340"/>
        <v>0.5</v>
      </c>
      <c r="CE98" s="24">
        <f t="shared" si="1340"/>
        <v>0.5</v>
      </c>
      <c r="CF98" s="24">
        <f t="shared" si="1340"/>
        <v>0.5</v>
      </c>
      <c r="CG98" s="24">
        <f t="shared" si="1340"/>
        <v>0.5</v>
      </c>
      <c r="CH98" s="24">
        <f t="shared" si="1340"/>
        <v>0.5</v>
      </c>
      <c r="CI98" s="24">
        <f t="shared" si="1340"/>
        <v>0.5</v>
      </c>
      <c r="CJ98" s="24">
        <f t="shared" si="1340"/>
        <v>0.5</v>
      </c>
      <c r="CK98" s="24">
        <f t="shared" si="1340"/>
        <v>0.5</v>
      </c>
      <c r="CL98" s="24">
        <f t="shared" si="1340"/>
        <v>0.5</v>
      </c>
      <c r="CM98" s="24">
        <f t="shared" si="1340"/>
        <v>0.5</v>
      </c>
      <c r="CN98" s="24">
        <f t="shared" si="1340"/>
        <v>0.5</v>
      </c>
      <c r="CO98" s="24">
        <f t="shared" si="1340"/>
        <v>0.5</v>
      </c>
      <c r="CP98" s="24">
        <f t="shared" si="1340"/>
        <v>0.5</v>
      </c>
      <c r="CQ98" s="24">
        <f t="shared" si="1340"/>
        <v>0.5</v>
      </c>
      <c r="CR98" s="24">
        <f t="shared" si="1340"/>
        <v>0.5</v>
      </c>
      <c r="CS98" s="24">
        <f t="shared" si="1340"/>
        <v>0.5</v>
      </c>
      <c r="CT98" s="24">
        <f t="shared" si="1340"/>
        <v>0.25</v>
      </c>
      <c r="CU98" s="24">
        <f t="shared" si="1340"/>
        <v>0.25</v>
      </c>
      <c r="CV98" s="55">
        <f t="shared" si="1340"/>
        <v>0.25</v>
      </c>
      <c r="CW98" s="18">
        <f t="shared" ref="CW98:DT98" si="1341">IF(CW41="B",0.5,0.25)</f>
        <v>0.25</v>
      </c>
      <c r="CX98" s="24">
        <f t="shared" si="1341"/>
        <v>0.25</v>
      </c>
      <c r="CY98" s="24">
        <f t="shared" si="1341"/>
        <v>0.25</v>
      </c>
      <c r="CZ98" s="24">
        <f t="shared" si="1341"/>
        <v>0.5</v>
      </c>
      <c r="DA98" s="24">
        <f t="shared" si="1341"/>
        <v>0.5</v>
      </c>
      <c r="DB98" s="24">
        <f t="shared" si="1341"/>
        <v>0.5</v>
      </c>
      <c r="DC98" s="24">
        <f t="shared" si="1341"/>
        <v>0.5</v>
      </c>
      <c r="DD98" s="24">
        <f t="shared" si="1341"/>
        <v>0.5</v>
      </c>
      <c r="DE98" s="24">
        <f t="shared" si="1341"/>
        <v>0.5</v>
      </c>
      <c r="DF98" s="24">
        <f t="shared" si="1341"/>
        <v>0.5</v>
      </c>
      <c r="DG98" s="24">
        <f t="shared" si="1341"/>
        <v>0.5</v>
      </c>
      <c r="DH98" s="24">
        <f t="shared" si="1341"/>
        <v>0.5</v>
      </c>
      <c r="DI98" s="24">
        <f t="shared" si="1341"/>
        <v>0.5</v>
      </c>
      <c r="DJ98" s="24">
        <f t="shared" si="1341"/>
        <v>0.5</v>
      </c>
      <c r="DK98" s="24">
        <f t="shared" si="1341"/>
        <v>0.5</v>
      </c>
      <c r="DL98" s="24">
        <f t="shared" si="1341"/>
        <v>0.5</v>
      </c>
      <c r="DM98" s="24">
        <f t="shared" si="1341"/>
        <v>0.5</v>
      </c>
      <c r="DN98" s="24">
        <f t="shared" si="1341"/>
        <v>0.5</v>
      </c>
      <c r="DO98" s="24">
        <f t="shared" si="1341"/>
        <v>0.5</v>
      </c>
      <c r="DP98" s="24">
        <f t="shared" si="1341"/>
        <v>0.5</v>
      </c>
      <c r="DQ98" s="24">
        <f t="shared" si="1341"/>
        <v>0.5</v>
      </c>
      <c r="DR98" s="24">
        <f t="shared" si="1341"/>
        <v>0.25</v>
      </c>
      <c r="DS98" s="24">
        <f t="shared" si="1341"/>
        <v>0.25</v>
      </c>
      <c r="DT98" s="55">
        <f t="shared" si="1341"/>
        <v>0.25</v>
      </c>
    </row>
    <row r="99" spans="2:124" x14ac:dyDescent="0.25">
      <c r="B99" s="3" t="s">
        <v>14</v>
      </c>
      <c r="D99" s="100">
        <v>1</v>
      </c>
      <c r="E99" s="29">
        <v>1.06</v>
      </c>
      <c r="F99" s="30">
        <v>1.06</v>
      </c>
      <c r="G99" s="30">
        <v>1.06</v>
      </c>
      <c r="H99" s="30">
        <v>1.06</v>
      </c>
      <c r="I99" s="30">
        <v>1.06</v>
      </c>
      <c r="J99" s="30">
        <v>1.06</v>
      </c>
      <c r="K99" s="30">
        <v>1.06</v>
      </c>
      <c r="L99" s="30">
        <v>1.06</v>
      </c>
      <c r="M99" s="30">
        <v>1.06</v>
      </c>
      <c r="N99" s="30">
        <v>1.06</v>
      </c>
      <c r="O99" s="30">
        <v>1.06</v>
      </c>
      <c r="P99" s="30">
        <v>1.06</v>
      </c>
      <c r="Q99" s="30">
        <v>1.06</v>
      </c>
      <c r="R99" s="30">
        <v>1.06</v>
      </c>
      <c r="S99" s="30">
        <v>1.06</v>
      </c>
      <c r="T99" s="30">
        <v>1.06</v>
      </c>
      <c r="U99" s="30">
        <v>1.06</v>
      </c>
      <c r="V99" s="30">
        <v>1.06</v>
      </c>
      <c r="W99" s="30">
        <v>1.06</v>
      </c>
      <c r="X99" s="30">
        <v>1.06</v>
      </c>
      <c r="Y99" s="30">
        <v>1.06</v>
      </c>
      <c r="Z99" s="30">
        <v>1.06</v>
      </c>
      <c r="AA99" s="30">
        <v>1.06</v>
      </c>
      <c r="AB99" s="60">
        <v>1.06</v>
      </c>
      <c r="AC99" s="29">
        <v>1.06</v>
      </c>
      <c r="AD99" s="30">
        <v>1.06</v>
      </c>
      <c r="AE99" s="30">
        <v>1.06</v>
      </c>
      <c r="AF99" s="30">
        <v>1.06</v>
      </c>
      <c r="AG99" s="30">
        <v>1.06</v>
      </c>
      <c r="AH99" s="30">
        <v>1.06</v>
      </c>
      <c r="AI99" s="30">
        <v>1.06</v>
      </c>
      <c r="AJ99" s="30">
        <v>1.06</v>
      </c>
      <c r="AK99" s="30">
        <v>1.06</v>
      </c>
      <c r="AL99" s="30">
        <v>1.06</v>
      </c>
      <c r="AM99" s="30">
        <v>1.06</v>
      </c>
      <c r="AN99" s="30">
        <v>1.06</v>
      </c>
      <c r="AO99" s="30">
        <v>1.06</v>
      </c>
      <c r="AP99" s="30">
        <v>1.06</v>
      </c>
      <c r="AQ99" s="30">
        <v>1.06</v>
      </c>
      <c r="AR99" s="30">
        <v>1.06</v>
      </c>
      <c r="AS99" s="30">
        <v>1.06</v>
      </c>
      <c r="AT99" s="30">
        <v>1.06</v>
      </c>
      <c r="AU99" s="30">
        <v>1.06</v>
      </c>
      <c r="AV99" s="30">
        <v>1.06</v>
      </c>
      <c r="AW99" s="30">
        <v>1.06</v>
      </c>
      <c r="AX99" s="30">
        <v>1.06</v>
      </c>
      <c r="AY99" s="30">
        <v>1.06</v>
      </c>
      <c r="AZ99" s="60">
        <v>1.06</v>
      </c>
      <c r="BA99" s="29">
        <v>1.06</v>
      </c>
      <c r="BB99" s="30">
        <v>1.06</v>
      </c>
      <c r="BC99" s="30">
        <v>1.06</v>
      </c>
      <c r="BD99" s="30">
        <v>1.06</v>
      </c>
      <c r="BE99" s="30">
        <v>1.06</v>
      </c>
      <c r="BF99" s="30">
        <v>1.06</v>
      </c>
      <c r="BG99" s="30">
        <v>1.06</v>
      </c>
      <c r="BH99" s="30">
        <v>1.06</v>
      </c>
      <c r="BI99" s="30">
        <v>1.06</v>
      </c>
      <c r="BJ99" s="30">
        <v>1.06</v>
      </c>
      <c r="BK99" s="30">
        <v>1.06</v>
      </c>
      <c r="BL99" s="30">
        <v>1.06</v>
      </c>
      <c r="BM99" s="30">
        <v>1.06</v>
      </c>
      <c r="BN99" s="30">
        <v>1.06</v>
      </c>
      <c r="BO99" s="30">
        <v>1.06</v>
      </c>
      <c r="BP99" s="30">
        <v>1.06</v>
      </c>
      <c r="BQ99" s="30">
        <v>1.06</v>
      </c>
      <c r="BR99" s="30">
        <v>1.06</v>
      </c>
      <c r="BS99" s="30">
        <v>1.06</v>
      </c>
      <c r="BT99" s="30">
        <v>1.06</v>
      </c>
      <c r="BU99" s="30">
        <v>1.06</v>
      </c>
      <c r="BV99" s="30">
        <v>1.06</v>
      </c>
      <c r="BW99" s="30">
        <v>1.06</v>
      </c>
      <c r="BX99" s="60">
        <v>1.06</v>
      </c>
      <c r="BY99" s="29">
        <v>1.06</v>
      </c>
      <c r="BZ99" s="30">
        <v>1.06</v>
      </c>
      <c r="CA99" s="30">
        <v>1.06</v>
      </c>
      <c r="CB99" s="30">
        <v>1.06</v>
      </c>
      <c r="CC99" s="30">
        <v>1.06</v>
      </c>
      <c r="CD99" s="30">
        <v>1.06</v>
      </c>
      <c r="CE99" s="30">
        <v>1.06</v>
      </c>
      <c r="CF99" s="30">
        <v>1.06</v>
      </c>
      <c r="CG99" s="30">
        <v>1.06</v>
      </c>
      <c r="CH99" s="30">
        <v>1.06</v>
      </c>
      <c r="CI99" s="30">
        <v>1.06</v>
      </c>
      <c r="CJ99" s="30">
        <v>1.06</v>
      </c>
      <c r="CK99" s="30">
        <v>1.06</v>
      </c>
      <c r="CL99" s="30">
        <v>1.06</v>
      </c>
      <c r="CM99" s="30">
        <v>1.06</v>
      </c>
      <c r="CN99" s="30">
        <v>1.06</v>
      </c>
      <c r="CO99" s="30">
        <v>1.06</v>
      </c>
      <c r="CP99" s="30">
        <v>1.06</v>
      </c>
      <c r="CQ99" s="30">
        <v>1.06</v>
      </c>
      <c r="CR99" s="30">
        <v>1.06</v>
      </c>
      <c r="CS99" s="30">
        <v>1.06</v>
      </c>
      <c r="CT99" s="30">
        <v>1.06</v>
      </c>
      <c r="CU99" s="30">
        <v>1.06</v>
      </c>
      <c r="CV99" s="60">
        <v>1.06</v>
      </c>
      <c r="CW99" s="29">
        <v>1.06</v>
      </c>
      <c r="CX99" s="30">
        <v>1.06</v>
      </c>
      <c r="CY99" s="30">
        <v>1.06</v>
      </c>
      <c r="CZ99" s="30">
        <v>1.06</v>
      </c>
      <c r="DA99" s="30">
        <v>1.06</v>
      </c>
      <c r="DB99" s="30">
        <v>1.06</v>
      </c>
      <c r="DC99" s="30">
        <v>1.06</v>
      </c>
      <c r="DD99" s="30">
        <v>1.06</v>
      </c>
      <c r="DE99" s="30">
        <v>1.06</v>
      </c>
      <c r="DF99" s="30">
        <v>1.06</v>
      </c>
      <c r="DG99" s="30">
        <v>1.06</v>
      </c>
      <c r="DH99" s="30">
        <v>1.06</v>
      </c>
      <c r="DI99" s="30">
        <v>1.06</v>
      </c>
      <c r="DJ99" s="30">
        <v>1.06</v>
      </c>
      <c r="DK99" s="30">
        <v>1.06</v>
      </c>
      <c r="DL99" s="30">
        <v>1.06</v>
      </c>
      <c r="DM99" s="30">
        <v>1.06</v>
      </c>
      <c r="DN99" s="30">
        <v>1.06</v>
      </c>
      <c r="DO99" s="30">
        <v>1.06</v>
      </c>
      <c r="DP99" s="30">
        <v>1.06</v>
      </c>
      <c r="DQ99" s="30">
        <v>1.06</v>
      </c>
      <c r="DR99" s="30">
        <v>1.06</v>
      </c>
      <c r="DS99" s="30">
        <v>1.06</v>
      </c>
      <c r="DT99" s="60">
        <v>1.06</v>
      </c>
    </row>
    <row r="100" spans="2:124" x14ac:dyDescent="0.25">
      <c r="B100" s="3" t="s">
        <v>66</v>
      </c>
      <c r="D100" s="100">
        <f>D96+(C97*D99)+D98</f>
        <v>2.6666666666666665</v>
      </c>
      <c r="E100" s="18">
        <f t="shared" ref="E100:L100" si="1342">E96+(E97*E99)+E98</f>
        <v>3.3995833333333332</v>
      </c>
      <c r="F100" s="18">
        <f t="shared" si="1342"/>
        <v>3.7158333333333333</v>
      </c>
      <c r="G100" s="18">
        <f t="shared" si="1342"/>
        <v>4.0320833333333335</v>
      </c>
      <c r="H100" s="18">
        <f t="shared" si="1342"/>
        <v>4.5983333333333336</v>
      </c>
      <c r="I100" s="18">
        <f t="shared" si="1342"/>
        <v>5.2308333333333339</v>
      </c>
      <c r="J100" s="18">
        <f t="shared" si="1342"/>
        <v>5.8633333333333342</v>
      </c>
      <c r="K100" s="18">
        <f t="shared" si="1342"/>
        <v>9.4958333333333336</v>
      </c>
      <c r="L100" s="18">
        <f t="shared" si="1342"/>
        <v>0.63250000000000006</v>
      </c>
      <c r="M100" s="18">
        <f t="shared" ref="M100:BQ100" si="1343">M96+(M97*M99)+M98</f>
        <v>1.2650000000000001</v>
      </c>
      <c r="N100" s="18">
        <f t="shared" si="1343"/>
        <v>1.8975000000000002</v>
      </c>
      <c r="O100" s="18">
        <f t="shared" si="1343"/>
        <v>2.5300000000000002</v>
      </c>
      <c r="P100" s="18">
        <f t="shared" si="1343"/>
        <v>3.1625000000000001</v>
      </c>
      <c r="Q100" s="18">
        <f t="shared" si="1343"/>
        <v>3.7949999999999999</v>
      </c>
      <c r="R100" s="18">
        <f t="shared" si="1343"/>
        <v>4.4275000000000002</v>
      </c>
      <c r="S100" s="18">
        <f t="shared" si="1343"/>
        <v>5.0600000000000005</v>
      </c>
      <c r="T100" s="18">
        <f t="shared" si="1343"/>
        <v>8.6925000000000008</v>
      </c>
      <c r="U100" s="18">
        <f t="shared" si="1343"/>
        <v>0.63250000000000006</v>
      </c>
      <c r="V100" s="18">
        <f t="shared" si="1343"/>
        <v>1.2650000000000001</v>
      </c>
      <c r="W100" s="18">
        <f t="shared" si="1343"/>
        <v>1.8975000000000002</v>
      </c>
      <c r="X100" s="18">
        <f t="shared" si="1343"/>
        <v>2.5300000000000002</v>
      </c>
      <c r="Y100" s="18">
        <f t="shared" si="1343"/>
        <v>3.1625000000000001</v>
      </c>
      <c r="Z100" s="18">
        <f t="shared" si="1343"/>
        <v>3.5449999999999999</v>
      </c>
      <c r="AA100" s="18">
        <f t="shared" si="1343"/>
        <v>3.8612500000000001</v>
      </c>
      <c r="AB100" s="55">
        <f t="shared" si="1343"/>
        <v>4.1775000000000002</v>
      </c>
      <c r="AC100" s="18">
        <f t="shared" si="1343"/>
        <v>4.4937500000000004</v>
      </c>
      <c r="AD100" s="18">
        <f t="shared" si="1343"/>
        <v>4.8100000000000005</v>
      </c>
      <c r="AE100" s="18">
        <f t="shared" si="1343"/>
        <v>5.1262500000000006</v>
      </c>
      <c r="AF100" s="18">
        <f t="shared" si="1343"/>
        <v>5.6925000000000008</v>
      </c>
      <c r="AG100" s="18">
        <f t="shared" si="1343"/>
        <v>6.3250000000000011</v>
      </c>
      <c r="AH100" s="18">
        <f t="shared" si="1343"/>
        <v>9.9575000000000014</v>
      </c>
      <c r="AI100" s="18">
        <f t="shared" si="1343"/>
        <v>0.63250000000000006</v>
      </c>
      <c r="AJ100" s="18">
        <f t="shared" si="1343"/>
        <v>1.2650000000000001</v>
      </c>
      <c r="AK100" s="18">
        <f t="shared" si="1343"/>
        <v>1.8975000000000002</v>
      </c>
      <c r="AL100" s="18">
        <f t="shared" si="1343"/>
        <v>2.5300000000000002</v>
      </c>
      <c r="AM100" s="18">
        <f t="shared" si="1343"/>
        <v>3.1625000000000001</v>
      </c>
      <c r="AN100" s="18">
        <f t="shared" si="1343"/>
        <v>3.7949999999999999</v>
      </c>
      <c r="AO100" s="18">
        <f t="shared" si="1343"/>
        <v>4.4275000000000002</v>
      </c>
      <c r="AP100" s="18">
        <f t="shared" si="1343"/>
        <v>5.0600000000000005</v>
      </c>
      <c r="AQ100" s="18">
        <f t="shared" si="1343"/>
        <v>5.6925000000000008</v>
      </c>
      <c r="AR100" s="18">
        <f t="shared" si="1343"/>
        <v>6.3250000000000011</v>
      </c>
      <c r="AS100" s="18">
        <f t="shared" si="1343"/>
        <v>6.9575000000000014</v>
      </c>
      <c r="AT100" s="18">
        <f t="shared" si="1343"/>
        <v>7.5900000000000016</v>
      </c>
      <c r="AU100" s="18">
        <f t="shared" si="1343"/>
        <v>11.222500000000002</v>
      </c>
      <c r="AV100" s="18">
        <f t="shared" si="1343"/>
        <v>0.63250000000000006</v>
      </c>
      <c r="AW100" s="18">
        <f t="shared" si="1343"/>
        <v>1.0150000000000001</v>
      </c>
      <c r="AX100" s="18">
        <f t="shared" si="1343"/>
        <v>1.33125</v>
      </c>
      <c r="AY100" s="18">
        <f t="shared" si="1343"/>
        <v>1.6475</v>
      </c>
      <c r="AZ100" s="55">
        <f t="shared" si="1343"/>
        <v>1.9637499999999999</v>
      </c>
      <c r="BA100" s="18">
        <f t="shared" si="1343"/>
        <v>2.2799999999999998</v>
      </c>
      <c r="BB100" s="18">
        <f t="shared" si="1343"/>
        <v>2.5962499999999999</v>
      </c>
      <c r="BC100" s="18">
        <f t="shared" si="1343"/>
        <v>2.9125000000000001</v>
      </c>
      <c r="BD100" s="18">
        <f t="shared" si="1343"/>
        <v>3.4787500000000002</v>
      </c>
      <c r="BE100" s="18">
        <f t="shared" si="1343"/>
        <v>4.1112500000000001</v>
      </c>
      <c r="BF100" s="18">
        <f t="shared" si="1343"/>
        <v>7.7437500000000004</v>
      </c>
      <c r="BG100" s="18">
        <f t="shared" si="1343"/>
        <v>11.376250000000001</v>
      </c>
      <c r="BH100" s="18">
        <f t="shared" si="1343"/>
        <v>0.63250000000000006</v>
      </c>
      <c r="BI100" s="18">
        <f t="shared" si="1343"/>
        <v>1.2650000000000001</v>
      </c>
      <c r="BJ100" s="18">
        <f t="shared" si="1343"/>
        <v>1.8975000000000002</v>
      </c>
      <c r="BK100" s="18">
        <f t="shared" si="1343"/>
        <v>2.5300000000000002</v>
      </c>
      <c r="BL100" s="18">
        <f t="shared" si="1343"/>
        <v>3.1625000000000001</v>
      </c>
      <c r="BM100" s="18">
        <f t="shared" si="1343"/>
        <v>3.7949999999999999</v>
      </c>
      <c r="BN100" s="18">
        <f t="shared" si="1343"/>
        <v>4.4275000000000002</v>
      </c>
      <c r="BO100" s="18">
        <f t="shared" si="1343"/>
        <v>5.0600000000000005</v>
      </c>
      <c r="BP100" s="18">
        <f t="shared" si="1343"/>
        <v>5.6925000000000008</v>
      </c>
      <c r="BQ100" s="18">
        <f t="shared" si="1343"/>
        <v>6.3250000000000011</v>
      </c>
      <c r="BR100" s="18">
        <f t="shared" ref="BR100:DT100" si="1344">BR96+(BR97*BR99)+BR98</f>
        <v>6.9575000000000014</v>
      </c>
      <c r="BS100" s="18">
        <f t="shared" si="1344"/>
        <v>10.590000000000002</v>
      </c>
      <c r="BT100" s="18">
        <f t="shared" si="1344"/>
        <v>0.63250000000000006</v>
      </c>
      <c r="BU100" s="18">
        <f t="shared" si="1344"/>
        <v>1.2650000000000001</v>
      </c>
      <c r="BV100" s="18">
        <f t="shared" si="1344"/>
        <v>1.6475000000000002</v>
      </c>
      <c r="BW100" s="18">
        <f t="shared" si="1344"/>
        <v>1.9637500000000001</v>
      </c>
      <c r="BX100" s="55">
        <f t="shared" si="1344"/>
        <v>2.2800000000000002</v>
      </c>
      <c r="BY100" s="18">
        <f t="shared" si="1344"/>
        <v>2.5962500000000004</v>
      </c>
      <c r="BZ100" s="18">
        <f t="shared" si="1344"/>
        <v>2.9125000000000005</v>
      </c>
      <c r="CA100" s="18">
        <f t="shared" si="1344"/>
        <v>3.2287500000000007</v>
      </c>
      <c r="CB100" s="18">
        <f t="shared" si="1344"/>
        <v>3.7950000000000008</v>
      </c>
      <c r="CC100" s="18">
        <f t="shared" si="1344"/>
        <v>4.4275000000000002</v>
      </c>
      <c r="CD100" s="18">
        <f t="shared" si="1344"/>
        <v>8.06</v>
      </c>
      <c r="CE100" s="18">
        <f t="shared" si="1344"/>
        <v>0.63250000000000006</v>
      </c>
      <c r="CF100" s="18">
        <f t="shared" si="1344"/>
        <v>1.2650000000000001</v>
      </c>
      <c r="CG100" s="18">
        <f t="shared" si="1344"/>
        <v>1.8975000000000002</v>
      </c>
      <c r="CH100" s="18">
        <f t="shared" si="1344"/>
        <v>2.5300000000000002</v>
      </c>
      <c r="CI100" s="18">
        <f t="shared" si="1344"/>
        <v>3.1625000000000001</v>
      </c>
      <c r="CJ100" s="18">
        <f t="shared" si="1344"/>
        <v>3.7949999999999999</v>
      </c>
      <c r="CK100" s="18">
        <f t="shared" si="1344"/>
        <v>4.4275000000000002</v>
      </c>
      <c r="CL100" s="18">
        <f t="shared" si="1344"/>
        <v>5.0600000000000005</v>
      </c>
      <c r="CM100" s="18">
        <f t="shared" si="1344"/>
        <v>5.6925000000000008</v>
      </c>
      <c r="CN100" s="18">
        <f t="shared" si="1344"/>
        <v>6.3250000000000011</v>
      </c>
      <c r="CO100" s="18">
        <f t="shared" si="1344"/>
        <v>6.9575000000000014</v>
      </c>
      <c r="CP100" s="18">
        <f t="shared" si="1344"/>
        <v>7.5900000000000016</v>
      </c>
      <c r="CQ100" s="18">
        <f t="shared" si="1344"/>
        <v>11.222500000000002</v>
      </c>
      <c r="CR100" s="18">
        <f t="shared" si="1344"/>
        <v>0.63250000000000006</v>
      </c>
      <c r="CS100" s="18">
        <f t="shared" si="1344"/>
        <v>1.2650000000000001</v>
      </c>
      <c r="CT100" s="18">
        <f t="shared" si="1344"/>
        <v>1.6475000000000002</v>
      </c>
      <c r="CU100" s="18">
        <f t="shared" si="1344"/>
        <v>1.9637500000000001</v>
      </c>
      <c r="CV100" s="55">
        <f t="shared" si="1344"/>
        <v>2.2800000000000002</v>
      </c>
      <c r="CW100" s="18">
        <f t="shared" si="1344"/>
        <v>2.5962500000000004</v>
      </c>
      <c r="CX100" s="18">
        <f t="shared" si="1344"/>
        <v>2.9125000000000005</v>
      </c>
      <c r="CY100" s="18">
        <f t="shared" si="1344"/>
        <v>3.2287500000000007</v>
      </c>
      <c r="CZ100" s="18">
        <f t="shared" si="1344"/>
        <v>3.7950000000000008</v>
      </c>
      <c r="DA100" s="18">
        <f t="shared" si="1344"/>
        <v>4.4275000000000002</v>
      </c>
      <c r="DB100" s="18">
        <f t="shared" si="1344"/>
        <v>8.06</v>
      </c>
      <c r="DC100" s="18">
        <f t="shared" si="1344"/>
        <v>0.63250000000000006</v>
      </c>
      <c r="DD100" s="18">
        <f t="shared" si="1344"/>
        <v>1.2650000000000001</v>
      </c>
      <c r="DE100" s="18">
        <f t="shared" si="1344"/>
        <v>1.8975000000000002</v>
      </c>
      <c r="DF100" s="18">
        <f t="shared" si="1344"/>
        <v>2.5300000000000002</v>
      </c>
      <c r="DG100" s="18">
        <f t="shared" si="1344"/>
        <v>3.1625000000000001</v>
      </c>
      <c r="DH100" s="18">
        <f t="shared" si="1344"/>
        <v>3.7949999999999999</v>
      </c>
      <c r="DI100" s="18">
        <f t="shared" si="1344"/>
        <v>4.4275000000000002</v>
      </c>
      <c r="DJ100" s="18">
        <f t="shared" si="1344"/>
        <v>5.0600000000000005</v>
      </c>
      <c r="DK100" s="18">
        <f t="shared" si="1344"/>
        <v>5.6925000000000008</v>
      </c>
      <c r="DL100" s="18">
        <f t="shared" si="1344"/>
        <v>6.3250000000000011</v>
      </c>
      <c r="DM100" s="18">
        <f t="shared" si="1344"/>
        <v>6.9575000000000014</v>
      </c>
      <c r="DN100" s="18">
        <f t="shared" si="1344"/>
        <v>7.5900000000000016</v>
      </c>
      <c r="DO100" s="18">
        <f t="shared" si="1344"/>
        <v>11.222500000000002</v>
      </c>
      <c r="DP100" s="18">
        <f t="shared" si="1344"/>
        <v>0.63250000000000006</v>
      </c>
      <c r="DQ100" s="18">
        <f t="shared" si="1344"/>
        <v>1.2650000000000001</v>
      </c>
      <c r="DR100" s="18">
        <f t="shared" si="1344"/>
        <v>1.6475000000000002</v>
      </c>
      <c r="DS100" s="18">
        <f t="shared" si="1344"/>
        <v>1.9637500000000001</v>
      </c>
      <c r="DT100" s="55">
        <f t="shared" si="1344"/>
        <v>2.2800000000000002</v>
      </c>
    </row>
    <row r="101" spans="2:124" x14ac:dyDescent="0.25">
      <c r="B101" s="3" t="s">
        <v>0</v>
      </c>
      <c r="D101" s="100"/>
      <c r="E101" s="44"/>
      <c r="F101" s="45"/>
      <c r="G101" s="45"/>
      <c r="H101" s="45"/>
      <c r="I101" s="45"/>
      <c r="J101" s="50" t="s">
        <v>36</v>
      </c>
      <c r="K101" s="50" t="s">
        <v>36</v>
      </c>
      <c r="L101" s="50" t="s">
        <v>36</v>
      </c>
      <c r="M101" s="50" t="s">
        <v>36</v>
      </c>
      <c r="N101" s="45"/>
      <c r="O101" s="45"/>
      <c r="P101" s="45"/>
      <c r="Q101" s="45"/>
      <c r="R101" s="45"/>
      <c r="S101" s="50" t="s">
        <v>36</v>
      </c>
      <c r="T101" s="50" t="s">
        <v>36</v>
      </c>
      <c r="U101" s="50" t="s">
        <v>36</v>
      </c>
      <c r="V101" s="50" t="s">
        <v>36</v>
      </c>
      <c r="W101" s="45"/>
      <c r="X101" s="45"/>
      <c r="Y101" s="45"/>
      <c r="Z101" s="45"/>
      <c r="AA101" s="45"/>
      <c r="AB101" s="68"/>
      <c r="AC101" s="44"/>
      <c r="AD101" s="45"/>
      <c r="AE101" s="45"/>
      <c r="AF101" s="45"/>
      <c r="AG101" s="50" t="s">
        <v>36</v>
      </c>
      <c r="AH101" s="50" t="s">
        <v>36</v>
      </c>
      <c r="AI101" s="50" t="s">
        <v>36</v>
      </c>
      <c r="AJ101" s="50" t="s">
        <v>36</v>
      </c>
      <c r="AK101" s="45"/>
      <c r="AL101" s="45"/>
      <c r="AM101" s="45"/>
      <c r="AN101" s="45"/>
      <c r="AO101" s="45"/>
      <c r="AP101" s="45"/>
      <c r="AQ101" s="45"/>
      <c r="AR101" s="45"/>
      <c r="AS101" s="45"/>
      <c r="AT101" s="50" t="s">
        <v>36</v>
      </c>
      <c r="AU101" s="50" t="s">
        <v>36</v>
      </c>
      <c r="AV101" s="50" t="s">
        <v>36</v>
      </c>
      <c r="AW101" s="45"/>
      <c r="AX101" s="45"/>
      <c r="AY101" s="45"/>
      <c r="AZ101" s="68"/>
      <c r="BA101" s="44"/>
      <c r="BB101" s="45"/>
      <c r="BC101" s="45"/>
      <c r="BD101" s="45"/>
      <c r="BE101" s="50" t="s">
        <v>36</v>
      </c>
      <c r="BF101" s="50" t="s">
        <v>36</v>
      </c>
      <c r="BG101" s="50" t="s">
        <v>36</v>
      </c>
      <c r="BH101" s="50" t="s">
        <v>36</v>
      </c>
      <c r="BI101" s="45"/>
      <c r="BJ101" s="45"/>
      <c r="BK101" s="45"/>
      <c r="BL101" s="45"/>
      <c r="BM101" s="45"/>
      <c r="BN101" s="45"/>
      <c r="BO101" s="45"/>
      <c r="BP101" s="45"/>
      <c r="BQ101" s="45"/>
      <c r="BR101" s="50" t="s">
        <v>36</v>
      </c>
      <c r="BS101" s="50" t="s">
        <v>36</v>
      </c>
      <c r="BT101" s="50" t="s">
        <v>36</v>
      </c>
      <c r="BU101" s="45"/>
      <c r="BV101" s="45"/>
      <c r="BW101" s="45"/>
      <c r="BX101" s="68"/>
      <c r="BY101" s="44"/>
      <c r="BZ101" s="45"/>
      <c r="CA101" s="45"/>
      <c r="CB101" s="45"/>
      <c r="CC101" s="50" t="s">
        <v>36</v>
      </c>
      <c r="CD101" s="50" t="s">
        <v>36</v>
      </c>
      <c r="CE101" s="50" t="s">
        <v>36</v>
      </c>
      <c r="CF101" s="50" t="s">
        <v>36</v>
      </c>
      <c r="CG101" s="45"/>
      <c r="CH101" s="45"/>
      <c r="CI101" s="45"/>
      <c r="CJ101" s="45"/>
      <c r="CK101" s="45"/>
      <c r="CL101" s="45"/>
      <c r="CM101" s="45"/>
      <c r="CN101" s="45"/>
      <c r="CO101" s="45"/>
      <c r="CP101" s="50" t="s">
        <v>36</v>
      </c>
      <c r="CQ101" s="50" t="s">
        <v>36</v>
      </c>
      <c r="CR101" s="50" t="s">
        <v>36</v>
      </c>
      <c r="CS101" s="45"/>
      <c r="CT101" s="45"/>
      <c r="CU101" s="45"/>
      <c r="CV101" s="68"/>
      <c r="CW101" s="44"/>
      <c r="CX101" s="45"/>
      <c r="CY101" s="45"/>
      <c r="CZ101" s="45"/>
      <c r="DA101" s="50" t="s">
        <v>36</v>
      </c>
      <c r="DB101" s="50" t="s">
        <v>36</v>
      </c>
      <c r="DC101" s="50" t="s">
        <v>36</v>
      </c>
      <c r="DD101" s="50" t="s">
        <v>36</v>
      </c>
      <c r="DE101" s="45"/>
      <c r="DF101" s="45"/>
      <c r="DG101" s="45"/>
      <c r="DH101" s="45"/>
      <c r="DI101" s="45"/>
      <c r="DJ101" s="45"/>
      <c r="DK101" s="45"/>
      <c r="DL101" s="45"/>
      <c r="DM101" s="45"/>
      <c r="DN101" s="50" t="s">
        <v>36</v>
      </c>
      <c r="DO101" s="50" t="s">
        <v>36</v>
      </c>
      <c r="DP101" s="50" t="s">
        <v>36</v>
      </c>
      <c r="DQ101" s="45"/>
      <c r="DR101" s="45"/>
      <c r="DS101" s="45"/>
      <c r="DT101" s="68"/>
    </row>
    <row r="102" spans="2:124" s="16" customFormat="1" ht="15.75" thickBot="1" x14ac:dyDescent="0.3">
      <c r="B102" s="20" t="s">
        <v>65</v>
      </c>
      <c r="C102" s="74"/>
      <c r="D102" s="101">
        <f>IF(D100&gt;=10,-10,IF(D101="M",IF(D100&gt;=8,-8,0),0))</f>
        <v>0</v>
      </c>
      <c r="E102" s="21">
        <f t="shared" ref="E102:AJ102" si="1345">IF(D41="B",IF(E101="K",IF(E100&gt;=10,-E100,IF(E100&gt;=8,-E100,0)),0),0)</f>
        <v>0</v>
      </c>
      <c r="F102" s="21">
        <f t="shared" si="1345"/>
        <v>0</v>
      </c>
      <c r="G102" s="21">
        <f t="shared" si="1345"/>
        <v>0</v>
      </c>
      <c r="H102" s="21">
        <f t="shared" si="1345"/>
        <v>0</v>
      </c>
      <c r="I102" s="21">
        <f t="shared" si="1345"/>
        <v>0</v>
      </c>
      <c r="J102" s="21">
        <f t="shared" si="1345"/>
        <v>0</v>
      </c>
      <c r="K102" s="21">
        <f t="shared" si="1345"/>
        <v>-9.4958333333333336</v>
      </c>
      <c r="L102" s="21">
        <f t="shared" si="1345"/>
        <v>0</v>
      </c>
      <c r="M102" s="21">
        <f t="shared" si="1345"/>
        <v>0</v>
      </c>
      <c r="N102" s="21">
        <f t="shared" si="1345"/>
        <v>0</v>
      </c>
      <c r="O102" s="21">
        <f t="shared" si="1345"/>
        <v>0</v>
      </c>
      <c r="P102" s="21">
        <f t="shared" si="1345"/>
        <v>0</v>
      </c>
      <c r="Q102" s="21">
        <f t="shared" si="1345"/>
        <v>0</v>
      </c>
      <c r="R102" s="21">
        <f t="shared" si="1345"/>
        <v>0</v>
      </c>
      <c r="S102" s="21">
        <f t="shared" si="1345"/>
        <v>0</v>
      </c>
      <c r="T102" s="21">
        <f t="shared" si="1345"/>
        <v>-8.6925000000000008</v>
      </c>
      <c r="U102" s="21">
        <f t="shared" si="1345"/>
        <v>0</v>
      </c>
      <c r="V102" s="21">
        <f t="shared" si="1345"/>
        <v>0</v>
      </c>
      <c r="W102" s="21">
        <f t="shared" si="1345"/>
        <v>0</v>
      </c>
      <c r="X102" s="21">
        <f t="shared" si="1345"/>
        <v>0</v>
      </c>
      <c r="Y102" s="21">
        <f t="shared" si="1345"/>
        <v>0</v>
      </c>
      <c r="Z102" s="21">
        <f t="shared" si="1345"/>
        <v>0</v>
      </c>
      <c r="AA102" s="21">
        <f t="shared" si="1345"/>
        <v>0</v>
      </c>
      <c r="AB102" s="56">
        <f t="shared" si="1345"/>
        <v>0</v>
      </c>
      <c r="AC102" s="21">
        <f t="shared" si="1345"/>
        <v>0</v>
      </c>
      <c r="AD102" s="21">
        <f t="shared" si="1345"/>
        <v>0</v>
      </c>
      <c r="AE102" s="21">
        <f t="shared" si="1345"/>
        <v>0</v>
      </c>
      <c r="AF102" s="21">
        <f t="shared" si="1345"/>
        <v>0</v>
      </c>
      <c r="AG102" s="21">
        <f t="shared" si="1345"/>
        <v>0</v>
      </c>
      <c r="AH102" s="21">
        <f t="shared" si="1345"/>
        <v>-9.9575000000000014</v>
      </c>
      <c r="AI102" s="21">
        <f t="shared" si="1345"/>
        <v>0</v>
      </c>
      <c r="AJ102" s="21">
        <f t="shared" si="1345"/>
        <v>0</v>
      </c>
      <c r="AK102" s="21">
        <f t="shared" ref="AK102:BP102" si="1346">IF(AJ41="B",IF(AK101="K",IF(AK100&gt;=10,-AK100,IF(AK100&gt;=8,-AK100,0)),0),0)</f>
        <v>0</v>
      </c>
      <c r="AL102" s="21">
        <f t="shared" si="1346"/>
        <v>0</v>
      </c>
      <c r="AM102" s="21">
        <f t="shared" si="1346"/>
        <v>0</v>
      </c>
      <c r="AN102" s="21">
        <f t="shared" si="1346"/>
        <v>0</v>
      </c>
      <c r="AO102" s="21">
        <f t="shared" si="1346"/>
        <v>0</v>
      </c>
      <c r="AP102" s="21">
        <f t="shared" si="1346"/>
        <v>0</v>
      </c>
      <c r="AQ102" s="21">
        <f t="shared" si="1346"/>
        <v>0</v>
      </c>
      <c r="AR102" s="21">
        <f t="shared" si="1346"/>
        <v>0</v>
      </c>
      <c r="AS102" s="21">
        <f t="shared" si="1346"/>
        <v>0</v>
      </c>
      <c r="AT102" s="21">
        <f t="shared" si="1346"/>
        <v>0</v>
      </c>
      <c r="AU102" s="21">
        <f t="shared" si="1346"/>
        <v>-11.222500000000002</v>
      </c>
      <c r="AV102" s="21">
        <f t="shared" si="1346"/>
        <v>0</v>
      </c>
      <c r="AW102" s="21">
        <f t="shared" si="1346"/>
        <v>0</v>
      </c>
      <c r="AX102" s="21">
        <f t="shared" si="1346"/>
        <v>0</v>
      </c>
      <c r="AY102" s="21">
        <f t="shared" si="1346"/>
        <v>0</v>
      </c>
      <c r="AZ102" s="56">
        <f t="shared" si="1346"/>
        <v>0</v>
      </c>
      <c r="BA102" s="21">
        <f t="shared" si="1346"/>
        <v>0</v>
      </c>
      <c r="BB102" s="21">
        <f t="shared" si="1346"/>
        <v>0</v>
      </c>
      <c r="BC102" s="21">
        <f t="shared" si="1346"/>
        <v>0</v>
      </c>
      <c r="BD102" s="21">
        <f t="shared" si="1346"/>
        <v>0</v>
      </c>
      <c r="BE102" s="21">
        <f t="shared" si="1346"/>
        <v>0</v>
      </c>
      <c r="BF102" s="21">
        <f t="shared" si="1346"/>
        <v>0</v>
      </c>
      <c r="BG102" s="21">
        <f t="shared" si="1346"/>
        <v>-11.376250000000001</v>
      </c>
      <c r="BH102" s="21">
        <f t="shared" si="1346"/>
        <v>0</v>
      </c>
      <c r="BI102" s="21">
        <f t="shared" si="1346"/>
        <v>0</v>
      </c>
      <c r="BJ102" s="21">
        <f t="shared" si="1346"/>
        <v>0</v>
      </c>
      <c r="BK102" s="21">
        <f t="shared" si="1346"/>
        <v>0</v>
      </c>
      <c r="BL102" s="21">
        <f t="shared" si="1346"/>
        <v>0</v>
      </c>
      <c r="BM102" s="21">
        <f t="shared" si="1346"/>
        <v>0</v>
      </c>
      <c r="BN102" s="21">
        <f t="shared" si="1346"/>
        <v>0</v>
      </c>
      <c r="BO102" s="21">
        <f t="shared" si="1346"/>
        <v>0</v>
      </c>
      <c r="BP102" s="21">
        <f t="shared" si="1346"/>
        <v>0</v>
      </c>
      <c r="BQ102" s="21">
        <f t="shared" ref="BQ102:CV102" si="1347">IF(BP41="B",IF(BQ101="K",IF(BQ100&gt;=10,-BQ100,IF(BQ100&gt;=8,-BQ100,0)),0),0)</f>
        <v>0</v>
      </c>
      <c r="BR102" s="21">
        <f t="shared" si="1347"/>
        <v>0</v>
      </c>
      <c r="BS102" s="21">
        <f t="shared" si="1347"/>
        <v>-10.590000000000002</v>
      </c>
      <c r="BT102" s="21">
        <f t="shared" si="1347"/>
        <v>0</v>
      </c>
      <c r="BU102" s="21">
        <f t="shared" si="1347"/>
        <v>0</v>
      </c>
      <c r="BV102" s="21">
        <f t="shared" si="1347"/>
        <v>0</v>
      </c>
      <c r="BW102" s="21">
        <f t="shared" si="1347"/>
        <v>0</v>
      </c>
      <c r="BX102" s="56">
        <f t="shared" si="1347"/>
        <v>0</v>
      </c>
      <c r="BY102" s="21">
        <f t="shared" si="1347"/>
        <v>0</v>
      </c>
      <c r="BZ102" s="21">
        <f t="shared" si="1347"/>
        <v>0</v>
      </c>
      <c r="CA102" s="21">
        <f t="shared" si="1347"/>
        <v>0</v>
      </c>
      <c r="CB102" s="21">
        <f t="shared" si="1347"/>
        <v>0</v>
      </c>
      <c r="CC102" s="21">
        <f t="shared" si="1347"/>
        <v>0</v>
      </c>
      <c r="CD102" s="21">
        <f t="shared" si="1347"/>
        <v>-8.06</v>
      </c>
      <c r="CE102" s="21">
        <f t="shared" si="1347"/>
        <v>0</v>
      </c>
      <c r="CF102" s="21">
        <f t="shared" si="1347"/>
        <v>0</v>
      </c>
      <c r="CG102" s="21">
        <f t="shared" si="1347"/>
        <v>0</v>
      </c>
      <c r="CH102" s="21">
        <f t="shared" si="1347"/>
        <v>0</v>
      </c>
      <c r="CI102" s="21">
        <f t="shared" si="1347"/>
        <v>0</v>
      </c>
      <c r="CJ102" s="21">
        <f t="shared" si="1347"/>
        <v>0</v>
      </c>
      <c r="CK102" s="21">
        <f t="shared" si="1347"/>
        <v>0</v>
      </c>
      <c r="CL102" s="21">
        <f t="shared" si="1347"/>
        <v>0</v>
      </c>
      <c r="CM102" s="21">
        <f t="shared" si="1347"/>
        <v>0</v>
      </c>
      <c r="CN102" s="21">
        <f t="shared" si="1347"/>
        <v>0</v>
      </c>
      <c r="CO102" s="21">
        <f t="shared" si="1347"/>
        <v>0</v>
      </c>
      <c r="CP102" s="21">
        <f t="shared" si="1347"/>
        <v>0</v>
      </c>
      <c r="CQ102" s="21">
        <f t="shared" si="1347"/>
        <v>-11.222500000000002</v>
      </c>
      <c r="CR102" s="21">
        <f t="shared" si="1347"/>
        <v>0</v>
      </c>
      <c r="CS102" s="21">
        <f t="shared" si="1347"/>
        <v>0</v>
      </c>
      <c r="CT102" s="21">
        <f t="shared" si="1347"/>
        <v>0</v>
      </c>
      <c r="CU102" s="21">
        <f t="shared" si="1347"/>
        <v>0</v>
      </c>
      <c r="CV102" s="56">
        <f t="shared" si="1347"/>
        <v>0</v>
      </c>
      <c r="CW102" s="21">
        <f t="shared" ref="CW102:DT102" si="1348">IF(CV41="B",IF(CW101="K",IF(CW100&gt;=10,-CW100,IF(CW100&gt;=8,-CW100,0)),0),0)</f>
        <v>0</v>
      </c>
      <c r="CX102" s="21">
        <f t="shared" si="1348"/>
        <v>0</v>
      </c>
      <c r="CY102" s="21">
        <f t="shared" si="1348"/>
        <v>0</v>
      </c>
      <c r="CZ102" s="21">
        <f t="shared" si="1348"/>
        <v>0</v>
      </c>
      <c r="DA102" s="21">
        <f t="shared" si="1348"/>
        <v>0</v>
      </c>
      <c r="DB102" s="21">
        <f t="shared" si="1348"/>
        <v>-8.06</v>
      </c>
      <c r="DC102" s="21">
        <f t="shared" si="1348"/>
        <v>0</v>
      </c>
      <c r="DD102" s="21">
        <f t="shared" si="1348"/>
        <v>0</v>
      </c>
      <c r="DE102" s="21">
        <f t="shared" si="1348"/>
        <v>0</v>
      </c>
      <c r="DF102" s="21">
        <f t="shared" si="1348"/>
        <v>0</v>
      </c>
      <c r="DG102" s="21">
        <f t="shared" si="1348"/>
        <v>0</v>
      </c>
      <c r="DH102" s="21">
        <f t="shared" si="1348"/>
        <v>0</v>
      </c>
      <c r="DI102" s="21">
        <f t="shared" si="1348"/>
        <v>0</v>
      </c>
      <c r="DJ102" s="21">
        <f t="shared" si="1348"/>
        <v>0</v>
      </c>
      <c r="DK102" s="21">
        <f t="shared" si="1348"/>
        <v>0</v>
      </c>
      <c r="DL102" s="21">
        <f t="shared" si="1348"/>
        <v>0</v>
      </c>
      <c r="DM102" s="21">
        <f t="shared" si="1348"/>
        <v>0</v>
      </c>
      <c r="DN102" s="21">
        <f t="shared" si="1348"/>
        <v>0</v>
      </c>
      <c r="DO102" s="21">
        <f t="shared" si="1348"/>
        <v>-11.222500000000002</v>
      </c>
      <c r="DP102" s="21">
        <f t="shared" si="1348"/>
        <v>0</v>
      </c>
      <c r="DQ102" s="21">
        <f t="shared" si="1348"/>
        <v>0</v>
      </c>
      <c r="DR102" s="21">
        <f t="shared" si="1348"/>
        <v>0</v>
      </c>
      <c r="DS102" s="21">
        <f t="shared" si="1348"/>
        <v>0</v>
      </c>
      <c r="DT102" s="56">
        <f t="shared" si="1348"/>
        <v>0</v>
      </c>
    </row>
    <row r="103" spans="2:124" x14ac:dyDescent="0.25">
      <c r="B103" s="4" t="s">
        <v>67</v>
      </c>
      <c r="D103" s="100">
        <f>IF(C41="B",IF(D100&gt;=10,0,D100+C97+D102),D100+C97)</f>
        <v>3.083333333333333</v>
      </c>
      <c r="E103" s="24">
        <f t="shared" ref="E103:AJ103" si="1349">IF(D41="B",IF(E101="K",IF(D104="TM",IF(C104="TM",IF(E100&lt;8,E100+3,E100+E102),E100+E102),E100+E102),E100),E100)</f>
        <v>3.3995833333333332</v>
      </c>
      <c r="F103" s="24">
        <f t="shared" si="1349"/>
        <v>3.7158333333333333</v>
      </c>
      <c r="G103" s="24">
        <f t="shared" si="1349"/>
        <v>4.0320833333333335</v>
      </c>
      <c r="H103" s="24">
        <f t="shared" si="1349"/>
        <v>4.5983333333333336</v>
      </c>
      <c r="I103" s="18">
        <f t="shared" si="1349"/>
        <v>5.2308333333333339</v>
      </c>
      <c r="J103" s="18">
        <f t="shared" si="1349"/>
        <v>8.8633333333333333</v>
      </c>
      <c r="K103" s="18">
        <f t="shared" si="1349"/>
        <v>0</v>
      </c>
      <c r="L103" s="18">
        <f t="shared" si="1349"/>
        <v>0.63250000000000006</v>
      </c>
      <c r="M103" s="18">
        <f t="shared" si="1349"/>
        <v>1.2650000000000001</v>
      </c>
      <c r="N103" s="18">
        <f t="shared" si="1349"/>
        <v>1.8975000000000002</v>
      </c>
      <c r="O103" s="18">
        <f t="shared" si="1349"/>
        <v>2.5300000000000002</v>
      </c>
      <c r="P103" s="24">
        <f t="shared" si="1349"/>
        <v>3.1625000000000001</v>
      </c>
      <c r="Q103" s="24">
        <f t="shared" si="1349"/>
        <v>3.7949999999999999</v>
      </c>
      <c r="R103" s="24">
        <f t="shared" si="1349"/>
        <v>4.4275000000000002</v>
      </c>
      <c r="S103" s="24">
        <f t="shared" si="1349"/>
        <v>8.06</v>
      </c>
      <c r="T103" s="24">
        <f t="shared" si="1349"/>
        <v>0</v>
      </c>
      <c r="U103" s="24">
        <f t="shared" si="1349"/>
        <v>0.63250000000000006</v>
      </c>
      <c r="V103" s="24">
        <f t="shared" si="1349"/>
        <v>1.2650000000000001</v>
      </c>
      <c r="W103" s="24">
        <f t="shared" si="1349"/>
        <v>1.8975000000000002</v>
      </c>
      <c r="X103" s="24">
        <f t="shared" si="1349"/>
        <v>2.5300000000000002</v>
      </c>
      <c r="Y103" s="24">
        <f t="shared" si="1349"/>
        <v>3.1625000000000001</v>
      </c>
      <c r="Z103" s="24">
        <f t="shared" si="1349"/>
        <v>3.5449999999999999</v>
      </c>
      <c r="AA103" s="24">
        <f t="shared" si="1349"/>
        <v>3.8612500000000001</v>
      </c>
      <c r="AB103" s="55">
        <f t="shared" si="1349"/>
        <v>4.1775000000000002</v>
      </c>
      <c r="AC103" s="18">
        <f t="shared" si="1349"/>
        <v>4.4937500000000004</v>
      </c>
      <c r="AD103" s="24">
        <f t="shared" si="1349"/>
        <v>4.8100000000000005</v>
      </c>
      <c r="AE103" s="24">
        <f t="shared" si="1349"/>
        <v>5.1262500000000006</v>
      </c>
      <c r="AF103" s="24">
        <f t="shared" si="1349"/>
        <v>5.6925000000000008</v>
      </c>
      <c r="AG103" s="24">
        <f t="shared" si="1349"/>
        <v>9.3250000000000011</v>
      </c>
      <c r="AH103" s="24">
        <f t="shared" si="1349"/>
        <v>0</v>
      </c>
      <c r="AI103" s="24">
        <f t="shared" si="1349"/>
        <v>0.63250000000000006</v>
      </c>
      <c r="AJ103" s="24">
        <f t="shared" si="1349"/>
        <v>1.2650000000000001</v>
      </c>
      <c r="AK103" s="24">
        <f t="shared" ref="AK103:BP103" si="1350">IF(AJ41="B",IF(AK101="K",IF(AJ104="TM",IF(AI104="TM",IF(AK100&lt;8,AK100+3,AK100+AK102),AK100+AK102),AK100+AK102),AK100),AK100)</f>
        <v>1.8975000000000002</v>
      </c>
      <c r="AL103" s="24">
        <f t="shared" si="1350"/>
        <v>2.5300000000000002</v>
      </c>
      <c r="AM103" s="24">
        <f t="shared" si="1350"/>
        <v>3.1625000000000001</v>
      </c>
      <c r="AN103" s="24">
        <f t="shared" si="1350"/>
        <v>3.7949999999999999</v>
      </c>
      <c r="AO103" s="24">
        <f t="shared" si="1350"/>
        <v>4.4275000000000002</v>
      </c>
      <c r="AP103" s="24">
        <f t="shared" si="1350"/>
        <v>5.0600000000000005</v>
      </c>
      <c r="AQ103" s="24">
        <f t="shared" si="1350"/>
        <v>5.6925000000000008</v>
      </c>
      <c r="AR103" s="24">
        <f t="shared" si="1350"/>
        <v>6.3250000000000011</v>
      </c>
      <c r="AS103" s="24">
        <f t="shared" si="1350"/>
        <v>6.9575000000000014</v>
      </c>
      <c r="AT103" s="24">
        <f t="shared" si="1350"/>
        <v>10.590000000000002</v>
      </c>
      <c r="AU103" s="24">
        <f t="shared" si="1350"/>
        <v>0</v>
      </c>
      <c r="AV103" s="24">
        <f t="shared" si="1350"/>
        <v>0.63250000000000006</v>
      </c>
      <c r="AW103" s="24">
        <f t="shared" si="1350"/>
        <v>1.0150000000000001</v>
      </c>
      <c r="AX103" s="24">
        <f t="shared" si="1350"/>
        <v>1.33125</v>
      </c>
      <c r="AY103" s="24">
        <f t="shared" si="1350"/>
        <v>1.6475</v>
      </c>
      <c r="AZ103" s="55">
        <f t="shared" si="1350"/>
        <v>1.9637499999999999</v>
      </c>
      <c r="BA103" s="18">
        <f t="shared" si="1350"/>
        <v>2.2799999999999998</v>
      </c>
      <c r="BB103" s="24">
        <f t="shared" si="1350"/>
        <v>2.5962499999999999</v>
      </c>
      <c r="BC103" s="24">
        <f t="shared" si="1350"/>
        <v>2.9125000000000001</v>
      </c>
      <c r="BD103" s="24">
        <f t="shared" si="1350"/>
        <v>3.4787500000000002</v>
      </c>
      <c r="BE103" s="24">
        <f t="shared" si="1350"/>
        <v>7.1112500000000001</v>
      </c>
      <c r="BF103" s="24">
        <f t="shared" si="1350"/>
        <v>10.74375</v>
      </c>
      <c r="BG103" s="24">
        <f t="shared" si="1350"/>
        <v>0</v>
      </c>
      <c r="BH103" s="24">
        <f t="shared" si="1350"/>
        <v>0.63250000000000006</v>
      </c>
      <c r="BI103" s="24">
        <f t="shared" si="1350"/>
        <v>1.2650000000000001</v>
      </c>
      <c r="BJ103" s="24">
        <f t="shared" si="1350"/>
        <v>1.8975000000000002</v>
      </c>
      <c r="BK103" s="24">
        <f t="shared" si="1350"/>
        <v>2.5300000000000002</v>
      </c>
      <c r="BL103" s="24">
        <f t="shared" si="1350"/>
        <v>3.1625000000000001</v>
      </c>
      <c r="BM103" s="24">
        <f t="shared" si="1350"/>
        <v>3.7949999999999999</v>
      </c>
      <c r="BN103" s="24">
        <f t="shared" si="1350"/>
        <v>4.4275000000000002</v>
      </c>
      <c r="BO103" s="24">
        <f t="shared" si="1350"/>
        <v>5.0600000000000005</v>
      </c>
      <c r="BP103" s="24">
        <f t="shared" si="1350"/>
        <v>5.6925000000000008</v>
      </c>
      <c r="BQ103" s="24">
        <f t="shared" ref="BQ103:CV103" si="1351">IF(BP41="B",IF(BQ101="K",IF(BP104="TM",IF(BO104="TM",IF(BQ100&lt;8,BQ100+3,BQ100+BQ102),BQ100+BQ102),BQ100+BQ102),BQ100),BQ100)</f>
        <v>6.3250000000000011</v>
      </c>
      <c r="BR103" s="24">
        <f t="shared" si="1351"/>
        <v>9.9575000000000014</v>
      </c>
      <c r="BS103" s="24">
        <f t="shared" si="1351"/>
        <v>0</v>
      </c>
      <c r="BT103" s="24">
        <f t="shared" si="1351"/>
        <v>0.63250000000000006</v>
      </c>
      <c r="BU103" s="24">
        <f t="shared" si="1351"/>
        <v>1.2650000000000001</v>
      </c>
      <c r="BV103" s="24">
        <f t="shared" si="1351"/>
        <v>1.6475000000000002</v>
      </c>
      <c r="BW103" s="24">
        <f t="shared" si="1351"/>
        <v>1.9637500000000001</v>
      </c>
      <c r="BX103" s="55">
        <f t="shared" si="1351"/>
        <v>2.2800000000000002</v>
      </c>
      <c r="BY103" s="18">
        <f t="shared" si="1351"/>
        <v>2.5962500000000004</v>
      </c>
      <c r="BZ103" s="24">
        <f t="shared" si="1351"/>
        <v>2.9125000000000005</v>
      </c>
      <c r="CA103" s="24">
        <f t="shared" si="1351"/>
        <v>3.2287500000000007</v>
      </c>
      <c r="CB103" s="24">
        <f t="shared" si="1351"/>
        <v>3.7950000000000008</v>
      </c>
      <c r="CC103" s="24">
        <f t="shared" si="1351"/>
        <v>7.4275000000000002</v>
      </c>
      <c r="CD103" s="24">
        <f t="shared" si="1351"/>
        <v>0</v>
      </c>
      <c r="CE103" s="24">
        <f t="shared" si="1351"/>
        <v>0.63250000000000006</v>
      </c>
      <c r="CF103" s="24">
        <f t="shared" si="1351"/>
        <v>1.2650000000000001</v>
      </c>
      <c r="CG103" s="24">
        <f t="shared" si="1351"/>
        <v>1.8975000000000002</v>
      </c>
      <c r="CH103" s="24">
        <f t="shared" si="1351"/>
        <v>2.5300000000000002</v>
      </c>
      <c r="CI103" s="24">
        <f t="shared" si="1351"/>
        <v>3.1625000000000001</v>
      </c>
      <c r="CJ103" s="24">
        <f t="shared" si="1351"/>
        <v>3.7949999999999999</v>
      </c>
      <c r="CK103" s="24">
        <f t="shared" si="1351"/>
        <v>4.4275000000000002</v>
      </c>
      <c r="CL103" s="24">
        <f t="shared" si="1351"/>
        <v>5.0600000000000005</v>
      </c>
      <c r="CM103" s="24">
        <f t="shared" si="1351"/>
        <v>5.6925000000000008</v>
      </c>
      <c r="CN103" s="24">
        <f t="shared" si="1351"/>
        <v>6.3250000000000011</v>
      </c>
      <c r="CO103" s="24">
        <f t="shared" si="1351"/>
        <v>6.9575000000000014</v>
      </c>
      <c r="CP103" s="24">
        <f t="shared" si="1351"/>
        <v>10.590000000000002</v>
      </c>
      <c r="CQ103" s="24">
        <f t="shared" si="1351"/>
        <v>0</v>
      </c>
      <c r="CR103" s="24">
        <f t="shared" si="1351"/>
        <v>0.63250000000000006</v>
      </c>
      <c r="CS103" s="24">
        <f t="shared" si="1351"/>
        <v>1.2650000000000001</v>
      </c>
      <c r="CT103" s="24">
        <f t="shared" si="1351"/>
        <v>1.6475000000000002</v>
      </c>
      <c r="CU103" s="24">
        <f t="shared" si="1351"/>
        <v>1.9637500000000001</v>
      </c>
      <c r="CV103" s="55">
        <f t="shared" si="1351"/>
        <v>2.2800000000000002</v>
      </c>
      <c r="CW103" s="18">
        <f t="shared" ref="CW103:DT103" si="1352">IF(CV41="B",IF(CW101="K",IF(CV104="TM",IF(CU104="TM",IF(CW100&lt;8,CW100+3,CW100+CW102),CW100+CW102),CW100+CW102),CW100),CW100)</f>
        <v>2.5962500000000004</v>
      </c>
      <c r="CX103" s="24">
        <f t="shared" si="1352"/>
        <v>2.9125000000000005</v>
      </c>
      <c r="CY103" s="24">
        <f t="shared" si="1352"/>
        <v>3.2287500000000007</v>
      </c>
      <c r="CZ103" s="24">
        <f t="shared" si="1352"/>
        <v>3.7950000000000008</v>
      </c>
      <c r="DA103" s="24">
        <f t="shared" si="1352"/>
        <v>7.4275000000000002</v>
      </c>
      <c r="DB103" s="24">
        <f t="shared" si="1352"/>
        <v>0</v>
      </c>
      <c r="DC103" s="24">
        <f t="shared" si="1352"/>
        <v>0.63250000000000006</v>
      </c>
      <c r="DD103" s="24">
        <f t="shared" si="1352"/>
        <v>1.2650000000000001</v>
      </c>
      <c r="DE103" s="24">
        <f t="shared" si="1352"/>
        <v>1.8975000000000002</v>
      </c>
      <c r="DF103" s="24">
        <f t="shared" si="1352"/>
        <v>2.5300000000000002</v>
      </c>
      <c r="DG103" s="24">
        <f t="shared" si="1352"/>
        <v>3.1625000000000001</v>
      </c>
      <c r="DH103" s="24">
        <f t="shared" si="1352"/>
        <v>3.7949999999999999</v>
      </c>
      <c r="DI103" s="24">
        <f t="shared" si="1352"/>
        <v>4.4275000000000002</v>
      </c>
      <c r="DJ103" s="24">
        <f t="shared" si="1352"/>
        <v>5.0600000000000005</v>
      </c>
      <c r="DK103" s="24">
        <f t="shared" si="1352"/>
        <v>5.6925000000000008</v>
      </c>
      <c r="DL103" s="24">
        <f t="shared" si="1352"/>
        <v>6.3250000000000011</v>
      </c>
      <c r="DM103" s="24">
        <f t="shared" si="1352"/>
        <v>6.9575000000000014</v>
      </c>
      <c r="DN103" s="24">
        <f t="shared" si="1352"/>
        <v>10.590000000000002</v>
      </c>
      <c r="DO103" s="24">
        <f t="shared" si="1352"/>
        <v>0</v>
      </c>
      <c r="DP103" s="24">
        <f t="shared" si="1352"/>
        <v>0.63250000000000006</v>
      </c>
      <c r="DQ103" s="24">
        <f t="shared" si="1352"/>
        <v>1.2650000000000001</v>
      </c>
      <c r="DR103" s="24">
        <f t="shared" si="1352"/>
        <v>1.6475000000000002</v>
      </c>
      <c r="DS103" s="24">
        <f t="shared" si="1352"/>
        <v>1.9637500000000001</v>
      </c>
      <c r="DT103" s="55">
        <f t="shared" si="1352"/>
        <v>2.2800000000000002</v>
      </c>
    </row>
    <row r="104" spans="2:124" x14ac:dyDescent="0.25">
      <c r="B104" s="3" t="s">
        <v>78</v>
      </c>
      <c r="D104" s="100"/>
      <c r="E104" s="1" t="str">
        <f>IF(E102&lt;0,"M","TM")</f>
        <v>TM</v>
      </c>
      <c r="F104" s="1" t="str">
        <f t="shared" ref="F104:L104" si="1353">IF(F102&lt;0,"M","TM")</f>
        <v>TM</v>
      </c>
      <c r="G104" s="1" t="str">
        <f t="shared" si="1353"/>
        <v>TM</v>
      </c>
      <c r="H104" s="1" t="str">
        <f t="shared" si="1353"/>
        <v>TM</v>
      </c>
      <c r="I104" s="1" t="str">
        <f t="shared" si="1353"/>
        <v>TM</v>
      </c>
      <c r="J104" s="1" t="str">
        <f t="shared" si="1353"/>
        <v>TM</v>
      </c>
      <c r="K104" s="1" t="str">
        <f t="shared" si="1353"/>
        <v>M</v>
      </c>
      <c r="L104" s="1" t="str">
        <f t="shared" si="1353"/>
        <v>TM</v>
      </c>
      <c r="M104" s="1" t="str">
        <f t="shared" ref="M104:BQ104" si="1354">IF(M102&lt;0,"M","TM")</f>
        <v>TM</v>
      </c>
      <c r="N104" s="1" t="str">
        <f t="shared" si="1354"/>
        <v>TM</v>
      </c>
      <c r="O104" s="1" t="str">
        <f t="shared" si="1354"/>
        <v>TM</v>
      </c>
      <c r="P104" s="1" t="str">
        <f t="shared" si="1354"/>
        <v>TM</v>
      </c>
      <c r="Q104" s="1" t="str">
        <f t="shared" si="1354"/>
        <v>TM</v>
      </c>
      <c r="R104" s="1" t="str">
        <f t="shared" si="1354"/>
        <v>TM</v>
      </c>
      <c r="S104" s="1" t="str">
        <f t="shared" si="1354"/>
        <v>TM</v>
      </c>
      <c r="T104" s="1" t="str">
        <f t="shared" si="1354"/>
        <v>M</v>
      </c>
      <c r="U104" s="1" t="str">
        <f t="shared" si="1354"/>
        <v>TM</v>
      </c>
      <c r="V104" s="1" t="str">
        <f t="shared" si="1354"/>
        <v>TM</v>
      </c>
      <c r="W104" s="1" t="str">
        <f t="shared" si="1354"/>
        <v>TM</v>
      </c>
      <c r="X104" s="1" t="str">
        <f t="shared" si="1354"/>
        <v>TM</v>
      </c>
      <c r="Y104" s="1" t="str">
        <f t="shared" si="1354"/>
        <v>TM</v>
      </c>
      <c r="Z104" s="1" t="str">
        <f t="shared" si="1354"/>
        <v>TM</v>
      </c>
      <c r="AA104" s="1" t="str">
        <f t="shared" si="1354"/>
        <v>TM</v>
      </c>
      <c r="AB104" s="53" t="str">
        <f t="shared" si="1354"/>
        <v>TM</v>
      </c>
      <c r="AC104" s="13" t="str">
        <f t="shared" si="1354"/>
        <v>TM</v>
      </c>
      <c r="AD104" s="1" t="str">
        <f t="shared" si="1354"/>
        <v>TM</v>
      </c>
      <c r="AE104" s="1" t="str">
        <f t="shared" si="1354"/>
        <v>TM</v>
      </c>
      <c r="AF104" s="1" t="str">
        <f t="shared" si="1354"/>
        <v>TM</v>
      </c>
      <c r="AG104" s="1" t="str">
        <f t="shared" si="1354"/>
        <v>TM</v>
      </c>
      <c r="AH104" s="1" t="str">
        <f t="shared" si="1354"/>
        <v>M</v>
      </c>
      <c r="AI104" s="1" t="str">
        <f t="shared" si="1354"/>
        <v>TM</v>
      </c>
      <c r="AJ104" s="1" t="str">
        <f t="shared" si="1354"/>
        <v>TM</v>
      </c>
      <c r="AK104" s="1" t="str">
        <f t="shared" si="1354"/>
        <v>TM</v>
      </c>
      <c r="AL104" s="1" t="str">
        <f t="shared" si="1354"/>
        <v>TM</v>
      </c>
      <c r="AM104" s="1" t="str">
        <f t="shared" si="1354"/>
        <v>TM</v>
      </c>
      <c r="AN104" s="1" t="str">
        <f t="shared" si="1354"/>
        <v>TM</v>
      </c>
      <c r="AO104" s="1" t="str">
        <f t="shared" si="1354"/>
        <v>TM</v>
      </c>
      <c r="AP104" s="1" t="str">
        <f t="shared" si="1354"/>
        <v>TM</v>
      </c>
      <c r="AQ104" s="1" t="str">
        <f t="shared" si="1354"/>
        <v>TM</v>
      </c>
      <c r="AR104" s="1" t="str">
        <f t="shared" si="1354"/>
        <v>TM</v>
      </c>
      <c r="AS104" s="1" t="str">
        <f t="shared" si="1354"/>
        <v>TM</v>
      </c>
      <c r="AT104" s="1" t="str">
        <f t="shared" si="1354"/>
        <v>TM</v>
      </c>
      <c r="AU104" s="1" t="str">
        <f t="shared" si="1354"/>
        <v>M</v>
      </c>
      <c r="AV104" s="1" t="str">
        <f t="shared" si="1354"/>
        <v>TM</v>
      </c>
      <c r="AW104" s="1" t="str">
        <f t="shared" si="1354"/>
        <v>TM</v>
      </c>
      <c r="AX104" s="1" t="str">
        <f t="shared" si="1354"/>
        <v>TM</v>
      </c>
      <c r="AY104" s="1" t="str">
        <f t="shared" si="1354"/>
        <v>TM</v>
      </c>
      <c r="AZ104" s="53" t="str">
        <f t="shared" si="1354"/>
        <v>TM</v>
      </c>
      <c r="BA104" s="13" t="str">
        <f t="shared" si="1354"/>
        <v>TM</v>
      </c>
      <c r="BB104" s="1" t="str">
        <f t="shared" si="1354"/>
        <v>TM</v>
      </c>
      <c r="BC104" s="1" t="str">
        <f t="shared" si="1354"/>
        <v>TM</v>
      </c>
      <c r="BD104" s="1" t="str">
        <f t="shared" si="1354"/>
        <v>TM</v>
      </c>
      <c r="BE104" s="1" t="str">
        <f t="shared" si="1354"/>
        <v>TM</v>
      </c>
      <c r="BF104" s="1" t="str">
        <f t="shared" si="1354"/>
        <v>TM</v>
      </c>
      <c r="BG104" s="1" t="str">
        <f t="shared" si="1354"/>
        <v>M</v>
      </c>
      <c r="BH104" s="1" t="str">
        <f t="shared" si="1354"/>
        <v>TM</v>
      </c>
      <c r="BI104" s="1" t="str">
        <f t="shared" si="1354"/>
        <v>TM</v>
      </c>
      <c r="BJ104" s="1" t="str">
        <f t="shared" si="1354"/>
        <v>TM</v>
      </c>
      <c r="BK104" s="1" t="str">
        <f t="shared" si="1354"/>
        <v>TM</v>
      </c>
      <c r="BL104" s="1" t="str">
        <f t="shared" si="1354"/>
        <v>TM</v>
      </c>
      <c r="BM104" s="1" t="str">
        <f t="shared" si="1354"/>
        <v>TM</v>
      </c>
      <c r="BN104" s="1" t="str">
        <f t="shared" si="1354"/>
        <v>TM</v>
      </c>
      <c r="BO104" s="1" t="str">
        <f t="shared" si="1354"/>
        <v>TM</v>
      </c>
      <c r="BP104" s="1" t="str">
        <f t="shared" si="1354"/>
        <v>TM</v>
      </c>
      <c r="BQ104" s="1" t="str">
        <f t="shared" si="1354"/>
        <v>TM</v>
      </c>
      <c r="BR104" s="1" t="str">
        <f t="shared" ref="BR104:DT104" si="1355">IF(BR102&lt;0,"M","TM")</f>
        <v>TM</v>
      </c>
      <c r="BS104" s="1" t="str">
        <f t="shared" si="1355"/>
        <v>M</v>
      </c>
      <c r="BT104" s="1" t="str">
        <f t="shared" si="1355"/>
        <v>TM</v>
      </c>
      <c r="BU104" s="1" t="str">
        <f t="shared" si="1355"/>
        <v>TM</v>
      </c>
      <c r="BV104" s="1" t="str">
        <f t="shared" si="1355"/>
        <v>TM</v>
      </c>
      <c r="BW104" s="1" t="str">
        <f t="shared" si="1355"/>
        <v>TM</v>
      </c>
      <c r="BX104" s="53" t="str">
        <f t="shared" si="1355"/>
        <v>TM</v>
      </c>
      <c r="BY104" s="13" t="str">
        <f t="shared" si="1355"/>
        <v>TM</v>
      </c>
      <c r="BZ104" s="1" t="str">
        <f t="shared" si="1355"/>
        <v>TM</v>
      </c>
      <c r="CA104" s="1" t="str">
        <f t="shared" si="1355"/>
        <v>TM</v>
      </c>
      <c r="CB104" s="1" t="str">
        <f t="shared" si="1355"/>
        <v>TM</v>
      </c>
      <c r="CC104" s="1" t="str">
        <f t="shared" si="1355"/>
        <v>TM</v>
      </c>
      <c r="CD104" s="1" t="str">
        <f t="shared" si="1355"/>
        <v>M</v>
      </c>
      <c r="CE104" s="1" t="str">
        <f t="shared" si="1355"/>
        <v>TM</v>
      </c>
      <c r="CF104" s="1" t="str">
        <f t="shared" si="1355"/>
        <v>TM</v>
      </c>
      <c r="CG104" s="1" t="str">
        <f t="shared" si="1355"/>
        <v>TM</v>
      </c>
      <c r="CH104" s="1" t="str">
        <f t="shared" si="1355"/>
        <v>TM</v>
      </c>
      <c r="CI104" s="1" t="str">
        <f t="shared" si="1355"/>
        <v>TM</v>
      </c>
      <c r="CJ104" s="1" t="str">
        <f t="shared" si="1355"/>
        <v>TM</v>
      </c>
      <c r="CK104" s="1" t="str">
        <f t="shared" si="1355"/>
        <v>TM</v>
      </c>
      <c r="CL104" s="1" t="str">
        <f t="shared" si="1355"/>
        <v>TM</v>
      </c>
      <c r="CM104" s="1" t="str">
        <f t="shared" si="1355"/>
        <v>TM</v>
      </c>
      <c r="CN104" s="1" t="str">
        <f t="shared" si="1355"/>
        <v>TM</v>
      </c>
      <c r="CO104" s="1" t="str">
        <f t="shared" si="1355"/>
        <v>TM</v>
      </c>
      <c r="CP104" s="1" t="str">
        <f t="shared" si="1355"/>
        <v>TM</v>
      </c>
      <c r="CQ104" s="1" t="str">
        <f t="shared" si="1355"/>
        <v>M</v>
      </c>
      <c r="CR104" s="1" t="str">
        <f t="shared" si="1355"/>
        <v>TM</v>
      </c>
      <c r="CS104" s="1" t="str">
        <f t="shared" si="1355"/>
        <v>TM</v>
      </c>
      <c r="CT104" s="1" t="str">
        <f t="shared" si="1355"/>
        <v>TM</v>
      </c>
      <c r="CU104" s="1" t="str">
        <f t="shared" si="1355"/>
        <v>TM</v>
      </c>
      <c r="CV104" s="53" t="str">
        <f t="shared" si="1355"/>
        <v>TM</v>
      </c>
      <c r="CW104" s="1" t="str">
        <f t="shared" si="1355"/>
        <v>TM</v>
      </c>
      <c r="CX104" s="1" t="str">
        <f t="shared" si="1355"/>
        <v>TM</v>
      </c>
      <c r="CY104" s="1" t="str">
        <f t="shared" si="1355"/>
        <v>TM</v>
      </c>
      <c r="CZ104" s="1" t="str">
        <f t="shared" si="1355"/>
        <v>TM</v>
      </c>
      <c r="DA104" s="1" t="str">
        <f t="shared" si="1355"/>
        <v>TM</v>
      </c>
      <c r="DB104" s="1" t="str">
        <f t="shared" si="1355"/>
        <v>M</v>
      </c>
      <c r="DC104" s="1" t="str">
        <f t="shared" si="1355"/>
        <v>TM</v>
      </c>
      <c r="DD104" s="1" t="str">
        <f t="shared" si="1355"/>
        <v>TM</v>
      </c>
      <c r="DE104" s="1" t="str">
        <f t="shared" si="1355"/>
        <v>TM</v>
      </c>
      <c r="DF104" s="1" t="str">
        <f t="shared" si="1355"/>
        <v>TM</v>
      </c>
      <c r="DG104" s="1" t="str">
        <f t="shared" si="1355"/>
        <v>TM</v>
      </c>
      <c r="DH104" s="1" t="str">
        <f t="shared" si="1355"/>
        <v>TM</v>
      </c>
      <c r="DI104" s="1" t="str">
        <f t="shared" si="1355"/>
        <v>TM</v>
      </c>
      <c r="DJ104" s="1" t="str">
        <f t="shared" si="1355"/>
        <v>TM</v>
      </c>
      <c r="DK104" s="1" t="str">
        <f t="shared" si="1355"/>
        <v>TM</v>
      </c>
      <c r="DL104" s="1" t="str">
        <f t="shared" si="1355"/>
        <v>TM</v>
      </c>
      <c r="DM104" s="1" t="str">
        <f t="shared" si="1355"/>
        <v>TM</v>
      </c>
      <c r="DN104" s="1" t="str">
        <f t="shared" si="1355"/>
        <v>TM</v>
      </c>
      <c r="DO104" s="1" t="str">
        <f t="shared" si="1355"/>
        <v>M</v>
      </c>
      <c r="DP104" s="1" t="str">
        <f t="shared" si="1355"/>
        <v>TM</v>
      </c>
      <c r="DQ104" s="1" t="str">
        <f t="shared" si="1355"/>
        <v>TM</v>
      </c>
      <c r="DR104" s="1" t="str">
        <f t="shared" si="1355"/>
        <v>TM</v>
      </c>
      <c r="DS104" s="1" t="str">
        <f t="shared" si="1355"/>
        <v>TM</v>
      </c>
      <c r="DT104" s="1" t="str">
        <f t="shared" si="1355"/>
        <v>TM</v>
      </c>
    </row>
  </sheetData>
  <mergeCells count="45">
    <mergeCell ref="E94:AB94"/>
    <mergeCell ref="AC94:AZ94"/>
    <mergeCell ref="BA94:BX94"/>
    <mergeCell ref="BY94:CV94"/>
    <mergeCell ref="CW94:DT94"/>
    <mergeCell ref="E76:AB76"/>
    <mergeCell ref="AC76:AZ76"/>
    <mergeCell ref="BA76:BX76"/>
    <mergeCell ref="BY76:CV76"/>
    <mergeCell ref="CW76:DT76"/>
    <mergeCell ref="E64:AB64"/>
    <mergeCell ref="AC64:AZ64"/>
    <mergeCell ref="BA64:BX64"/>
    <mergeCell ref="BY64:CV64"/>
    <mergeCell ref="CW64:DT64"/>
    <mergeCell ref="E54:AB54"/>
    <mergeCell ref="AC54:AZ54"/>
    <mergeCell ref="BA54:BX54"/>
    <mergeCell ref="BY54:CV54"/>
    <mergeCell ref="CW54:DT54"/>
    <mergeCell ref="E42:AB42"/>
    <mergeCell ref="AC42:AZ42"/>
    <mergeCell ref="BA42:BX42"/>
    <mergeCell ref="BY42:CV42"/>
    <mergeCell ref="CW42:DT42"/>
    <mergeCell ref="E10:AB10"/>
    <mergeCell ref="AC10:AZ10"/>
    <mergeCell ref="BA10:BX10"/>
    <mergeCell ref="BY10:CV10"/>
    <mergeCell ref="CW10:DT10"/>
    <mergeCell ref="E4:AB4"/>
    <mergeCell ref="AC4:AZ4"/>
    <mergeCell ref="BA4:BX4"/>
    <mergeCell ref="BY4:CV4"/>
    <mergeCell ref="CW4:DT4"/>
    <mergeCell ref="E30:AB30"/>
    <mergeCell ref="AC30:AZ30"/>
    <mergeCell ref="BA30:BX30"/>
    <mergeCell ref="BY30:CV30"/>
    <mergeCell ref="CW30:DT30"/>
    <mergeCell ref="E21:AB21"/>
    <mergeCell ref="AC21:AZ21"/>
    <mergeCell ref="BA21:BX21"/>
    <mergeCell ref="BY21:CV21"/>
    <mergeCell ref="CW21:DT21"/>
  </mergeCells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Tingkat IC</vt:lpstr>
      <vt:lpstr>(Hr) Kal.B+Cons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Maria Putri Gemilang</cp:lastModifiedBy>
  <dcterms:created xsi:type="dcterms:W3CDTF">2021-07-07T07:01:24Z</dcterms:created>
  <dcterms:modified xsi:type="dcterms:W3CDTF">2022-05-10T04:33:17Z</dcterms:modified>
</cp:coreProperties>
</file>